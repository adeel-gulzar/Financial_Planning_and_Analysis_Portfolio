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ffa\Documents\1 - My Portfolio\"/>
    </mc:Choice>
  </mc:AlternateContent>
  <xr:revisionPtr revIDLastSave="0" documentId="13_ncr:1_{C039EA2E-A055-4870-B0FB-8387CDA7B61E}" xr6:coauthVersionLast="47" xr6:coauthVersionMax="47" xr10:uidLastSave="{00000000-0000-0000-0000-000000000000}"/>
  <bookViews>
    <workbookView xWindow="-98" yWindow="-98" windowWidth="19396" windowHeight="11475" xr2:uid="{77FF38C4-FB65-4135-B4F4-BAECAFBB4E0E}"/>
  </bookViews>
  <sheets>
    <sheet name="Tracker" sheetId="1" r:id="rId1"/>
    <sheet name="Activity &amp; Sub Activity" sheetId="5" r:id="rId2"/>
    <sheet name="Leaflet" sheetId="13" r:id="rId3"/>
    <sheet name="Y2025B by Activities" sheetId="30" state="hidden" r:id="rId4"/>
  </sheets>
  <definedNames>
    <definedName name="_xlnm._FilterDatabase" localSheetId="1" hidden="1">'Activity &amp; Sub Activity'!$B$5:$J$105</definedName>
    <definedName name="_xlnm._FilterDatabase" localSheetId="0" hidden="1">Tracker!$B$7:$U$46</definedName>
    <definedName name="_xlnm._FilterDatabase" localSheetId="3" hidden="1">'Y2025B by Activities'!$B$7:$R$22</definedName>
    <definedName name="_xlnm.Print_Area" localSheetId="1">'Activity &amp; Sub Activity'!$A$1:$K$111</definedName>
    <definedName name="_xlnm.Print_Area" localSheetId="2">Leaflet!$A$1:$P$26</definedName>
    <definedName name="_xlnm.Print_Area" localSheetId="0">Tracker!$A$1:$V$47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F103" i="5"/>
  <c r="F102" i="5"/>
  <c r="L22" i="1" l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F101" i="5"/>
  <c r="F15" i="5"/>
  <c r="F14" i="5"/>
  <c r="F13" i="5"/>
  <c r="F12" i="5"/>
  <c r="D19" i="5"/>
  <c r="H7" i="5"/>
  <c r="D21" i="30"/>
  <c r="G93" i="5" s="1"/>
  <c r="D18" i="30"/>
  <c r="K19" i="1" s="1"/>
  <c r="D20" i="30"/>
  <c r="G90" i="5" s="1"/>
  <c r="D19" i="30"/>
  <c r="G84" i="5" s="1"/>
  <c r="D17" i="30"/>
  <c r="G81" i="5" s="1"/>
  <c r="D16" i="30"/>
  <c r="G87" i="5" s="1"/>
  <c r="D15" i="30"/>
  <c r="K16" i="1" s="1"/>
  <c r="D14" i="30"/>
  <c r="K15" i="1" s="1"/>
  <c r="D13" i="30"/>
  <c r="K14" i="1" s="1"/>
  <c r="D12" i="30"/>
  <c r="G45" i="5" s="1"/>
  <c r="D11" i="30"/>
  <c r="K12" i="1" s="1"/>
  <c r="D10" i="30"/>
  <c r="G18" i="5" s="1"/>
  <c r="D9" i="30"/>
  <c r="G26" i="5" s="1"/>
  <c r="D8" i="30"/>
  <c r="G7" i="5" s="1"/>
  <c r="H104" i="5"/>
  <c r="H93" i="5"/>
  <c r="H90" i="5"/>
  <c r="H87" i="5"/>
  <c r="H84" i="5"/>
  <c r="H81" i="5"/>
  <c r="H71" i="5"/>
  <c r="H65" i="5"/>
  <c r="H48" i="5"/>
  <c r="H45" i="5"/>
  <c r="H26" i="5"/>
  <c r="H21" i="5"/>
  <c r="H18" i="5"/>
  <c r="Q21" i="30"/>
  <c r="P22" i="30"/>
  <c r="O22" i="30"/>
  <c r="N22" i="30"/>
  <c r="M22" i="30"/>
  <c r="L22" i="30"/>
  <c r="K22" i="30"/>
  <c r="J22" i="30"/>
  <c r="C22" i="30"/>
  <c r="Q18" i="30"/>
  <c r="Q20" i="30"/>
  <c r="I22" i="30"/>
  <c r="H22" i="30"/>
  <c r="G22" i="30"/>
  <c r="F22" i="30"/>
  <c r="E22" i="30"/>
  <c r="Q17" i="30"/>
  <c r="Q16" i="30"/>
  <c r="Q15" i="30"/>
  <c r="Q14" i="30"/>
  <c r="Q13" i="30"/>
  <c r="Q12" i="30"/>
  <c r="Q11" i="30"/>
  <c r="Q10" i="30"/>
  <c r="Q9" i="30"/>
  <c r="Q8" i="30"/>
  <c r="G48" i="5" l="1"/>
  <c r="K17" i="1"/>
  <c r="G65" i="5"/>
  <c r="K18" i="1"/>
  <c r="G71" i="5"/>
  <c r="K20" i="1"/>
  <c r="K9" i="1"/>
  <c r="K21" i="1"/>
  <c r="D22" i="30"/>
  <c r="K10" i="1"/>
  <c r="K22" i="1"/>
  <c r="K11" i="1"/>
  <c r="G104" i="5"/>
  <c r="K13" i="1"/>
  <c r="G21" i="5"/>
  <c r="Q19" i="30"/>
  <c r="Q22" i="30" s="1"/>
  <c r="O24" i="13" l="1"/>
  <c r="O23" i="13"/>
  <c r="O22" i="13"/>
  <c r="H24" i="13"/>
  <c r="H23" i="13"/>
  <c r="E25" i="13"/>
  <c r="F25" i="13"/>
  <c r="G25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F18" i="5"/>
  <c r="F17" i="5"/>
  <c r="F16" i="5"/>
  <c r="F11" i="5"/>
  <c r="F10" i="5"/>
  <c r="H25" i="13" l="1"/>
  <c r="F104" i="5" l="1"/>
  <c r="F100" i="5"/>
  <c r="F99" i="5"/>
  <c r="F98" i="5"/>
  <c r="F97" i="5"/>
  <c r="F96" i="5"/>
  <c r="F95" i="5"/>
  <c r="F93" i="5"/>
  <c r="F92" i="5"/>
  <c r="F90" i="5"/>
  <c r="F89" i="5"/>
  <c r="F87" i="5"/>
  <c r="F86" i="5"/>
  <c r="F84" i="5"/>
  <c r="F83" i="5"/>
  <c r="F81" i="5"/>
  <c r="F80" i="5"/>
  <c r="F79" i="5"/>
  <c r="F78" i="5"/>
  <c r="F77" i="5"/>
  <c r="F76" i="5"/>
  <c r="F75" i="5"/>
  <c r="F74" i="5"/>
  <c r="F73" i="5"/>
  <c r="F71" i="5"/>
  <c r="F70" i="5"/>
  <c r="F69" i="5"/>
  <c r="F68" i="5"/>
  <c r="F67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8" i="5"/>
  <c r="F47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6" i="5"/>
  <c r="F25" i="5"/>
  <c r="F24" i="5"/>
  <c r="F23" i="5"/>
  <c r="F21" i="5"/>
  <c r="F20" i="5"/>
  <c r="F9" i="5"/>
  <c r="F7" i="5"/>
  <c r="D82" i="5" l="1"/>
  <c r="D66" i="5"/>
  <c r="D94" i="5"/>
  <c r="E22" i="1" l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D9" i="1"/>
  <c r="E9" i="1"/>
  <c r="D23" i="1" l="1"/>
  <c r="F27" i="5"/>
  <c r="F22" i="5"/>
  <c r="F19" i="5"/>
  <c r="F46" i="5"/>
  <c r="H23" i="1" l="1"/>
  <c r="H105" i="5" l="1"/>
  <c r="G105" i="5"/>
  <c r="E105" i="5"/>
  <c r="D105" i="5"/>
  <c r="F105" i="5" l="1"/>
  <c r="J105" i="5" s="1"/>
  <c r="I105" i="5"/>
  <c r="Q22" i="1" l="1"/>
  <c r="Q21" i="1"/>
  <c r="N21" i="1"/>
  <c r="O21" i="13" l="1"/>
  <c r="O20" i="13"/>
  <c r="O19" i="13" l="1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Q20" i="1"/>
  <c r="Q19" i="1" l="1"/>
  <c r="N19" i="1"/>
  <c r="L25" i="13"/>
  <c r="M25" i="13"/>
  <c r="N25" i="13"/>
  <c r="D91" i="5" l="1"/>
  <c r="O5" i="13"/>
  <c r="O25" i="13" l="1"/>
  <c r="Q18" i="1" l="1"/>
  <c r="N18" i="1"/>
  <c r="Q17" i="1"/>
  <c r="Q16" i="1"/>
  <c r="N16" i="1"/>
  <c r="Q15" i="1"/>
  <c r="N15" i="1"/>
  <c r="Q14" i="1"/>
  <c r="N14" i="1"/>
  <c r="Q13" i="1"/>
  <c r="Q12" i="1"/>
  <c r="N12" i="1"/>
  <c r="Q11" i="1"/>
  <c r="Q10" i="1"/>
  <c r="N10" i="1"/>
  <c r="L23" i="1" l="1"/>
  <c r="Q8" i="1"/>
  <c r="K8" i="1"/>
  <c r="N22" i="1" l="1"/>
  <c r="N20" i="1"/>
  <c r="N13" i="1"/>
  <c r="N11" i="1" l="1"/>
  <c r="K23" i="1"/>
  <c r="N17" i="1"/>
  <c r="F108" i="5"/>
  <c r="Q25" i="1"/>
  <c r="N25" i="1"/>
  <c r="H46" i="1" l="1"/>
  <c r="D46" i="5" l="1"/>
  <c r="H66" i="5"/>
  <c r="G66" i="5"/>
  <c r="E66" i="5"/>
  <c r="H8" i="5"/>
  <c r="G8" i="5"/>
  <c r="E8" i="5"/>
  <c r="D8" i="5"/>
  <c r="H72" i="5"/>
  <c r="G72" i="5"/>
  <c r="E72" i="5"/>
  <c r="D72" i="5"/>
  <c r="H49" i="5"/>
  <c r="G49" i="5"/>
  <c r="E49" i="5"/>
  <c r="D49" i="5"/>
  <c r="H27" i="5"/>
  <c r="G27" i="5"/>
  <c r="D27" i="5"/>
  <c r="H91" i="5"/>
  <c r="G91" i="5"/>
  <c r="E91" i="5"/>
  <c r="H82" i="5"/>
  <c r="G82" i="5"/>
  <c r="E82" i="5"/>
  <c r="H46" i="5"/>
  <c r="G46" i="5"/>
  <c r="E46" i="5"/>
  <c r="H85" i="5"/>
  <c r="G85" i="5"/>
  <c r="E85" i="5"/>
  <c r="D85" i="5"/>
  <c r="H88" i="5"/>
  <c r="G88" i="5"/>
  <c r="E88" i="5"/>
  <c r="D88" i="5"/>
  <c r="H94" i="5"/>
  <c r="G94" i="5"/>
  <c r="E94" i="5"/>
  <c r="F22" i="1" s="1"/>
  <c r="G22" i="5"/>
  <c r="D22" i="5"/>
  <c r="H22" i="5"/>
  <c r="H19" i="5"/>
  <c r="G19" i="5"/>
  <c r="F6" i="5"/>
  <c r="F20" i="1" l="1"/>
  <c r="O20" i="1" s="1"/>
  <c r="F19" i="1"/>
  <c r="R22" i="1"/>
  <c r="O22" i="1"/>
  <c r="E106" i="5"/>
  <c r="E110" i="5" s="1"/>
  <c r="G106" i="5"/>
  <c r="G110" i="5" s="1"/>
  <c r="H106" i="5"/>
  <c r="H110" i="5" s="1"/>
  <c r="D106" i="5"/>
  <c r="D110" i="5" s="1"/>
  <c r="I46" i="5"/>
  <c r="I66" i="5"/>
  <c r="I22" i="5"/>
  <c r="I19" i="5"/>
  <c r="I72" i="5"/>
  <c r="I85" i="5"/>
  <c r="I88" i="5"/>
  <c r="I91" i="5"/>
  <c r="I49" i="5"/>
  <c r="I27" i="5"/>
  <c r="I8" i="5"/>
  <c r="I94" i="5"/>
  <c r="I82" i="5"/>
  <c r="F49" i="5"/>
  <c r="J49" i="5" s="1"/>
  <c r="J27" i="5"/>
  <c r="F82" i="5"/>
  <c r="J82" i="5" s="1"/>
  <c r="F94" i="5"/>
  <c r="J94" i="5" s="1"/>
  <c r="J46" i="5"/>
  <c r="F72" i="5"/>
  <c r="J72" i="5" s="1"/>
  <c r="F88" i="5"/>
  <c r="J88" i="5" s="1"/>
  <c r="F91" i="5"/>
  <c r="F66" i="5"/>
  <c r="J66" i="5" s="1"/>
  <c r="F85" i="5"/>
  <c r="J85" i="5" s="1"/>
  <c r="F8" i="5"/>
  <c r="J8" i="5" s="1"/>
  <c r="Q9" i="1"/>
  <c r="N9" i="1"/>
  <c r="N23" i="1" s="1"/>
  <c r="K46" i="1"/>
  <c r="D46" i="1"/>
  <c r="R20" i="1" l="1"/>
  <c r="O19" i="1"/>
  <c r="R19" i="1"/>
  <c r="E23" i="1"/>
  <c r="J19" i="5"/>
  <c r="F106" i="5"/>
  <c r="F110" i="5" s="1"/>
  <c r="J91" i="5"/>
  <c r="L46" i="1"/>
  <c r="I110" i="5"/>
  <c r="Q23" i="1"/>
  <c r="J22" i="5"/>
  <c r="I106" i="5"/>
  <c r="F17" i="1"/>
  <c r="F18" i="1"/>
  <c r="Q46" i="1" l="1"/>
  <c r="U23" i="1"/>
  <c r="U46" i="1" s="1"/>
  <c r="R18" i="1"/>
  <c r="O18" i="1"/>
  <c r="R17" i="1"/>
  <c r="O17" i="1"/>
  <c r="U20" i="1"/>
  <c r="U15" i="1"/>
  <c r="U22" i="1"/>
  <c r="U10" i="1"/>
  <c r="U13" i="1"/>
  <c r="U17" i="1"/>
  <c r="U12" i="1"/>
  <c r="U19" i="1"/>
  <c r="U14" i="1"/>
  <c r="U21" i="1"/>
  <c r="U16" i="1"/>
  <c r="U11" i="1"/>
  <c r="U18" i="1"/>
  <c r="U9" i="1"/>
  <c r="J110" i="5"/>
  <c r="J106" i="5"/>
  <c r="N46" i="1"/>
  <c r="F14" i="1"/>
  <c r="F9" i="1"/>
  <c r="F21" i="1"/>
  <c r="F13" i="1"/>
  <c r="F15" i="1"/>
  <c r="F11" i="1"/>
  <c r="F16" i="1"/>
  <c r="F12" i="1"/>
  <c r="R21" i="1" l="1"/>
  <c r="O21" i="1"/>
  <c r="R12" i="1"/>
  <c r="O12" i="1"/>
  <c r="R14" i="1"/>
  <c r="O14" i="1"/>
  <c r="O16" i="1"/>
  <c r="R16" i="1"/>
  <c r="R15" i="1"/>
  <c r="O15" i="1"/>
  <c r="R11" i="1"/>
  <c r="O11" i="1"/>
  <c r="O13" i="1"/>
  <c r="R13" i="1"/>
  <c r="O9" i="1"/>
  <c r="R9" i="1"/>
  <c r="E25" i="1" l="1"/>
  <c r="F25" i="1" s="1"/>
  <c r="F10" i="1"/>
  <c r="F23" i="1" s="1"/>
  <c r="O10" i="1" l="1"/>
  <c r="O23" i="1" s="1"/>
  <c r="R10" i="1"/>
  <c r="O25" i="1"/>
  <c r="R25" i="1"/>
  <c r="E46" i="1"/>
  <c r="O46" i="1" l="1"/>
  <c r="R23" i="1"/>
  <c r="F46" i="1"/>
  <c r="T22" i="1" l="1"/>
  <c r="T20" i="1"/>
  <c r="T18" i="1"/>
  <c r="T16" i="1"/>
  <c r="T14" i="1"/>
  <c r="T12" i="1"/>
  <c r="T10" i="1"/>
  <c r="T21" i="1"/>
  <c r="T19" i="1"/>
  <c r="T17" i="1"/>
  <c r="T15" i="1"/>
  <c r="T13" i="1"/>
  <c r="T11" i="1"/>
  <c r="R46" i="1"/>
  <c r="T9" i="1"/>
  <c r="T23" i="1"/>
  <c r="T46" i="1" s="1"/>
</calcChain>
</file>

<file path=xl/sharedStrings.xml><?xml version="1.0" encoding="utf-8"?>
<sst xmlns="http://schemas.openxmlformats.org/spreadsheetml/2006/main" count="338" uniqueCount="147">
  <si>
    <t>Total</t>
  </si>
  <si>
    <t>Spend</t>
  </si>
  <si>
    <t>Committed</t>
  </si>
  <si>
    <t>Summary by Activity Items</t>
  </si>
  <si>
    <t>Marketing Expenses Summary by Activity</t>
  </si>
  <si>
    <t>Summary by Activity</t>
  </si>
  <si>
    <t>Activity</t>
  </si>
  <si>
    <t>Outdoor</t>
  </si>
  <si>
    <t>Leaflet</t>
  </si>
  <si>
    <t>Budget 2024</t>
  </si>
  <si>
    <t>Full Year</t>
  </si>
  <si>
    <t>Grand Total</t>
  </si>
  <si>
    <t>YTD</t>
  </si>
  <si>
    <t>Total Committed</t>
  </si>
  <si>
    <t>Sub Activity</t>
  </si>
  <si>
    <t>Saudi Roshen League</t>
  </si>
  <si>
    <t xml:space="preserve">Every Day lowest price </t>
  </si>
  <si>
    <t>Inserts</t>
  </si>
  <si>
    <t>Store Opening</t>
  </si>
  <si>
    <t>Var</t>
  </si>
  <si>
    <t>vs YTD</t>
  </si>
  <si>
    <t>vs Full Year</t>
  </si>
  <si>
    <t>Brand Operation</t>
  </si>
  <si>
    <t>Digital Media</t>
  </si>
  <si>
    <t>Influencer</t>
  </si>
  <si>
    <t>Instore Activation</t>
  </si>
  <si>
    <t>Marketing Concepts &amp; Visuals</t>
  </si>
  <si>
    <t>Outdoor Advertisement</t>
  </si>
  <si>
    <t>Thematic Display</t>
  </si>
  <si>
    <t>Communication Channel</t>
  </si>
  <si>
    <t>Ramadan Display</t>
  </si>
  <si>
    <t>PACE Event</t>
  </si>
  <si>
    <t>Public Relation Agency</t>
  </si>
  <si>
    <t>Brand Operation Total</t>
  </si>
  <si>
    <t>WhatsApp Communication</t>
  </si>
  <si>
    <t>Communication Channel Total</t>
  </si>
  <si>
    <t>Customer Care Agents</t>
  </si>
  <si>
    <t>Customer Engagement Total</t>
  </si>
  <si>
    <t>Social Media Scope</t>
  </si>
  <si>
    <t>Digital Media Total</t>
  </si>
  <si>
    <t>Influencer Total</t>
  </si>
  <si>
    <t>Instore Activation Total</t>
  </si>
  <si>
    <t>Leaflet Total</t>
  </si>
  <si>
    <t>Marketing Concepts &amp; Visuals Total</t>
  </si>
  <si>
    <t>Marketing Research Total</t>
  </si>
  <si>
    <t>Outdoor Advertisement Total</t>
  </si>
  <si>
    <t>Decoration Material Delivery</t>
  </si>
  <si>
    <t>Entrance Decoration</t>
  </si>
  <si>
    <t>Thematic Display Total</t>
  </si>
  <si>
    <t>FY Budget Utilization</t>
  </si>
  <si>
    <t>Reclass / Reversal</t>
  </si>
  <si>
    <t>Variance</t>
  </si>
  <si>
    <t>vs. YTD</t>
  </si>
  <si>
    <t>vs. Full Year</t>
  </si>
  <si>
    <t>Jan</t>
  </si>
  <si>
    <t>Feb</t>
  </si>
  <si>
    <t>Mar</t>
  </si>
  <si>
    <t>Apr</t>
  </si>
  <si>
    <t>May</t>
  </si>
  <si>
    <t>Click Flyer Retailers Analytics</t>
  </si>
  <si>
    <t>Week</t>
  </si>
  <si>
    <t>Leaflet by Month</t>
  </si>
  <si>
    <t>Leaflet by Type</t>
  </si>
  <si>
    <t>Concept &amp; Artwork</t>
  </si>
  <si>
    <t>Eid Display</t>
  </si>
  <si>
    <t>Full Year Outdoor Media Plan</t>
  </si>
  <si>
    <t>Stoppers</t>
  </si>
  <si>
    <t>Summer Campaign</t>
  </si>
  <si>
    <t>Qarqean Campaign Media Plan</t>
  </si>
  <si>
    <t>Household Panel Report</t>
  </si>
  <si>
    <t>Concept &amp; Artwork Total</t>
  </si>
  <si>
    <t>FY Budget Mix %</t>
  </si>
  <si>
    <t>Total Committed Mix %</t>
  </si>
  <si>
    <t>Mix %</t>
  </si>
  <si>
    <t>Owner</t>
  </si>
  <si>
    <t>Research and Insights</t>
  </si>
  <si>
    <t>CRM &amp; Loyalty</t>
  </si>
  <si>
    <t>PR &amp; Event Management</t>
  </si>
  <si>
    <t>Amr Almadani</t>
  </si>
  <si>
    <t>Ahmed Gabil</t>
  </si>
  <si>
    <t>PR &amp; Event Management Total</t>
  </si>
  <si>
    <t>Half Price</t>
  </si>
  <si>
    <t>Clix project</t>
  </si>
  <si>
    <t>Liquidation Campaign</t>
  </si>
  <si>
    <t>New Store Opening</t>
  </si>
  <si>
    <t>Gargaiaan Display</t>
  </si>
  <si>
    <t>Best Value Testimonial Video</t>
  </si>
  <si>
    <t>Aug</t>
  </si>
  <si>
    <t>Oct</t>
  </si>
  <si>
    <t>Nov</t>
  </si>
  <si>
    <t>Dec</t>
  </si>
  <si>
    <t>Customer Care</t>
  </si>
  <si>
    <t>Acrylic Fresh Stand</t>
  </si>
  <si>
    <t>Marketing Expense by Activity</t>
  </si>
  <si>
    <t>Better Together Internal Event Launch</t>
  </si>
  <si>
    <t>CRM &amp; Loyalty Total</t>
  </si>
  <si>
    <t>Sallati Cards</t>
  </si>
  <si>
    <t>Produce Berries Campaign</t>
  </si>
  <si>
    <t>YTD Apr Actual</t>
  </si>
  <si>
    <t>YTD Apr Budget</t>
  </si>
  <si>
    <t xml:space="preserve"> Y2025B</t>
  </si>
  <si>
    <t>Budget 2025</t>
  </si>
  <si>
    <t>Y2024A</t>
  </si>
  <si>
    <t>Budget Y2025</t>
  </si>
  <si>
    <t>April</t>
  </si>
  <si>
    <t>June</t>
  </si>
  <si>
    <t>July</t>
  </si>
  <si>
    <t>Sept</t>
  </si>
  <si>
    <t>Y2025B</t>
  </si>
  <si>
    <t>YTD Apr</t>
  </si>
  <si>
    <t>Ramadan</t>
  </si>
  <si>
    <t>Riyadh Chocolate Event</t>
  </si>
  <si>
    <t>Stores Reopening</t>
  </si>
  <si>
    <t>Makkah Store</t>
  </si>
  <si>
    <t>Inhouse Bakery Event</t>
  </si>
  <si>
    <t>Social Media</t>
  </si>
  <si>
    <t>MOC Handicraft Initiative</t>
  </si>
  <si>
    <t>Rady Meal Launch</t>
  </si>
  <si>
    <t>Digital Activation</t>
  </si>
  <si>
    <t>Beauty Event</t>
  </si>
  <si>
    <t>Price Point Tactic</t>
  </si>
  <si>
    <t>Buy More, Save More</t>
  </si>
  <si>
    <t>Retail Leaders Circle Summit</t>
  </si>
  <si>
    <t>Brand Revamp Event</t>
  </si>
  <si>
    <t>Fawazeer Prizes</t>
  </si>
  <si>
    <t>Al Raka Mall Event</t>
  </si>
  <si>
    <t>Retail Defined Hierarchy</t>
  </si>
  <si>
    <t>Share of Wallet Study</t>
  </si>
  <si>
    <t>Glow</t>
  </si>
  <si>
    <t>Chocolate Event</t>
  </si>
  <si>
    <t>Eid</t>
  </si>
  <si>
    <t>Store Coverage</t>
  </si>
  <si>
    <t>New Stores</t>
  </si>
  <si>
    <t>Private Lable</t>
  </si>
  <si>
    <t xml:space="preserve">Marketing Offsite Trip </t>
  </si>
  <si>
    <t xml:space="preserve">Leap Event </t>
  </si>
  <si>
    <t>Retail Me</t>
  </si>
  <si>
    <t>Ehsan Chairty</t>
  </si>
  <si>
    <t>New Joiners Gift Basket</t>
  </si>
  <si>
    <t>Food Photography</t>
  </si>
  <si>
    <t>Corporate Video Development</t>
  </si>
  <si>
    <t>UP Artwork Contract</t>
  </si>
  <si>
    <t>Mango</t>
  </si>
  <si>
    <t>YTD Apr 2026</t>
  </si>
  <si>
    <t>abc Caravan</t>
  </si>
  <si>
    <t>abc Riyadh Season Station</t>
  </si>
  <si>
    <t>Agency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</si>
</sst>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\-yyyy;@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-* #,##0.00_-;\-* #,##0.00_-;_-* &quot;-&quot;??_-;_-@_-"/>
    <numFmt numFmtId="169" formatCode="_(* #,##0.0_);_(* \(#,##0.0\);_(* &quot;-&quot;?_);_(@_)"/>
  </numFmts>
  <fonts count="24" x14ac:knownFonts="1"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Sakkal Majalla"/>
    </font>
    <font>
      <b/>
      <sz val="20"/>
      <name val="Sakkal Majalla"/>
    </font>
    <font>
      <b/>
      <i/>
      <sz val="15"/>
      <color theme="1"/>
      <name val="Sakkal Majalla"/>
    </font>
    <font>
      <b/>
      <sz val="16"/>
      <name val="Sakkal Majalla"/>
    </font>
    <font>
      <b/>
      <sz val="12"/>
      <name val="Sakkal Majalla"/>
    </font>
    <font>
      <b/>
      <sz val="14"/>
      <name val="Sakkal Majalla"/>
    </font>
    <font>
      <b/>
      <i/>
      <sz val="13"/>
      <color theme="1"/>
      <name val="Sakkal Majalla"/>
    </font>
    <font>
      <b/>
      <sz val="12"/>
      <color theme="1"/>
      <name val="Sakkal Majalla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0"/>
      <name val="Sakkal Majalla"/>
    </font>
    <font>
      <sz val="8"/>
      <name val="Calibri"/>
      <family val="2"/>
    </font>
    <font>
      <b/>
      <sz val="15"/>
      <name val="Sakkal Majalla"/>
    </font>
    <font>
      <sz val="12"/>
      <name val="Sakkal Majalla"/>
      <charset val="178"/>
    </font>
    <font>
      <b/>
      <sz val="20"/>
      <name val="Sakkal Majalla"/>
      <charset val="178"/>
    </font>
    <font>
      <b/>
      <i/>
      <sz val="15"/>
      <color theme="1"/>
      <name val="Sakkal Majalla"/>
      <charset val="178"/>
    </font>
    <font>
      <b/>
      <sz val="16"/>
      <name val="Sakkal Majalla"/>
      <charset val="178"/>
    </font>
    <font>
      <b/>
      <sz val="12"/>
      <name val="Sakkal Majalla"/>
      <charset val="178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9" tint="0.59999389629810485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theme="0" tint="-0.249977111117893"/>
      </left>
      <right/>
      <top style="thick">
        <color rgb="FFC00000"/>
      </top>
      <bottom/>
      <diagonal/>
    </border>
    <border>
      <left/>
      <right style="thin">
        <color theme="0" tint="-0.249977111117893"/>
      </right>
      <top style="thick">
        <color rgb="FFC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15" fillId="0" borderId="0"/>
    <xf numFmtId="43" fontId="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4" fillId="0" borderId="0"/>
    <xf numFmtId="0" fontId="1" fillId="0" borderId="0"/>
    <xf numFmtId="168" fontId="1" fillId="0" borderId="0" applyFont="0" applyFill="0" applyBorder="0" applyAlignment="0" applyProtection="0"/>
  </cellStyleXfs>
  <cellXfs count="117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4" fontId="8" fillId="0" borderId="0" xfId="0" quotePrefix="1" applyNumberFormat="1" applyFont="1" applyAlignment="1">
      <alignment horizontal="left"/>
    </xf>
    <xf numFmtId="0" fontId="9" fillId="0" borderId="0" xfId="0" applyFont="1"/>
    <xf numFmtId="0" fontId="10" fillId="0" borderId="2" xfId="0" applyFont="1" applyBorder="1"/>
    <xf numFmtId="0" fontId="10" fillId="0" borderId="0" xfId="0" applyFont="1"/>
    <xf numFmtId="0" fontId="6" fillId="0" borderId="5" xfId="0" applyFont="1" applyBorder="1"/>
    <xf numFmtId="165" fontId="6" fillId="0" borderId="5" xfId="1" applyNumberFormat="1" applyFont="1" applyBorder="1"/>
    <xf numFmtId="0" fontId="10" fillId="2" borderId="8" xfId="0" applyFont="1" applyFill="1" applyBorder="1"/>
    <xf numFmtId="165" fontId="10" fillId="2" borderId="8" xfId="1" applyNumberFormat="1" applyFont="1" applyFill="1" applyBorder="1"/>
    <xf numFmtId="2" fontId="10" fillId="2" borderId="2" xfId="0" applyNumberFormat="1" applyFont="1" applyFill="1" applyBorder="1" applyAlignment="1">
      <alignment horizontal="centerContinuous"/>
    </xf>
    <xf numFmtId="0" fontId="10" fillId="3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0" borderId="5" xfId="0" applyFont="1" applyBorder="1"/>
    <xf numFmtId="0" fontId="10" fillId="0" borderId="0" xfId="0" applyFont="1" applyAlignment="1">
      <alignment horizontal="center" vertical="center"/>
    </xf>
    <xf numFmtId="166" fontId="6" fillId="0" borderId="0" xfId="1" applyNumberFormat="1" applyFont="1" applyAlignment="1">
      <alignment horizontal="center"/>
    </xf>
    <xf numFmtId="0" fontId="10" fillId="2" borderId="2" xfId="0" applyFont="1" applyFill="1" applyBorder="1" applyAlignment="1">
      <alignment vertical="center"/>
    </xf>
    <xf numFmtId="166" fontId="10" fillId="2" borderId="2" xfId="1" applyNumberFormat="1" applyFont="1" applyFill="1" applyBorder="1" applyAlignment="1">
      <alignment horizontal="center" vertical="center"/>
    </xf>
    <xf numFmtId="0" fontId="10" fillId="2" borderId="0" xfId="0" applyFont="1" applyFill="1"/>
    <xf numFmtId="166" fontId="10" fillId="2" borderId="0" xfId="1" applyNumberFormat="1" applyFont="1" applyFill="1" applyAlignment="1">
      <alignment horizontal="center"/>
    </xf>
    <xf numFmtId="0" fontId="10" fillId="5" borderId="0" xfId="0" applyFont="1" applyFill="1"/>
    <xf numFmtId="166" fontId="10" fillId="5" borderId="0" xfId="1" applyNumberFormat="1" applyFont="1" applyFill="1" applyAlignment="1">
      <alignment horizontal="center"/>
    </xf>
    <xf numFmtId="0" fontId="11" fillId="0" borderId="0" xfId="0" applyFont="1"/>
    <xf numFmtId="164" fontId="12" fillId="0" borderId="0" xfId="0" quotePrefix="1" applyNumberFormat="1" applyFont="1" applyAlignment="1">
      <alignment horizontal="left"/>
    </xf>
    <xf numFmtId="0" fontId="10" fillId="3" borderId="7" xfId="0" applyFont="1" applyFill="1" applyBorder="1" applyAlignment="1">
      <alignment horizontal="center"/>
    </xf>
    <xf numFmtId="167" fontId="10" fillId="0" borderId="6" xfId="4" applyNumberFormat="1" applyFont="1" applyBorder="1" applyAlignment="1">
      <alignment horizontal="center"/>
    </xf>
    <xf numFmtId="167" fontId="10" fillId="0" borderId="7" xfId="4" applyNumberFormat="1" applyFont="1" applyBorder="1" applyAlignment="1">
      <alignment horizontal="center"/>
    </xf>
    <xf numFmtId="167" fontId="10" fillId="2" borderId="6" xfId="4" applyNumberFormat="1" applyFont="1" applyFill="1" applyBorder="1" applyAlignment="1">
      <alignment horizontal="center"/>
    </xf>
    <xf numFmtId="167" fontId="10" fillId="2" borderId="7" xfId="4" applyNumberFormat="1" applyFont="1" applyFill="1" applyBorder="1" applyAlignment="1">
      <alignment horizontal="center"/>
    </xf>
    <xf numFmtId="166" fontId="6" fillId="0" borderId="0" xfId="1" applyNumberFormat="1" applyFont="1"/>
    <xf numFmtId="0" fontId="10" fillId="2" borderId="2" xfId="0" applyFont="1" applyFill="1" applyBorder="1"/>
    <xf numFmtId="0" fontId="10" fillId="2" borderId="1" xfId="0" applyFont="1" applyFill="1" applyBorder="1"/>
    <xf numFmtId="0" fontId="10" fillId="3" borderId="5" xfId="0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Continuous"/>
    </xf>
    <xf numFmtId="0" fontId="10" fillId="0" borderId="12" xfId="0" applyFont="1" applyBorder="1"/>
    <xf numFmtId="167" fontId="10" fillId="0" borderId="13" xfId="4" applyNumberFormat="1" applyFont="1" applyBorder="1" applyAlignment="1">
      <alignment horizontal="center"/>
    </xf>
    <xf numFmtId="167" fontId="10" fillId="0" borderId="15" xfId="4" applyNumberFormat="1" applyFont="1" applyBorder="1" applyAlignment="1">
      <alignment horizontal="center"/>
    </xf>
    <xf numFmtId="0" fontId="10" fillId="2" borderId="12" xfId="0" applyFont="1" applyFill="1" applyBorder="1"/>
    <xf numFmtId="167" fontId="10" fillId="2" borderId="13" xfId="4" applyNumberFormat="1" applyFont="1" applyFill="1" applyBorder="1" applyAlignment="1">
      <alignment horizontal="center"/>
    </xf>
    <xf numFmtId="167" fontId="10" fillId="2" borderId="15" xfId="4" applyNumberFormat="1" applyFont="1" applyFill="1" applyBorder="1" applyAlignment="1">
      <alignment horizontal="center"/>
    </xf>
    <xf numFmtId="0" fontId="10" fillId="6" borderId="0" xfId="0" applyFont="1" applyFill="1"/>
    <xf numFmtId="166" fontId="10" fillId="6" borderId="0" xfId="1" applyNumberFormat="1" applyFont="1" applyFill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166" fontId="6" fillId="0" borderId="0" xfId="0" applyNumberFormat="1" applyFont="1"/>
    <xf numFmtId="166" fontId="6" fillId="0" borderId="0" xfId="1" applyNumberFormat="1" applyFont="1" applyFill="1" applyAlignment="1">
      <alignment horizontal="center"/>
    </xf>
    <xf numFmtId="169" fontId="6" fillId="0" borderId="0" xfId="0" applyNumberFormat="1" applyFont="1" applyAlignment="1">
      <alignment horizontal="center"/>
    </xf>
    <xf numFmtId="43" fontId="6" fillId="0" borderId="0" xfId="0" applyNumberFormat="1" applyFont="1"/>
    <xf numFmtId="0" fontId="13" fillId="8" borderId="0" xfId="0" applyFont="1" applyFill="1" applyAlignment="1">
      <alignment horizontal="center"/>
    </xf>
    <xf numFmtId="166" fontId="13" fillId="8" borderId="0" xfId="0" applyNumberFormat="1" applyFont="1" applyFill="1" applyAlignment="1">
      <alignment horizontal="center"/>
    </xf>
    <xf numFmtId="166" fontId="10" fillId="7" borderId="0" xfId="0" applyNumberFormat="1" applyFont="1" applyFill="1"/>
    <xf numFmtId="0" fontId="13" fillId="0" borderId="0" xfId="0" applyFont="1"/>
    <xf numFmtId="166" fontId="6" fillId="0" borderId="0" xfId="1" applyNumberFormat="1" applyFont="1" applyBorder="1" applyAlignment="1">
      <alignment horizontal="center"/>
    </xf>
    <xf numFmtId="166" fontId="6" fillId="0" borderId="6" xfId="1" applyNumberFormat="1" applyFont="1" applyBorder="1" applyAlignment="1">
      <alignment horizontal="center"/>
    </xf>
    <xf numFmtId="166" fontId="6" fillId="2" borderId="7" xfId="1" applyNumberFormat="1" applyFont="1" applyFill="1" applyBorder="1" applyAlignment="1">
      <alignment horizontal="center"/>
    </xf>
    <xf numFmtId="166" fontId="6" fillId="0" borderId="5" xfId="1" applyNumberFormat="1" applyFont="1" applyBorder="1"/>
    <xf numFmtId="166" fontId="10" fillId="0" borderId="6" xfId="1" applyNumberFormat="1" applyFont="1" applyBorder="1"/>
    <xf numFmtId="166" fontId="10" fillId="0" borderId="7" xfId="1" applyNumberFormat="1" applyFont="1" applyBorder="1"/>
    <xf numFmtId="166" fontId="10" fillId="2" borderId="9" xfId="1" applyNumberFormat="1" applyFont="1" applyFill="1" applyBorder="1" applyAlignment="1">
      <alignment horizontal="center"/>
    </xf>
    <xf numFmtId="166" fontId="10" fillId="2" borderId="10" xfId="1" applyNumberFormat="1" applyFont="1" applyFill="1" applyBorder="1" applyAlignment="1">
      <alignment horizontal="center"/>
    </xf>
    <xf numFmtId="166" fontId="10" fillId="2" borderId="11" xfId="1" applyNumberFormat="1" applyFont="1" applyFill="1" applyBorder="1" applyAlignment="1">
      <alignment horizontal="center"/>
    </xf>
    <xf numFmtId="166" fontId="10" fillId="2" borderId="5" xfId="1" applyNumberFormat="1" applyFont="1" applyFill="1" applyBorder="1"/>
    <xf numFmtId="166" fontId="10" fillId="2" borderId="0" xfId="0" applyNumberFormat="1" applyFont="1" applyFill="1"/>
    <xf numFmtId="166" fontId="10" fillId="2" borderId="9" xfId="1" applyNumberFormat="1" applyFont="1" applyFill="1" applyBorder="1"/>
    <xf numFmtId="166" fontId="10" fillId="2" borderId="11" xfId="1" applyNumberFormat="1" applyFont="1" applyFill="1" applyBorder="1"/>
    <xf numFmtId="166" fontId="6" fillId="0" borderId="13" xfId="1" applyNumberFormat="1" applyFont="1" applyBorder="1" applyAlignment="1">
      <alignment horizontal="center"/>
    </xf>
    <xf numFmtId="166" fontId="6" fillId="0" borderId="14" xfId="1" applyNumberFormat="1" applyFont="1" applyBorder="1" applyAlignment="1">
      <alignment horizontal="center"/>
    </xf>
    <xf numFmtId="166" fontId="6" fillId="0" borderId="12" xfId="1" applyNumberFormat="1" applyFont="1" applyBorder="1"/>
    <xf numFmtId="166" fontId="10" fillId="0" borderId="13" xfId="1" applyNumberFormat="1" applyFont="1" applyBorder="1"/>
    <xf numFmtId="166" fontId="10" fillId="0" borderId="15" xfId="1" applyNumberFormat="1" applyFont="1" applyBorder="1"/>
    <xf numFmtId="166" fontId="6" fillId="0" borderId="0" xfId="0" applyNumberFormat="1" applyFont="1" applyAlignment="1">
      <alignment horizontal="center"/>
    </xf>
    <xf numFmtId="166" fontId="10" fillId="2" borderId="3" xfId="0" applyNumberFormat="1" applyFont="1" applyFill="1" applyBorder="1" applyAlignment="1">
      <alignment horizontal="centerContinuous"/>
    </xf>
    <xf numFmtId="166" fontId="10" fillId="2" borderId="2" xfId="0" applyNumberFormat="1" applyFont="1" applyFill="1" applyBorder="1" applyAlignment="1">
      <alignment horizontal="centerContinuous"/>
    </xf>
    <xf numFmtId="166" fontId="10" fillId="0" borderId="2" xfId="0" applyNumberFormat="1" applyFont="1" applyBorder="1"/>
    <xf numFmtId="166" fontId="10" fillId="3" borderId="6" xfId="0" applyNumberFormat="1" applyFont="1" applyFill="1" applyBorder="1" applyAlignment="1">
      <alignment horizontal="center" vertical="center"/>
    </xf>
    <xf numFmtId="166" fontId="10" fillId="3" borderId="0" xfId="0" applyNumberFormat="1" applyFont="1" applyFill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6" fontId="10" fillId="3" borderId="5" xfId="0" applyNumberFormat="1" applyFont="1" applyFill="1" applyBorder="1" applyAlignment="1">
      <alignment horizontal="center"/>
    </xf>
    <xf numFmtId="166" fontId="10" fillId="2" borderId="8" xfId="1" applyNumberFormat="1" applyFont="1" applyFill="1" applyBorder="1"/>
    <xf numFmtId="166" fontId="10" fillId="2" borderId="13" xfId="1" applyNumberFormat="1" applyFont="1" applyFill="1" applyBorder="1" applyAlignment="1">
      <alignment horizontal="center"/>
    </xf>
    <xf numFmtId="166" fontId="10" fillId="2" borderId="14" xfId="1" applyNumberFormat="1" applyFont="1" applyFill="1" applyBorder="1" applyAlignment="1">
      <alignment horizontal="center"/>
    </xf>
    <xf numFmtId="166" fontId="10" fillId="2" borderId="15" xfId="1" applyNumberFormat="1" applyFont="1" applyFill="1" applyBorder="1" applyAlignment="1">
      <alignment horizontal="center"/>
    </xf>
    <xf numFmtId="166" fontId="10" fillId="2" borderId="13" xfId="1" applyNumberFormat="1" applyFont="1" applyFill="1" applyBorder="1"/>
    <xf numFmtId="166" fontId="10" fillId="2" borderId="15" xfId="1" applyNumberFormat="1" applyFont="1" applyFill="1" applyBorder="1"/>
    <xf numFmtId="43" fontId="6" fillId="0" borderId="0" xfId="0" applyNumberFormat="1" applyFont="1" applyAlignment="1">
      <alignment horizontal="center"/>
    </xf>
    <xf numFmtId="0" fontId="16" fillId="0" borderId="0" xfId="0" applyFont="1"/>
    <xf numFmtId="43" fontId="6" fillId="0" borderId="0" xfId="1" applyFont="1" applyAlignment="1">
      <alignment horizontal="center"/>
    </xf>
    <xf numFmtId="0" fontId="18" fillId="0" borderId="0" xfId="0" applyFont="1"/>
    <xf numFmtId="0" fontId="10" fillId="7" borderId="2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164" fontId="21" fillId="0" borderId="0" xfId="0" quotePrefix="1" applyNumberFormat="1" applyFont="1" applyAlignment="1">
      <alignment horizontal="left"/>
    </xf>
    <xf numFmtId="43" fontId="19" fillId="0" borderId="0" xfId="0" applyNumberFormat="1" applyFont="1"/>
    <xf numFmtId="0" fontId="22" fillId="0" borderId="0" xfId="0" applyFont="1"/>
    <xf numFmtId="0" fontId="19" fillId="0" borderId="0" xfId="0" applyFont="1" applyAlignment="1">
      <alignment horizontal="center"/>
    </xf>
    <xf numFmtId="166" fontId="19" fillId="0" borderId="0" xfId="1" applyNumberFormat="1" applyFont="1" applyBorder="1"/>
    <xf numFmtId="166" fontId="19" fillId="0" borderId="0" xfId="1" applyNumberFormat="1" applyFont="1"/>
    <xf numFmtId="166" fontId="23" fillId="2" borderId="0" xfId="1" applyNumberFormat="1" applyFont="1" applyFill="1" applyBorder="1"/>
    <xf numFmtId="166" fontId="19" fillId="4" borderId="0" xfId="1" applyNumberFormat="1" applyFont="1" applyFill="1" applyBorder="1" applyAlignment="1">
      <alignment horizontal="center" vertical="center"/>
    </xf>
    <xf numFmtId="166" fontId="23" fillId="2" borderId="0" xfId="1" applyNumberFormat="1" applyFont="1" applyFill="1" applyBorder="1" applyAlignment="1">
      <alignment horizontal="center" vertical="center"/>
    </xf>
    <xf numFmtId="0" fontId="23" fillId="2" borderId="0" xfId="0" applyFont="1" applyFill="1"/>
    <xf numFmtId="0" fontId="23" fillId="7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/>
    <xf numFmtId="166" fontId="23" fillId="0" borderId="0" xfId="1" applyNumberFormat="1" applyFont="1" applyBorder="1" applyAlignment="1">
      <alignment horizontal="center"/>
    </xf>
    <xf numFmtId="166" fontId="6" fillId="0" borderId="15" xfId="1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6" fontId="10" fillId="2" borderId="3" xfId="0" applyNumberFormat="1" applyFont="1" applyFill="1" applyBorder="1" applyAlignment="1">
      <alignment horizontal="center"/>
    </xf>
    <xf numFmtId="166" fontId="10" fillId="2" borderId="4" xfId="0" applyNumberFormat="1" applyFont="1" applyFill="1" applyBorder="1" applyAlignment="1">
      <alignment horizontal="center"/>
    </xf>
    <xf numFmtId="2" fontId="10" fillId="2" borderId="3" xfId="0" quotePrefix="1" applyNumberFormat="1" applyFont="1" applyFill="1" applyBorder="1" applyAlignment="1">
      <alignment horizontal="centerContinuous"/>
    </xf>
    <xf numFmtId="0" fontId="6" fillId="0" borderId="0" xfId="0" applyFont="1" applyBorder="1"/>
  </cellXfs>
  <cellStyles count="14">
    <cellStyle name="Comma" xfId="1" builtinId="3"/>
    <cellStyle name="Comma 2" xfId="3" xr:uid="{ACA561F5-A4C2-4997-906B-4E05E86DD10C}"/>
    <cellStyle name="Comma 3" xfId="6" xr:uid="{B05E2CE5-98C5-48F9-B235-5C25DE3540DF}"/>
    <cellStyle name="Comma 3 2" xfId="13" xr:uid="{38AB7AED-4027-4DEE-9221-0B989C467C7E}"/>
    <cellStyle name="Comma 4" xfId="8" xr:uid="{FC0216D8-7944-4CD3-AD1A-1AA227C3D649}"/>
    <cellStyle name="Comma 5" xfId="10" xr:uid="{ADBC1181-D619-4143-BB88-F2E1AC89E445}"/>
    <cellStyle name="Normal" xfId="0" builtinId="0"/>
    <cellStyle name="Normal 2" xfId="2" xr:uid="{BC527662-39FE-4394-84E6-98C8C1B1534F}"/>
    <cellStyle name="Normal 3" xfId="5" xr:uid="{98206C4D-4CF1-4C9C-A038-D465B430BB6B}"/>
    <cellStyle name="Normal 3 2" xfId="12" xr:uid="{3341E6DC-DA48-4DB9-837E-58435E6EF7CA}"/>
    <cellStyle name="Normal 4" xfId="7" xr:uid="{DE3A15EB-3EB4-4F9C-BF81-559802E870F8}"/>
    <cellStyle name="Normal 4 2" xfId="11" xr:uid="{3E608369-7371-46E0-8FF4-67F1463B4B87}"/>
    <cellStyle name="Normal 5" xfId="9" xr:uid="{DD7A7162-0B9E-4CDE-9712-68EB492E8F42}"/>
    <cellStyle name="Percent" xfId="4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BE9A-F353-445E-A214-49D2A37AE6A2}">
  <sheetPr>
    <tabColor theme="9" tint="0.59999389629810485"/>
    <pageSetUpPr fitToPage="1"/>
  </sheetPr>
  <dimension ref="B1:X53"/>
  <sheetViews>
    <sheetView showGridLines="0" tabSelected="1" zoomScale="70" zoomScaleNormal="70" zoomScaleSheetLayoutView="80" workbookViewId="0">
      <selection activeCell="Z8" sqref="Z8"/>
    </sheetView>
  </sheetViews>
  <sheetFormatPr defaultColWidth="8.73046875" defaultRowHeight="18.399999999999999" x14ac:dyDescent="0.85"/>
  <cols>
    <col min="1" max="1" width="1.53125" style="1" customWidth="1"/>
    <col min="2" max="2" width="34.265625" style="1" customWidth="1"/>
    <col min="3" max="3" width="0.59765625" style="1" customWidth="1"/>
    <col min="4" max="4" width="9.6640625" style="2" bestFit="1" customWidth="1"/>
    <col min="5" max="5" width="9.86328125" style="2" bestFit="1" customWidth="1"/>
    <col min="6" max="6" width="12.6640625" style="2" bestFit="1" customWidth="1"/>
    <col min="7" max="7" width="0.59765625" style="1" customWidth="1"/>
    <col min="8" max="8" width="9.6640625" style="1" bestFit="1" customWidth="1"/>
    <col min="9" max="9" width="0.53125" style="1" customWidth="1"/>
    <col min="10" max="10" width="0.33203125" style="1" customWidth="1"/>
    <col min="11" max="11" width="10.3984375" style="1" bestFit="1" customWidth="1"/>
    <col min="12" max="12" width="9.6640625" style="1" bestFit="1" customWidth="1"/>
    <col min="13" max="13" width="0.59765625" style="1" customWidth="1"/>
    <col min="14" max="14" width="8.796875" style="1" bestFit="1" customWidth="1"/>
    <col min="15" max="15" width="9.796875" style="1" bestFit="1" customWidth="1"/>
    <col min="16" max="16" width="0.59765625" style="1" customWidth="1"/>
    <col min="17" max="17" width="10.3984375" style="1" bestFit="1" customWidth="1"/>
    <col min="18" max="18" width="12.6640625" style="1" bestFit="1" customWidth="1"/>
    <col min="19" max="19" width="0.59765625" style="1" customWidth="1"/>
    <col min="20" max="20" width="17.59765625" style="1" bestFit="1" customWidth="1"/>
    <col min="21" max="21" width="12.59765625" style="1" bestFit="1" customWidth="1"/>
    <col min="22" max="22" width="1.53125" style="1" customWidth="1"/>
    <col min="23" max="16384" width="8.73046875" style="1"/>
  </cols>
  <sheetData>
    <row r="1" spans="2:24" ht="9" customHeight="1" x14ac:dyDescent="0.85"/>
    <row r="2" spans="2:24" ht="29.25" x14ac:dyDescent="1.25">
      <c r="B2" s="3" t="s">
        <v>4</v>
      </c>
    </row>
    <row r="3" spans="2:24" ht="22.15" x14ac:dyDescent="0.95">
      <c r="B3" s="4" t="s">
        <v>143</v>
      </c>
    </row>
    <row r="4" spans="2:24" ht="6" customHeight="1" x14ac:dyDescent="0.85">
      <c r="F4" s="88"/>
      <c r="H4" s="51"/>
      <c r="L4" s="51"/>
    </row>
    <row r="5" spans="2:24" ht="24" x14ac:dyDescent="1.05">
      <c r="B5" s="5" t="s">
        <v>5</v>
      </c>
    </row>
    <row r="6" spans="2:24" ht="4.5" customHeight="1" thickBot="1" x14ac:dyDescent="0.9">
      <c r="H6" s="2"/>
      <c r="I6" s="2"/>
      <c r="K6" s="2"/>
      <c r="N6" s="2"/>
    </row>
    <row r="7" spans="2:24" ht="18.75" thickTop="1" x14ac:dyDescent="0.85">
      <c r="B7" s="17"/>
      <c r="C7" s="6"/>
      <c r="D7" s="115" t="str">
        <f>B3</f>
        <v>YTD Apr 2026</v>
      </c>
      <c r="E7" s="12"/>
      <c r="F7" s="38"/>
      <c r="G7" s="6"/>
      <c r="H7" s="36"/>
      <c r="I7" s="35"/>
      <c r="J7" s="6"/>
      <c r="K7" s="111" t="s">
        <v>101</v>
      </c>
      <c r="L7" s="112"/>
      <c r="M7" s="6"/>
      <c r="N7" s="111" t="s">
        <v>51</v>
      </c>
      <c r="O7" s="112"/>
      <c r="P7" s="6"/>
      <c r="Q7" s="111" t="s">
        <v>49</v>
      </c>
      <c r="R7" s="112"/>
      <c r="S7" s="6"/>
      <c r="T7" s="111" t="s">
        <v>73</v>
      </c>
      <c r="U7" s="112"/>
    </row>
    <row r="8" spans="2:24" x14ac:dyDescent="0.85">
      <c r="B8" s="16" t="s">
        <v>6</v>
      </c>
      <c r="C8" s="7"/>
      <c r="D8" s="13" t="s">
        <v>1</v>
      </c>
      <c r="E8" s="14" t="s">
        <v>2</v>
      </c>
      <c r="F8" s="15" t="s">
        <v>13</v>
      </c>
      <c r="G8" s="19"/>
      <c r="H8" s="37" t="s">
        <v>102</v>
      </c>
      <c r="I8" s="14"/>
      <c r="J8" s="19"/>
      <c r="K8" s="47" t="str">
        <f>B3</f>
        <v>YTD Apr 2026</v>
      </c>
      <c r="L8" s="29" t="s">
        <v>10</v>
      </c>
      <c r="M8" s="7"/>
      <c r="N8" s="47" t="s">
        <v>52</v>
      </c>
      <c r="O8" s="29" t="s">
        <v>53</v>
      </c>
      <c r="P8" s="19"/>
      <c r="Q8" s="47" t="str">
        <f>B3</f>
        <v>YTD Apr 2026</v>
      </c>
      <c r="R8" s="29" t="s">
        <v>13</v>
      </c>
      <c r="S8" s="19"/>
      <c r="T8" s="47" t="s">
        <v>72</v>
      </c>
      <c r="U8" s="29" t="s">
        <v>71</v>
      </c>
    </row>
    <row r="9" spans="2:24" x14ac:dyDescent="0.85">
      <c r="B9" s="18" t="s">
        <v>27</v>
      </c>
      <c r="D9" s="57">
        <f>SUMIFS('Activity &amp; Sub Activity'!D:D,'Activity &amp; Sub Activity'!$A:$A,$B9)</f>
        <v>8415075</v>
      </c>
      <c r="E9" s="56">
        <f>SUMIFS('Activity &amp; Sub Activity'!E:E,'Activity &amp; Sub Activity'!$A:$A,$B9)</f>
        <v>0</v>
      </c>
      <c r="F9" s="58">
        <f t="shared" ref="F9:F22" si="0">SUM(D9:E9)</f>
        <v>8415075</v>
      </c>
      <c r="G9" s="48"/>
      <c r="H9" s="59">
        <v>23981253.600000001</v>
      </c>
      <c r="I9" s="48"/>
      <c r="J9" s="48"/>
      <c r="K9" s="60">
        <f>SUMIFS('Y2025B by Activities'!D:D,'Y2025B by Activities'!B:B,B9)</f>
        <v>9000000</v>
      </c>
      <c r="L9" s="61">
        <f>SUMIFS('Y2025B by Activities'!C:C,'Y2025B by Activities'!B:B,B9)</f>
        <v>23800000</v>
      </c>
      <c r="N9" s="60">
        <f t="shared" ref="N9" si="1">K9-D9</f>
        <v>584925</v>
      </c>
      <c r="O9" s="61">
        <f t="shared" ref="O9" si="2">L9-F9</f>
        <v>15384925</v>
      </c>
      <c r="Q9" s="30">
        <f t="shared" ref="Q9" si="3">IFERROR(D9/L9,0)</f>
        <v>0.3535745798319328</v>
      </c>
      <c r="R9" s="31">
        <f t="shared" ref="R9" si="4">IFERROR(F9/L9,0)</f>
        <v>0.3535745798319328</v>
      </c>
      <c r="T9" s="30">
        <f>F9/$F$46</f>
        <v>0.38690927666133973</v>
      </c>
      <c r="U9" s="31">
        <f>L9/$L$46</f>
        <v>0.3552238808090889</v>
      </c>
    </row>
    <row r="10" spans="2:24" x14ac:dyDescent="0.85">
      <c r="B10" s="18" t="s">
        <v>8</v>
      </c>
      <c r="D10" s="57">
        <f>SUMIFS('Activity &amp; Sub Activity'!D:D,'Activity &amp; Sub Activity'!$A:$A,$B10)</f>
        <v>5393879.2049999973</v>
      </c>
      <c r="E10" s="56">
        <f>SUMIFS('Activity &amp; Sub Activity'!E:E,'Activity &amp; Sub Activity'!$A:$A,$B10)</f>
        <v>0</v>
      </c>
      <c r="F10" s="58">
        <f t="shared" si="0"/>
        <v>5393879.2049999973</v>
      </c>
      <c r="G10" s="48"/>
      <c r="H10" s="59">
        <v>17131252.029999994</v>
      </c>
      <c r="I10" s="48"/>
      <c r="J10" s="48"/>
      <c r="K10" s="60">
        <f>SUMIFS('Y2025B by Activities'!D:D,'Y2025B by Activities'!B:B,B10)</f>
        <v>5100000</v>
      </c>
      <c r="L10" s="61">
        <f>SUMIFS('Y2025B by Activities'!C:C,'Y2025B by Activities'!B:B,B10)</f>
        <v>12000000</v>
      </c>
      <c r="N10" s="60">
        <f t="shared" ref="N10:N22" si="5">K10-D10</f>
        <v>-293879.20499999728</v>
      </c>
      <c r="O10" s="61">
        <f t="shared" ref="O10:O22" si="6">L10-F10</f>
        <v>6606120.7950000027</v>
      </c>
      <c r="Q10" s="30">
        <f t="shared" ref="Q10:Q22" si="7">IFERROR(D10/L10,0)</f>
        <v>0.44948993374999979</v>
      </c>
      <c r="R10" s="31">
        <f t="shared" ref="R10:R22" si="8">IFERROR(F10/L10,0)</f>
        <v>0.44948993374999979</v>
      </c>
      <c r="T10" s="30">
        <f t="shared" ref="T10:T22" si="9">F10/$F$46</f>
        <v>0.24800039234411947</v>
      </c>
      <c r="U10" s="31">
        <f t="shared" ref="U10:U22" si="10">L10/$L$46</f>
        <v>0.17910447771886837</v>
      </c>
      <c r="W10" s="34"/>
      <c r="X10" s="34"/>
    </row>
    <row r="11" spans="2:24" x14ac:dyDescent="0.85">
      <c r="B11" s="18" t="s">
        <v>22</v>
      </c>
      <c r="D11" s="57">
        <f>SUMIFS('Activity &amp; Sub Activity'!D:D,'Activity &amp; Sub Activity'!$A:$A,$B11)</f>
        <v>1476071</v>
      </c>
      <c r="E11" s="56">
        <f>SUMIFS('Activity &amp; Sub Activity'!E:E,'Activity &amp; Sub Activity'!$A:$A,$B11)</f>
        <v>70000</v>
      </c>
      <c r="F11" s="58">
        <f t="shared" si="0"/>
        <v>1546071</v>
      </c>
      <c r="G11" s="48"/>
      <c r="H11" s="59">
        <v>16362288.580000002</v>
      </c>
      <c r="I11" s="48"/>
      <c r="J11" s="48"/>
      <c r="K11" s="60">
        <f>SUMIFS('Y2025B by Activities'!D:D,'Y2025B by Activities'!B:B,B11)</f>
        <v>2863333.32</v>
      </c>
      <c r="L11" s="61">
        <f>SUMIFS('Y2025B by Activities'!C:C,'Y2025B by Activities'!B:B,B11)</f>
        <v>8589999.9599999972</v>
      </c>
      <c r="N11" s="60">
        <f t="shared" si="5"/>
        <v>1387262.3199999998</v>
      </c>
      <c r="O11" s="61">
        <f t="shared" si="6"/>
        <v>7043928.9599999972</v>
      </c>
      <c r="Q11" s="30">
        <f t="shared" si="7"/>
        <v>0.17183597286070307</v>
      </c>
      <c r="R11" s="31">
        <f t="shared" si="8"/>
        <v>0.17998498337594876</v>
      </c>
      <c r="T11" s="30">
        <f t="shared" si="9"/>
        <v>7.1085428505042944E-2</v>
      </c>
      <c r="U11" s="31">
        <f t="shared" si="10"/>
        <v>0.12820895470340829</v>
      </c>
    </row>
    <row r="12" spans="2:24" x14ac:dyDescent="0.85">
      <c r="B12" s="18" t="s">
        <v>28</v>
      </c>
      <c r="D12" s="57">
        <f>SUMIFS('Activity &amp; Sub Activity'!D:D,'Activity &amp; Sub Activity'!$A:$A,$B12)</f>
        <v>1361139.5400000003</v>
      </c>
      <c r="E12" s="56">
        <f>SUMIFS('Activity &amp; Sub Activity'!E:E,'Activity &amp; Sub Activity'!$A:$A,$B12)</f>
        <v>45000</v>
      </c>
      <c r="F12" s="58">
        <f t="shared" si="0"/>
        <v>1406139.5400000003</v>
      </c>
      <c r="G12" s="48"/>
      <c r="H12" s="59">
        <v>7463474.209999999</v>
      </c>
      <c r="I12" s="48"/>
      <c r="J12" s="48"/>
      <c r="K12" s="60">
        <f>SUMIFS('Y2025B by Activities'!D:D,'Y2025B by Activities'!B:B,B12)</f>
        <v>1600000</v>
      </c>
      <c r="L12" s="61">
        <f>SUMIFS('Y2025B by Activities'!C:C,'Y2025B by Activities'!B:B,B12)</f>
        <v>4000000</v>
      </c>
      <c r="N12" s="60">
        <f t="shared" si="5"/>
        <v>238860.45999999973</v>
      </c>
      <c r="O12" s="61">
        <f t="shared" si="6"/>
        <v>2593860.46</v>
      </c>
      <c r="Q12" s="30">
        <f t="shared" si="7"/>
        <v>0.34028488500000009</v>
      </c>
      <c r="R12" s="31">
        <f t="shared" si="8"/>
        <v>0.35153488500000007</v>
      </c>
      <c r="T12" s="30">
        <f t="shared" si="9"/>
        <v>6.4651643901725078E-2</v>
      </c>
      <c r="U12" s="31">
        <f t="shared" si="10"/>
        <v>5.9701492572956122E-2</v>
      </c>
    </row>
    <row r="13" spans="2:24" x14ac:dyDescent="0.85">
      <c r="B13" s="18" t="s">
        <v>23</v>
      </c>
      <c r="D13" s="57">
        <f>SUMIFS('Activity &amp; Sub Activity'!D:D,'Activity &amp; Sub Activity'!$A:$A,$B13)</f>
        <v>1629589.2999999998</v>
      </c>
      <c r="E13" s="56">
        <f>SUMIFS('Activity &amp; Sub Activity'!E:E,'Activity &amp; Sub Activity'!$A:$A,$B13)</f>
        <v>175000</v>
      </c>
      <c r="F13" s="58">
        <f t="shared" si="0"/>
        <v>1804589.2999999998</v>
      </c>
      <c r="G13" s="48"/>
      <c r="H13" s="59">
        <v>4496816.2899999991</v>
      </c>
      <c r="I13" s="48"/>
      <c r="J13" s="48"/>
      <c r="K13" s="60">
        <f>SUMIFS('Y2025B by Activities'!D:D,'Y2025B by Activities'!B:B,B13)</f>
        <v>1700000</v>
      </c>
      <c r="L13" s="61">
        <f>SUMIFS('Y2025B by Activities'!C:C,'Y2025B by Activities'!B:B,B13)</f>
        <v>3700000</v>
      </c>
      <c r="N13" s="60">
        <f t="shared" si="5"/>
        <v>70410.700000000186</v>
      </c>
      <c r="O13" s="61">
        <f t="shared" si="6"/>
        <v>1895410.7000000002</v>
      </c>
      <c r="Q13" s="30">
        <f t="shared" si="7"/>
        <v>0.44042954054054051</v>
      </c>
      <c r="R13" s="31">
        <f t="shared" si="8"/>
        <v>0.48772683783783777</v>
      </c>
      <c r="T13" s="30">
        <f t="shared" si="9"/>
        <v>8.2971612342586765E-2</v>
      </c>
      <c r="U13" s="31">
        <f t="shared" si="10"/>
        <v>5.5223880629984415E-2</v>
      </c>
    </row>
    <row r="14" spans="2:24" x14ac:dyDescent="0.85">
      <c r="B14" s="18" t="s">
        <v>29</v>
      </c>
      <c r="D14" s="57">
        <f>SUMIFS('Activity &amp; Sub Activity'!D:D,'Activity &amp; Sub Activity'!$A:$A,$B14)</f>
        <v>725520.83000000007</v>
      </c>
      <c r="E14" s="56">
        <f>SUMIFS('Activity &amp; Sub Activity'!E:E,'Activity &amp; Sub Activity'!$A:$A,$B14)</f>
        <v>200000</v>
      </c>
      <c r="F14" s="58">
        <f t="shared" si="0"/>
        <v>925520.83000000007</v>
      </c>
      <c r="G14" s="48"/>
      <c r="H14" s="59">
        <v>5393761.1799999997</v>
      </c>
      <c r="I14" s="48"/>
      <c r="J14" s="48"/>
      <c r="K14" s="60">
        <f>SUMIFS('Y2025B by Activities'!D:D,'Y2025B by Activities'!B:B,B14)</f>
        <v>2136665.3199999998</v>
      </c>
      <c r="L14" s="61">
        <f>SUMIFS('Y2025B by Activities'!C:C,'Y2025B by Activities'!B:B,B14)</f>
        <v>6409999.9999999991</v>
      </c>
      <c r="N14" s="60">
        <f t="shared" si="5"/>
        <v>1411144.4899999998</v>
      </c>
      <c r="O14" s="61">
        <f t="shared" si="6"/>
        <v>5484479.169999999</v>
      </c>
      <c r="Q14" s="30">
        <f t="shared" si="7"/>
        <v>0.11318577691107647</v>
      </c>
      <c r="R14" s="31">
        <f t="shared" si="8"/>
        <v>0.14438702496099848</v>
      </c>
      <c r="T14" s="30">
        <f t="shared" si="9"/>
        <v>4.2553702120337947E-2</v>
      </c>
      <c r="U14" s="31">
        <f t="shared" si="10"/>
        <v>9.5671641848162167E-2</v>
      </c>
    </row>
    <row r="15" spans="2:24" x14ac:dyDescent="0.85">
      <c r="B15" s="18" t="s">
        <v>26</v>
      </c>
      <c r="D15" s="57">
        <f>SUMIFS('Activity &amp; Sub Activity'!D:D,'Activity &amp; Sub Activity'!$A:$A,$B15)</f>
        <v>49640</v>
      </c>
      <c r="E15" s="56">
        <f>SUMIFS('Activity &amp; Sub Activity'!E:E,'Activity &amp; Sub Activity'!$A:$A,$B15)</f>
        <v>0</v>
      </c>
      <c r="F15" s="58">
        <f t="shared" si="0"/>
        <v>49640</v>
      </c>
      <c r="G15" s="48"/>
      <c r="H15" s="59">
        <v>3048088.52</v>
      </c>
      <c r="I15" s="48"/>
      <c r="J15" s="48"/>
      <c r="K15" s="60">
        <f>SUMIFS('Y2025B by Activities'!D:D,'Y2025B by Activities'!B:B,B15)</f>
        <v>1300000</v>
      </c>
      <c r="L15" s="61">
        <f>SUMIFS('Y2025B by Activities'!C:C,'Y2025B by Activities'!B:B,B15)</f>
        <v>3500000</v>
      </c>
      <c r="N15" s="60">
        <f t="shared" si="5"/>
        <v>1250360</v>
      </c>
      <c r="O15" s="61">
        <f t="shared" si="6"/>
        <v>3450360</v>
      </c>
      <c r="Q15" s="30">
        <f t="shared" si="7"/>
        <v>1.4182857142857143E-2</v>
      </c>
      <c r="R15" s="31">
        <f t="shared" si="8"/>
        <v>1.4182857142857143E-2</v>
      </c>
      <c r="T15" s="30">
        <f t="shared" si="9"/>
        <v>2.2823535730185297E-3</v>
      </c>
      <c r="U15" s="31">
        <f t="shared" si="10"/>
        <v>5.2238806001336603E-2</v>
      </c>
    </row>
    <row r="16" spans="2:24" x14ac:dyDescent="0.85">
      <c r="B16" s="18" t="s">
        <v>77</v>
      </c>
      <c r="D16" s="57">
        <f>SUMIFS('Activity &amp; Sub Activity'!D:D,'Activity &amp; Sub Activity'!$A:$A,$B16)</f>
        <v>102823.60999999999</v>
      </c>
      <c r="E16" s="56">
        <f>SUMIFS('Activity &amp; Sub Activity'!E:E,'Activity &amp; Sub Activity'!$A:$A,$B16)</f>
        <v>45000</v>
      </c>
      <c r="F16" s="58">
        <f t="shared" si="0"/>
        <v>147823.60999999999</v>
      </c>
      <c r="G16" s="48"/>
      <c r="H16" s="59">
        <v>3027354.25</v>
      </c>
      <c r="I16" s="48"/>
      <c r="J16" s="48"/>
      <c r="K16" s="60">
        <f>SUMIFS('Y2025B by Activities'!D:D,'Y2025B by Activities'!B:B,B16)</f>
        <v>291666</v>
      </c>
      <c r="L16" s="61">
        <f>SUMIFS('Y2025B by Activities'!C:C,'Y2025B by Activities'!B:B,B16)</f>
        <v>1000000</v>
      </c>
      <c r="N16" s="60">
        <f t="shared" si="5"/>
        <v>188842.39</v>
      </c>
      <c r="O16" s="61">
        <f t="shared" si="6"/>
        <v>852176.39</v>
      </c>
      <c r="Q16" s="30">
        <f t="shared" si="7"/>
        <v>0.10282360999999998</v>
      </c>
      <c r="R16" s="31">
        <f t="shared" si="8"/>
        <v>0.14782360999999999</v>
      </c>
      <c r="T16" s="30">
        <f t="shared" si="9"/>
        <v>6.7966507747783574E-3</v>
      </c>
      <c r="U16" s="31">
        <f t="shared" si="10"/>
        <v>1.492537314323903E-2</v>
      </c>
    </row>
    <row r="17" spans="2:21" x14ac:dyDescent="0.85">
      <c r="B17" s="18" t="s">
        <v>91</v>
      </c>
      <c r="D17" s="57">
        <f>SUMIFS('Activity &amp; Sub Activity'!D:D,'Activity &amp; Sub Activity'!$A:$A,$B17)</f>
        <v>1137741.2799999998</v>
      </c>
      <c r="E17" s="56">
        <f>SUMIFS('Activity &amp; Sub Activity'!E:E,'Activity &amp; Sub Activity'!$A:$A,$B17)</f>
        <v>0</v>
      </c>
      <c r="F17" s="58">
        <f t="shared" si="0"/>
        <v>1137741.2799999998</v>
      </c>
      <c r="G17" s="48"/>
      <c r="H17" s="59">
        <v>1866543.0499999993</v>
      </c>
      <c r="I17" s="48"/>
      <c r="J17" s="48"/>
      <c r="K17" s="60">
        <f>SUMIFS('Y2025B by Activities'!D:D,'Y2025B by Activities'!B:B,B17)</f>
        <v>500000</v>
      </c>
      <c r="L17" s="61">
        <f>SUMIFS('Y2025B by Activities'!C:C,'Y2025B by Activities'!B:B,B17)</f>
        <v>1500000</v>
      </c>
      <c r="N17" s="60">
        <f t="shared" si="5"/>
        <v>-637741.2799999998</v>
      </c>
      <c r="O17" s="61">
        <f t="shared" si="6"/>
        <v>362258.7200000002</v>
      </c>
      <c r="Q17" s="30">
        <f t="shared" si="7"/>
        <v>0.75849418666666657</v>
      </c>
      <c r="R17" s="31">
        <f t="shared" si="8"/>
        <v>0.75849418666666657</v>
      </c>
      <c r="T17" s="30">
        <f t="shared" si="9"/>
        <v>5.2311198138168313E-2</v>
      </c>
      <c r="U17" s="31">
        <f t="shared" si="10"/>
        <v>2.2388059714858546E-2</v>
      </c>
    </row>
    <row r="18" spans="2:21" x14ac:dyDescent="0.85">
      <c r="B18" s="18" t="s">
        <v>24</v>
      </c>
      <c r="D18" s="57">
        <f>SUMIFS('Activity &amp; Sub Activity'!D:D,'Activity &amp; Sub Activity'!$A:$A,$B18)</f>
        <v>379805</v>
      </c>
      <c r="E18" s="56">
        <f>SUMIFS('Activity &amp; Sub Activity'!E:E,'Activity &amp; Sub Activity'!$A:$A,$B18)</f>
        <v>25000</v>
      </c>
      <c r="F18" s="58">
        <f t="shared" si="0"/>
        <v>404805</v>
      </c>
      <c r="G18" s="48"/>
      <c r="H18" s="59">
        <v>1545671</v>
      </c>
      <c r="I18" s="48"/>
      <c r="J18" s="48"/>
      <c r="K18" s="60">
        <f>SUMIFS('Y2025B by Activities'!D:D,'Y2025B by Activities'!B:B,B18)</f>
        <v>700000</v>
      </c>
      <c r="L18" s="61">
        <f>SUMIFS('Y2025B by Activities'!C:C,'Y2025B by Activities'!B:B,B18)</f>
        <v>1500000</v>
      </c>
      <c r="N18" s="60">
        <f t="shared" si="5"/>
        <v>320195</v>
      </c>
      <c r="O18" s="61">
        <f t="shared" si="6"/>
        <v>1095195</v>
      </c>
      <c r="Q18" s="30">
        <f t="shared" si="7"/>
        <v>0.25320333333333334</v>
      </c>
      <c r="R18" s="31">
        <f t="shared" si="8"/>
        <v>0.26987</v>
      </c>
      <c r="T18" s="30">
        <f t="shared" si="9"/>
        <v>1.8612170389318412E-2</v>
      </c>
      <c r="U18" s="31">
        <f t="shared" si="10"/>
        <v>2.2388059714858546E-2</v>
      </c>
    </row>
    <row r="19" spans="2:21" x14ac:dyDescent="0.85">
      <c r="B19" s="18" t="s">
        <v>75</v>
      </c>
      <c r="D19" s="57">
        <f>SUMIFS('Activity &amp; Sub Activity'!D:D,'Activity &amp; Sub Activity'!$A:$A,$B19)</f>
        <v>488193.75</v>
      </c>
      <c r="E19" s="56">
        <f>SUMIFS('Activity &amp; Sub Activity'!E:E,'Activity &amp; Sub Activity'!$A:$A,$B19)</f>
        <v>30000</v>
      </c>
      <c r="F19" s="58">
        <f t="shared" si="0"/>
        <v>518193.75</v>
      </c>
      <c r="G19" s="48"/>
      <c r="H19" s="59">
        <v>1081405.48</v>
      </c>
      <c r="I19" s="48"/>
      <c r="J19" s="48"/>
      <c r="K19" s="60">
        <f>SUMIFS('Y2025B by Activities'!D:D,'Y2025B by Activities'!B:B,B19)</f>
        <v>500000</v>
      </c>
      <c r="L19" s="61">
        <f>SUMIFS('Y2025B by Activities'!C:C,'Y2025B by Activities'!B:B,B19)</f>
        <v>1000000</v>
      </c>
      <c r="N19" s="60">
        <f t="shared" si="5"/>
        <v>11806.25</v>
      </c>
      <c r="O19" s="61">
        <f t="shared" si="6"/>
        <v>481806.25</v>
      </c>
      <c r="Q19" s="30">
        <f t="shared" si="7"/>
        <v>0.48819374999999998</v>
      </c>
      <c r="R19" s="31">
        <f t="shared" si="8"/>
        <v>0.51819375000000001</v>
      </c>
      <c r="T19" s="30">
        <f t="shared" si="9"/>
        <v>2.3825571249564279E-2</v>
      </c>
      <c r="U19" s="31">
        <f t="shared" si="10"/>
        <v>1.492537314323903E-2</v>
      </c>
    </row>
    <row r="20" spans="2:21" x14ac:dyDescent="0.85">
      <c r="B20" s="18" t="s">
        <v>76</v>
      </c>
      <c r="D20" s="57">
        <f>SUMIFS('Activity &amp; Sub Activity'!D:D,'Activity &amp; Sub Activity'!$A:$A,$B20)</f>
        <v>0</v>
      </c>
      <c r="E20" s="56">
        <f>SUMIFS('Activity &amp; Sub Activity'!E:E,'Activity &amp; Sub Activity'!$A:$A,$B20)</f>
        <v>0</v>
      </c>
      <c r="F20" s="58">
        <f t="shared" si="0"/>
        <v>0</v>
      </c>
      <c r="G20" s="48"/>
      <c r="H20" s="59">
        <v>701475</v>
      </c>
      <c r="I20" s="48"/>
      <c r="J20" s="48"/>
      <c r="K20" s="60">
        <f>SUMIFS('Y2025B by Activities'!D:D,'Y2025B by Activities'!B:B,B20)</f>
        <v>0</v>
      </c>
      <c r="L20" s="61">
        <f>SUMIFS('Y2025B by Activities'!C:C,'Y2025B by Activities'!B:B,B20)</f>
        <v>0</v>
      </c>
      <c r="N20" s="60">
        <f t="shared" si="5"/>
        <v>0</v>
      </c>
      <c r="O20" s="61">
        <f t="shared" si="6"/>
        <v>0</v>
      </c>
      <c r="Q20" s="30">
        <f t="shared" si="7"/>
        <v>0</v>
      </c>
      <c r="R20" s="31">
        <f t="shared" si="8"/>
        <v>0</v>
      </c>
      <c r="T20" s="30">
        <f t="shared" si="9"/>
        <v>0</v>
      </c>
      <c r="U20" s="31">
        <f t="shared" si="10"/>
        <v>0</v>
      </c>
    </row>
    <row r="21" spans="2:21" x14ac:dyDescent="0.85">
      <c r="B21" s="18" t="s">
        <v>25</v>
      </c>
      <c r="D21" s="57">
        <f>SUMIFS('Activity &amp; Sub Activity'!D:D,'Activity &amp; Sub Activity'!$A:$A,$B21)</f>
        <v>0</v>
      </c>
      <c r="E21" s="56">
        <f>SUMIFS('Activity &amp; Sub Activity'!E:E,'Activity &amp; Sub Activity'!$A:$A,$B21)</f>
        <v>0</v>
      </c>
      <c r="F21" s="58">
        <f t="shared" si="0"/>
        <v>0</v>
      </c>
      <c r="G21" s="48"/>
      <c r="H21" s="59">
        <v>424133.50000000006</v>
      </c>
      <c r="I21" s="48"/>
      <c r="J21" s="48"/>
      <c r="K21" s="60">
        <f>SUMIFS('Y2025B by Activities'!D:D,'Y2025B by Activities'!B:B,B21)</f>
        <v>0</v>
      </c>
      <c r="L21" s="61">
        <f>SUMIFS('Y2025B by Activities'!C:C,'Y2025B by Activities'!B:B,B21)</f>
        <v>0</v>
      </c>
      <c r="N21" s="60">
        <f t="shared" si="5"/>
        <v>0</v>
      </c>
      <c r="O21" s="61">
        <f t="shared" si="6"/>
        <v>0</v>
      </c>
      <c r="Q21" s="30">
        <f t="shared" si="7"/>
        <v>0</v>
      </c>
      <c r="R21" s="31">
        <f t="shared" si="8"/>
        <v>0</v>
      </c>
      <c r="T21" s="30">
        <f t="shared" si="9"/>
        <v>0</v>
      </c>
      <c r="U21" s="31">
        <f t="shared" si="10"/>
        <v>0</v>
      </c>
    </row>
    <row r="22" spans="2:21" x14ac:dyDescent="0.85">
      <c r="B22" s="18" t="s">
        <v>63</v>
      </c>
      <c r="D22" s="57">
        <f>SUMIFS('Activity &amp; Sub Activity'!D:D,'Activity &amp; Sub Activity'!$A:$A,$B22)</f>
        <v>0</v>
      </c>
      <c r="E22" s="56">
        <f>SUMIFS('Activity &amp; Sub Activity'!E:E,'Activity &amp; Sub Activity'!$A:$A,$B22)</f>
        <v>0</v>
      </c>
      <c r="F22" s="58">
        <f t="shared" si="0"/>
        <v>0</v>
      </c>
      <c r="G22" s="48"/>
      <c r="H22" s="59">
        <v>943645.62</v>
      </c>
      <c r="I22" s="48"/>
      <c r="J22" s="48"/>
      <c r="K22" s="60">
        <f>SUMIFS('Y2025B by Activities'!D:D,'Y2025B by Activities'!B:B,B22)</f>
        <v>0</v>
      </c>
      <c r="L22" s="61">
        <f>SUMIFS('Y2025B by Activities'!C:C,'Y2025B by Activities'!B:B,B22)</f>
        <v>0</v>
      </c>
      <c r="N22" s="60">
        <f t="shared" si="5"/>
        <v>0</v>
      </c>
      <c r="O22" s="61">
        <f t="shared" si="6"/>
        <v>0</v>
      </c>
      <c r="Q22" s="30">
        <f t="shared" si="7"/>
        <v>0</v>
      </c>
      <c r="R22" s="31">
        <f t="shared" si="8"/>
        <v>0</v>
      </c>
      <c r="T22" s="30">
        <f t="shared" si="9"/>
        <v>0</v>
      </c>
      <c r="U22" s="31">
        <f t="shared" si="10"/>
        <v>0</v>
      </c>
    </row>
    <row r="23" spans="2:21" x14ac:dyDescent="0.85">
      <c r="B23" s="10" t="s">
        <v>0</v>
      </c>
      <c r="D23" s="62">
        <f>SUBTOTAL(9,D9:D22)</f>
        <v>21159478.515000001</v>
      </c>
      <c r="E23" s="63">
        <f>SUBTOTAL(9,E9:E22)</f>
        <v>590000</v>
      </c>
      <c r="F23" s="64">
        <f>SUBTOTAL(9,F9:F22)</f>
        <v>21749478.515000001</v>
      </c>
      <c r="G23" s="48"/>
      <c r="H23" s="65">
        <f>SUBTOTAL(9,H9:H22)</f>
        <v>87467162.309999987</v>
      </c>
      <c r="I23" s="66"/>
      <c r="J23" s="48"/>
      <c r="K23" s="67">
        <f>SUBTOTAL(9,K9:K22)</f>
        <v>25691664.640000001</v>
      </c>
      <c r="L23" s="68">
        <f>SUBTOTAL(9,L9:L22)</f>
        <v>66999999.959999993</v>
      </c>
      <c r="N23" s="67">
        <f>SUBTOTAL(9,N9:N22)</f>
        <v>4532186.1250000019</v>
      </c>
      <c r="O23" s="68">
        <f>SUBTOTAL(9,O9:O22)</f>
        <v>45250521.445</v>
      </c>
      <c r="Q23" s="32">
        <f t="shared" ref="Q23" si="11">IFERROR(D23/L23,0)</f>
        <v>0.3158131123527243</v>
      </c>
      <c r="R23" s="33">
        <f t="shared" ref="R23" si="12">IFERROR(F23/L23,0)</f>
        <v>0.32461908250723531</v>
      </c>
      <c r="T23" s="32">
        <f>F23/$F$46</f>
        <v>1</v>
      </c>
      <c r="U23" s="33">
        <f>L23/$L$46</f>
        <v>1</v>
      </c>
    </row>
    <row r="24" spans="2:21" ht="6" customHeight="1" x14ac:dyDescent="0.85">
      <c r="D24" s="20"/>
      <c r="E24" s="20"/>
      <c r="F24" s="20"/>
      <c r="G24" s="48"/>
      <c r="H24" s="48"/>
      <c r="I24" s="48"/>
      <c r="J24" s="48"/>
      <c r="K24" s="48"/>
      <c r="L24" s="48"/>
      <c r="N24" s="48"/>
      <c r="O24" s="48"/>
    </row>
    <row r="25" spans="2:21" x14ac:dyDescent="0.85">
      <c r="B25" s="39" t="s">
        <v>50</v>
      </c>
      <c r="D25" s="69">
        <v>0</v>
      </c>
      <c r="E25" s="70">
        <f>E23-'Activity &amp; Sub Activity'!E106</f>
        <v>0</v>
      </c>
      <c r="F25" s="110">
        <f t="shared" ref="F25" si="13">SUM(D25:E25)</f>
        <v>0</v>
      </c>
      <c r="G25" s="48"/>
      <c r="H25" s="71">
        <v>0</v>
      </c>
      <c r="I25" s="48"/>
      <c r="J25" s="48"/>
      <c r="K25" s="72">
        <v>0</v>
      </c>
      <c r="L25" s="73">
        <v>0</v>
      </c>
      <c r="N25" s="72">
        <f t="shared" ref="N25" si="14">K25-D25</f>
        <v>0</v>
      </c>
      <c r="O25" s="73">
        <f t="shared" ref="O25" si="15">L25-F25</f>
        <v>0</v>
      </c>
      <c r="Q25" s="40">
        <f t="shared" ref="Q25" si="16">IFERROR(D25/L25,0)</f>
        <v>0</v>
      </c>
      <c r="R25" s="41">
        <f t="shared" ref="R25" si="17">IFERROR(F25/L25,0)</f>
        <v>0</v>
      </c>
      <c r="T25" s="40">
        <v>0</v>
      </c>
      <c r="U25" s="41">
        <v>0</v>
      </c>
    </row>
    <row r="26" spans="2:21" ht="24.5" hidden="1" customHeight="1" x14ac:dyDescent="1.05">
      <c r="B26" s="5" t="s">
        <v>3</v>
      </c>
      <c r="D26" s="74"/>
      <c r="E26" s="74"/>
      <c r="F26" s="74"/>
      <c r="G26" s="48"/>
      <c r="H26" s="48"/>
      <c r="I26" s="48"/>
      <c r="J26" s="48"/>
      <c r="K26" s="48"/>
      <c r="L26" s="48"/>
      <c r="N26" s="48"/>
      <c r="O26" s="48"/>
    </row>
    <row r="27" spans="2:21" ht="4.5" hidden="1" customHeight="1" x14ac:dyDescent="0.85">
      <c r="D27" s="74"/>
      <c r="E27" s="74"/>
      <c r="F27" s="74"/>
      <c r="G27" s="48"/>
      <c r="H27" s="74"/>
      <c r="I27" s="74"/>
      <c r="J27" s="48"/>
      <c r="K27" s="74"/>
      <c r="L27" s="48"/>
      <c r="N27" s="74"/>
      <c r="O27" s="48"/>
    </row>
    <row r="28" spans="2:21" ht="19.05" hidden="1" customHeight="1" x14ac:dyDescent="0.85">
      <c r="B28" s="17"/>
      <c r="C28" s="6"/>
      <c r="D28" s="75"/>
      <c r="E28" s="76"/>
      <c r="F28" s="76"/>
      <c r="G28" s="77"/>
      <c r="H28" s="77"/>
      <c r="I28" s="77"/>
      <c r="J28" s="77"/>
      <c r="K28" s="113" t="s">
        <v>9</v>
      </c>
      <c r="L28" s="114"/>
      <c r="M28" s="6"/>
      <c r="N28" s="113" t="s">
        <v>19</v>
      </c>
      <c r="O28" s="114"/>
      <c r="P28" s="6"/>
      <c r="Q28" s="111"/>
      <c r="R28" s="112"/>
      <c r="S28" s="6"/>
      <c r="T28" s="111"/>
      <c r="U28" s="112"/>
    </row>
    <row r="29" spans="2:21" ht="18.5" hidden="1" customHeight="1" x14ac:dyDescent="0.85">
      <c r="B29" s="16" t="s">
        <v>7</v>
      </c>
      <c r="C29" s="7"/>
      <c r="D29" s="78" t="s">
        <v>1</v>
      </c>
      <c r="E29" s="79" t="s">
        <v>2</v>
      </c>
      <c r="F29" s="79"/>
      <c r="G29" s="80"/>
      <c r="H29" s="80"/>
      <c r="I29" s="80"/>
      <c r="J29" s="80"/>
      <c r="K29" s="81" t="s">
        <v>12</v>
      </c>
      <c r="L29" s="81" t="s">
        <v>10</v>
      </c>
      <c r="M29" s="7"/>
      <c r="N29" s="81" t="s">
        <v>20</v>
      </c>
      <c r="O29" s="81" t="s">
        <v>21</v>
      </c>
      <c r="P29" s="19"/>
      <c r="Q29" s="16"/>
      <c r="R29" s="16"/>
      <c r="S29" s="19"/>
      <c r="T29" s="16"/>
      <c r="U29" s="16"/>
    </row>
    <row r="30" spans="2:21" ht="18.5" hidden="1" customHeight="1" x14ac:dyDescent="0.85">
      <c r="B30" s="8" t="s">
        <v>16</v>
      </c>
      <c r="D30" s="57"/>
      <c r="E30" s="56"/>
      <c r="F30" s="56"/>
      <c r="G30" s="48"/>
      <c r="H30" s="48"/>
      <c r="I30" s="48"/>
      <c r="J30" s="48"/>
      <c r="K30" s="59"/>
      <c r="L30" s="59"/>
      <c r="N30" s="59"/>
      <c r="O30" s="59"/>
      <c r="Q30" s="9"/>
      <c r="R30" s="9"/>
      <c r="T30" s="9"/>
      <c r="U30" s="9"/>
    </row>
    <row r="31" spans="2:21" ht="18.5" hidden="1" customHeight="1" x14ac:dyDescent="0.85">
      <c r="B31" s="8" t="s">
        <v>15</v>
      </c>
      <c r="D31" s="57"/>
      <c r="E31" s="56"/>
      <c r="F31" s="56"/>
      <c r="G31" s="48"/>
      <c r="H31" s="48"/>
      <c r="I31" s="48"/>
      <c r="J31" s="48"/>
      <c r="K31" s="59"/>
      <c r="L31" s="59"/>
      <c r="N31" s="59"/>
      <c r="O31" s="59"/>
      <c r="Q31" s="9"/>
      <c r="R31" s="9"/>
      <c r="T31" s="9"/>
      <c r="U31" s="9"/>
    </row>
    <row r="32" spans="2:21" ht="18.5" hidden="1" customHeight="1" x14ac:dyDescent="0.85">
      <c r="B32" s="8"/>
      <c r="D32" s="57"/>
      <c r="E32" s="56"/>
      <c r="F32" s="56"/>
      <c r="G32" s="48"/>
      <c r="H32" s="48"/>
      <c r="I32" s="48"/>
      <c r="J32" s="48"/>
      <c r="K32" s="59"/>
      <c r="L32" s="59"/>
      <c r="N32" s="59"/>
      <c r="O32" s="59"/>
      <c r="Q32" s="9"/>
      <c r="R32" s="9"/>
      <c r="T32" s="9"/>
      <c r="U32" s="9"/>
    </row>
    <row r="33" spans="2:21" ht="18.5" hidden="1" customHeight="1" x14ac:dyDescent="0.85">
      <c r="B33" s="8"/>
      <c r="D33" s="57"/>
      <c r="E33" s="56"/>
      <c r="F33" s="56"/>
      <c r="G33" s="48"/>
      <c r="H33" s="48"/>
      <c r="I33" s="48"/>
      <c r="J33" s="48"/>
      <c r="K33" s="59"/>
      <c r="L33" s="59"/>
      <c r="N33" s="59"/>
      <c r="O33" s="59"/>
      <c r="Q33" s="9"/>
      <c r="R33" s="9"/>
      <c r="T33" s="9"/>
      <c r="U33" s="9"/>
    </row>
    <row r="34" spans="2:21" ht="18.5" hidden="1" customHeight="1" x14ac:dyDescent="0.85">
      <c r="B34" s="8"/>
      <c r="D34" s="57"/>
      <c r="E34" s="56"/>
      <c r="F34" s="56"/>
      <c r="G34" s="48"/>
      <c r="H34" s="48"/>
      <c r="I34" s="48"/>
      <c r="J34" s="48"/>
      <c r="K34" s="59"/>
      <c r="L34" s="59"/>
      <c r="N34" s="59"/>
      <c r="O34" s="59"/>
      <c r="Q34" s="9"/>
      <c r="R34" s="9"/>
      <c r="T34" s="9"/>
      <c r="U34" s="9"/>
    </row>
    <row r="35" spans="2:21" ht="18.5" hidden="1" customHeight="1" x14ac:dyDescent="0.85">
      <c r="B35" s="10"/>
      <c r="D35" s="62"/>
      <c r="E35" s="63"/>
      <c r="F35" s="63"/>
      <c r="G35" s="48"/>
      <c r="H35" s="48"/>
      <c r="I35" s="48"/>
      <c r="J35" s="48"/>
      <c r="K35" s="82"/>
      <c r="L35" s="82"/>
      <c r="N35" s="82"/>
      <c r="O35" s="82"/>
      <c r="Q35" s="11"/>
      <c r="R35" s="11"/>
      <c r="T35" s="11"/>
      <c r="U35" s="11"/>
    </row>
    <row r="36" spans="2:21" ht="18.5" hidden="1" customHeight="1" x14ac:dyDescent="0.85">
      <c r="D36" s="74"/>
      <c r="E36" s="74"/>
      <c r="F36" s="74"/>
      <c r="G36" s="48"/>
      <c r="H36" s="48"/>
      <c r="I36" s="48"/>
      <c r="J36" s="48"/>
      <c r="K36" s="48"/>
      <c r="L36" s="48"/>
      <c r="N36" s="48"/>
      <c r="O36" s="48"/>
    </row>
    <row r="37" spans="2:21" ht="19.05" hidden="1" customHeight="1" x14ac:dyDescent="0.85">
      <c r="B37" s="17"/>
      <c r="C37" s="6"/>
      <c r="D37" s="75"/>
      <c r="E37" s="76"/>
      <c r="F37" s="76"/>
      <c r="G37" s="77"/>
      <c r="H37" s="77"/>
      <c r="I37" s="77"/>
      <c r="J37" s="77"/>
      <c r="K37" s="113" t="s">
        <v>9</v>
      </c>
      <c r="L37" s="114"/>
      <c r="M37" s="6"/>
      <c r="N37" s="113" t="s">
        <v>19</v>
      </c>
      <c r="O37" s="114"/>
      <c r="P37" s="6"/>
      <c r="Q37" s="111"/>
      <c r="R37" s="112"/>
      <c r="S37" s="6"/>
      <c r="T37" s="111"/>
      <c r="U37" s="112"/>
    </row>
    <row r="38" spans="2:21" ht="18.5" hidden="1" customHeight="1" x14ac:dyDescent="0.85">
      <c r="B38" s="16" t="s">
        <v>8</v>
      </c>
      <c r="C38" s="7"/>
      <c r="D38" s="78" t="s">
        <v>1</v>
      </c>
      <c r="E38" s="79" t="s">
        <v>2</v>
      </c>
      <c r="F38" s="79"/>
      <c r="G38" s="80"/>
      <c r="H38" s="80"/>
      <c r="I38" s="80"/>
      <c r="J38" s="80"/>
      <c r="K38" s="81" t="s">
        <v>12</v>
      </c>
      <c r="L38" s="81" t="s">
        <v>10</v>
      </c>
      <c r="M38" s="7"/>
      <c r="N38" s="81" t="s">
        <v>20</v>
      </c>
      <c r="O38" s="81" t="s">
        <v>21</v>
      </c>
      <c r="P38" s="19"/>
      <c r="Q38" s="16"/>
      <c r="R38" s="16"/>
      <c r="S38" s="19"/>
      <c r="T38" s="16"/>
      <c r="U38" s="16"/>
    </row>
    <row r="39" spans="2:21" ht="18.5" hidden="1" customHeight="1" x14ac:dyDescent="0.85">
      <c r="B39" s="8" t="s">
        <v>8</v>
      </c>
      <c r="D39" s="57"/>
      <c r="E39" s="56"/>
      <c r="F39" s="56"/>
      <c r="G39" s="48"/>
      <c r="H39" s="48"/>
      <c r="I39" s="48"/>
      <c r="J39" s="48"/>
      <c r="K39" s="59"/>
      <c r="L39" s="59"/>
      <c r="N39" s="59"/>
      <c r="O39" s="59"/>
      <c r="Q39" s="9"/>
      <c r="R39" s="9"/>
      <c r="T39" s="9"/>
      <c r="U39" s="9"/>
    </row>
    <row r="40" spans="2:21" ht="18.5" hidden="1" customHeight="1" x14ac:dyDescent="0.85">
      <c r="B40" s="8" t="s">
        <v>17</v>
      </c>
      <c r="D40" s="57"/>
      <c r="E40" s="56"/>
      <c r="F40" s="56"/>
      <c r="G40" s="48"/>
      <c r="H40" s="48"/>
      <c r="I40" s="48"/>
      <c r="J40" s="48"/>
      <c r="K40" s="59"/>
      <c r="L40" s="59"/>
      <c r="N40" s="59"/>
      <c r="O40" s="59"/>
      <c r="Q40" s="9"/>
      <c r="R40" s="9"/>
      <c r="T40" s="9"/>
      <c r="U40" s="9"/>
    </row>
    <row r="41" spans="2:21" ht="18.5" hidden="1" customHeight="1" x14ac:dyDescent="0.85">
      <c r="B41" s="8" t="s">
        <v>18</v>
      </c>
      <c r="D41" s="57"/>
      <c r="E41" s="56"/>
      <c r="F41" s="56"/>
      <c r="G41" s="48"/>
      <c r="H41" s="48"/>
      <c r="I41" s="48"/>
      <c r="J41" s="48"/>
      <c r="K41" s="59"/>
      <c r="L41" s="59"/>
      <c r="N41" s="59"/>
      <c r="O41" s="59"/>
      <c r="Q41" s="9"/>
      <c r="R41" s="9"/>
      <c r="T41" s="9"/>
      <c r="U41" s="9"/>
    </row>
    <row r="42" spans="2:21" ht="18.5" hidden="1" customHeight="1" x14ac:dyDescent="0.85">
      <c r="B42" s="8"/>
      <c r="D42" s="57"/>
      <c r="E42" s="56"/>
      <c r="F42" s="56"/>
      <c r="G42" s="48"/>
      <c r="H42" s="48"/>
      <c r="I42" s="48"/>
      <c r="J42" s="48"/>
      <c r="K42" s="59"/>
      <c r="L42" s="59"/>
      <c r="N42" s="59"/>
      <c r="O42" s="59"/>
      <c r="Q42" s="9"/>
      <c r="R42" s="9"/>
      <c r="T42" s="9"/>
      <c r="U42" s="9"/>
    </row>
    <row r="43" spans="2:21" ht="18.5" hidden="1" customHeight="1" x14ac:dyDescent="0.85">
      <c r="B43" s="8"/>
      <c r="D43" s="57"/>
      <c r="E43" s="56"/>
      <c r="F43" s="56"/>
      <c r="G43" s="48"/>
      <c r="H43" s="48"/>
      <c r="I43" s="48"/>
      <c r="J43" s="48"/>
      <c r="K43" s="59"/>
      <c r="L43" s="59"/>
      <c r="N43" s="59"/>
      <c r="O43" s="59"/>
      <c r="Q43" s="9"/>
      <c r="R43" s="9"/>
      <c r="T43" s="9"/>
      <c r="U43" s="9"/>
    </row>
    <row r="44" spans="2:21" ht="18.5" hidden="1" customHeight="1" x14ac:dyDescent="0.85">
      <c r="B44" s="10"/>
      <c r="D44" s="62"/>
      <c r="E44" s="63"/>
      <c r="F44" s="63"/>
      <c r="G44" s="48"/>
      <c r="H44" s="48"/>
      <c r="I44" s="48"/>
      <c r="J44" s="48"/>
      <c r="K44" s="82"/>
      <c r="L44" s="82"/>
      <c r="N44" s="82"/>
      <c r="O44" s="82"/>
      <c r="Q44" s="11"/>
      <c r="R44" s="11"/>
      <c r="T44" s="11"/>
      <c r="U44" s="11"/>
    </row>
    <row r="45" spans="2:21" ht="6" customHeight="1" x14ac:dyDescent="0.85">
      <c r="D45" s="74"/>
      <c r="E45" s="74"/>
      <c r="F45" s="74"/>
      <c r="G45" s="48"/>
      <c r="H45" s="48"/>
      <c r="I45" s="48"/>
      <c r="J45" s="48"/>
      <c r="K45" s="48"/>
      <c r="L45" s="48"/>
      <c r="N45" s="48"/>
      <c r="O45" s="48"/>
    </row>
    <row r="46" spans="2:21" x14ac:dyDescent="0.85">
      <c r="B46" s="42" t="s">
        <v>11</v>
      </c>
      <c r="D46" s="83">
        <f>D23+D25</f>
        <v>21159478.515000001</v>
      </c>
      <c r="E46" s="84">
        <f>E23+E25</f>
        <v>590000</v>
      </c>
      <c r="F46" s="85">
        <f>F23+F25</f>
        <v>21749478.515000001</v>
      </c>
      <c r="G46" s="48"/>
      <c r="H46" s="83">
        <f>H23+H25</f>
        <v>87467162.309999987</v>
      </c>
      <c r="I46" s="66"/>
      <c r="J46" s="48"/>
      <c r="K46" s="86">
        <f>K23+K25</f>
        <v>25691664.640000001</v>
      </c>
      <c r="L46" s="87">
        <f>L23+L25</f>
        <v>66999999.959999993</v>
      </c>
      <c r="N46" s="86">
        <f>N23+N25</f>
        <v>4532186.1250000019</v>
      </c>
      <c r="O46" s="87">
        <f>O23+O25</f>
        <v>45250521.445</v>
      </c>
      <c r="Q46" s="43">
        <f t="shared" ref="Q46" si="18">IFERROR(D46/L46,0)</f>
        <v>0.3158131123527243</v>
      </c>
      <c r="R46" s="44">
        <f t="shared" ref="R46" si="19">IFERROR(F46/L46,0)</f>
        <v>0.32461908250723531</v>
      </c>
      <c r="T46" s="43">
        <f>T23</f>
        <v>1</v>
      </c>
      <c r="U46" s="44">
        <f>U23</f>
        <v>1</v>
      </c>
    </row>
    <row r="47" spans="2:21" ht="9" customHeight="1" x14ac:dyDescent="0.85"/>
    <row r="48" spans="2:21" x14ac:dyDescent="0.85">
      <c r="E48" s="50"/>
      <c r="H48" s="34"/>
      <c r="I48" s="34"/>
      <c r="J48" s="34"/>
      <c r="K48" s="34"/>
    </row>
    <row r="49" spans="4:11" x14ac:dyDescent="0.85">
      <c r="H49" s="34"/>
      <c r="I49" s="34"/>
      <c r="J49" s="34"/>
      <c r="K49" s="34"/>
    </row>
    <row r="50" spans="4:11" x14ac:dyDescent="0.85">
      <c r="H50" s="34"/>
      <c r="I50" s="34"/>
      <c r="J50" s="34"/>
      <c r="K50" s="34"/>
    </row>
    <row r="51" spans="4:11" x14ac:dyDescent="0.85">
      <c r="D51" s="90"/>
      <c r="H51" s="34"/>
      <c r="I51" s="34"/>
      <c r="J51" s="34"/>
      <c r="K51" s="34"/>
    </row>
    <row r="52" spans="4:11" x14ac:dyDescent="0.85">
      <c r="H52" s="34"/>
      <c r="I52" s="34"/>
      <c r="J52" s="34"/>
      <c r="K52" s="34"/>
    </row>
    <row r="53" spans="4:11" x14ac:dyDescent="0.85">
      <c r="H53" s="34"/>
      <c r="I53" s="34"/>
      <c r="J53" s="34"/>
      <c r="K53" s="34"/>
    </row>
  </sheetData>
  <sortState xmlns:xlrd2="http://schemas.microsoft.com/office/spreadsheetml/2017/richdata2" ref="A9:R21">
    <sortCondition descending="1" ref="A9:A21"/>
  </sortState>
  <mergeCells count="12">
    <mergeCell ref="K7:L7"/>
    <mergeCell ref="N7:O7"/>
    <mergeCell ref="N28:O28"/>
    <mergeCell ref="N37:O37"/>
    <mergeCell ref="K28:L28"/>
    <mergeCell ref="K37:L37"/>
    <mergeCell ref="T7:U7"/>
    <mergeCell ref="T28:U28"/>
    <mergeCell ref="T37:U37"/>
    <mergeCell ref="Q7:R7"/>
    <mergeCell ref="Q28:R28"/>
    <mergeCell ref="Q37:R37"/>
  </mergeCells>
  <conditionalFormatting sqref="N9:O23 Q9:R23 T9:U23 N25:O25 N46:O46">
    <cfRule type="cellIs" dxfId="10" priority="9" operator="lessThan">
      <formula>0</formula>
    </cfRule>
  </conditionalFormatting>
  <conditionalFormatting sqref="Q25:R25">
    <cfRule type="cellIs" dxfId="9" priority="7" operator="lessThan">
      <formula>0</formula>
    </cfRule>
  </conditionalFormatting>
  <conditionalFormatting sqref="Q46:R46">
    <cfRule type="cellIs" dxfId="8" priority="5" operator="lessThan">
      <formula>0</formula>
    </cfRule>
  </conditionalFormatting>
  <conditionalFormatting sqref="T25:U25">
    <cfRule type="cellIs" dxfId="7" priority="2" operator="lessThan">
      <formula>0</formula>
    </cfRule>
  </conditionalFormatting>
  <conditionalFormatting sqref="T46:U46">
    <cfRule type="cellIs" dxfId="6" priority="1" operator="lessThan">
      <formula>0</formula>
    </cfRule>
  </conditionalFormatting>
  <pageMargins left="0.25" right="0.25" top="0.75" bottom="0.75" header="0.3" footer="0.3"/>
  <pageSetup paperSize="8" orientation="landscape" r:id="rId1"/>
  <ignoredErrors>
    <ignoredError sqref="G23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7BC0-32B5-4C03-A5B2-13E0BC792164}">
  <sheetPr>
    <tabColor theme="9" tint="0.59999389629810485"/>
  </sheetPr>
  <dimension ref="A1:J111"/>
  <sheetViews>
    <sheetView showGridLines="0" view="pageBreakPreview" zoomScaleNormal="70" zoomScaleSheetLayoutView="100" workbookViewId="0">
      <pane ySplit="5" topLeftCell="A100" activePane="bottomLeft" state="frozen"/>
      <selection activeCell="B12" sqref="B12"/>
      <selection pane="bottomLeft" activeCell="M10" sqref="M10"/>
    </sheetView>
  </sheetViews>
  <sheetFormatPr defaultColWidth="8.73046875" defaultRowHeight="18.399999999999999" x14ac:dyDescent="0.85"/>
  <cols>
    <col min="1" max="1" width="1.53125" style="89" customWidth="1"/>
    <col min="2" max="2" width="27.796875" style="1" bestFit="1" customWidth="1"/>
    <col min="3" max="3" width="25.33203125" style="1" bestFit="1" customWidth="1"/>
    <col min="4" max="4" width="12.6640625" style="20" bestFit="1" customWidth="1"/>
    <col min="5" max="5" width="9.86328125" style="20" bestFit="1" customWidth="1"/>
    <col min="6" max="6" width="13.9296875" style="20" bestFit="1" customWidth="1"/>
    <col min="7" max="7" width="13.265625" style="20" bestFit="1" customWidth="1"/>
    <col min="8" max="8" width="9.6640625" style="20" bestFit="1" customWidth="1"/>
    <col min="9" max="9" width="8.796875" style="20" bestFit="1" customWidth="1"/>
    <col min="10" max="10" width="9.796875" style="20" bestFit="1" customWidth="1"/>
    <col min="11" max="11" width="1.53125" style="1" customWidth="1"/>
    <col min="12" max="16384" width="8.73046875" style="1"/>
  </cols>
  <sheetData>
    <row r="1" spans="1:10" ht="11" customHeight="1" x14ac:dyDescent="0.85"/>
    <row r="2" spans="1:10" ht="22.15" x14ac:dyDescent="0.95">
      <c r="B2" s="91" t="s">
        <v>93</v>
      </c>
    </row>
    <row r="3" spans="1:10" ht="19.5" x14ac:dyDescent="0.85">
      <c r="B3" s="28" t="s">
        <v>143</v>
      </c>
    </row>
    <row r="4" spans="1:10" ht="6" customHeight="1" thickBot="1" x14ac:dyDescent="0.9"/>
    <row r="5" spans="1:10" ht="18.75" thickTop="1" x14ac:dyDescent="0.85">
      <c r="B5" s="21" t="s">
        <v>6</v>
      </c>
      <c r="C5" s="21" t="s">
        <v>14</v>
      </c>
      <c r="D5" s="22" t="s">
        <v>98</v>
      </c>
      <c r="E5" s="22" t="s">
        <v>2</v>
      </c>
      <c r="F5" s="22" t="s">
        <v>13</v>
      </c>
      <c r="G5" s="22" t="s">
        <v>99</v>
      </c>
      <c r="H5" s="22" t="s">
        <v>100</v>
      </c>
      <c r="I5" s="22" t="s">
        <v>20</v>
      </c>
      <c r="J5" s="22" t="s">
        <v>21</v>
      </c>
    </row>
    <row r="6" spans="1:10" x14ac:dyDescent="0.85">
      <c r="A6" s="89" t="s">
        <v>27</v>
      </c>
      <c r="B6" s="1" t="s">
        <v>27</v>
      </c>
      <c r="C6" s="1" t="s">
        <v>65</v>
      </c>
      <c r="D6" s="20">
        <v>8415075</v>
      </c>
      <c r="E6" s="49">
        <v>0</v>
      </c>
      <c r="F6" s="20">
        <f t="shared" ref="F6:F59" si="0">D6+E6</f>
        <v>8415075</v>
      </c>
      <c r="G6" s="20">
        <v>0</v>
      </c>
      <c r="H6" s="20">
        <v>0</v>
      </c>
      <c r="I6" s="20">
        <v>0</v>
      </c>
      <c r="J6" s="20">
        <v>0</v>
      </c>
    </row>
    <row r="7" spans="1:10" x14ac:dyDescent="0.85">
      <c r="A7" s="89" t="s">
        <v>27</v>
      </c>
      <c r="C7" s="1" t="s">
        <v>103</v>
      </c>
      <c r="D7" s="20">
        <v>0</v>
      </c>
      <c r="E7" s="20">
        <v>0</v>
      </c>
      <c r="F7" s="20">
        <f t="shared" si="0"/>
        <v>0</v>
      </c>
      <c r="G7" s="49">
        <f>VLOOKUP(A7,'Y2025B by Activities'!B:D,3,0)</f>
        <v>9000000</v>
      </c>
      <c r="H7" s="20">
        <f>VLOOKUP(A7,'Y2025B by Activities'!B:C,2,0)</f>
        <v>23800000</v>
      </c>
      <c r="I7" s="20">
        <v>0</v>
      </c>
      <c r="J7" s="20">
        <v>0</v>
      </c>
    </row>
    <row r="8" spans="1:10" x14ac:dyDescent="0.85">
      <c r="B8" s="23" t="s">
        <v>45</v>
      </c>
      <c r="C8" s="23"/>
      <c r="D8" s="24">
        <f>SUBTOTAL(9,D6:D7)</f>
        <v>8415075</v>
      </c>
      <c r="E8" s="24">
        <f>SUBTOTAL(9,E6:E7)</f>
        <v>0</v>
      </c>
      <c r="F8" s="24">
        <f>SUBTOTAL(9,F6:F7)</f>
        <v>8415075</v>
      </c>
      <c r="G8" s="24">
        <f>SUBTOTAL(9,G6:G7)</f>
        <v>9000000</v>
      </c>
      <c r="H8" s="24">
        <f>SUBTOTAL(9,H6:H7)</f>
        <v>23800000</v>
      </c>
      <c r="I8" s="24">
        <f>G8-D8</f>
        <v>584925</v>
      </c>
      <c r="J8" s="24">
        <f>H8-F8</f>
        <v>15384925</v>
      </c>
    </row>
    <row r="9" spans="1:10" x14ac:dyDescent="0.85">
      <c r="A9" s="89" t="s">
        <v>22</v>
      </c>
      <c r="B9" s="1" t="s">
        <v>22</v>
      </c>
      <c r="C9" s="1" t="s">
        <v>122</v>
      </c>
      <c r="D9" s="20">
        <v>616719</v>
      </c>
      <c r="E9" s="20">
        <v>0</v>
      </c>
      <c r="F9" s="20">
        <f t="shared" si="0"/>
        <v>616719</v>
      </c>
      <c r="G9" s="20">
        <v>0</v>
      </c>
      <c r="H9" s="20">
        <v>0</v>
      </c>
      <c r="I9" s="20">
        <v>0</v>
      </c>
      <c r="J9" s="20">
        <v>0</v>
      </c>
    </row>
    <row r="10" spans="1:10" x14ac:dyDescent="0.85">
      <c r="A10" s="89" t="s">
        <v>22</v>
      </c>
      <c r="C10" s="1" t="s">
        <v>31</v>
      </c>
      <c r="D10" s="20">
        <v>348870</v>
      </c>
      <c r="E10" s="20">
        <v>20000</v>
      </c>
      <c r="F10" s="20">
        <f t="shared" si="0"/>
        <v>368870</v>
      </c>
      <c r="G10" s="20">
        <v>0</v>
      </c>
      <c r="H10" s="20">
        <v>0</v>
      </c>
      <c r="I10" s="20">
        <v>0</v>
      </c>
      <c r="J10" s="20">
        <v>0</v>
      </c>
    </row>
    <row r="11" spans="1:10" x14ac:dyDescent="0.85">
      <c r="A11" s="89" t="s">
        <v>22</v>
      </c>
      <c r="C11" s="1" t="s">
        <v>123</v>
      </c>
      <c r="D11" s="20">
        <v>214771.5</v>
      </c>
      <c r="E11" s="20">
        <v>0</v>
      </c>
      <c r="F11" s="20">
        <f t="shared" si="0"/>
        <v>214771.5</v>
      </c>
      <c r="G11" s="20">
        <v>0</v>
      </c>
      <c r="H11" s="20">
        <v>0</v>
      </c>
      <c r="I11" s="20">
        <v>0</v>
      </c>
      <c r="J11" s="20">
        <v>0</v>
      </c>
    </row>
    <row r="12" spans="1:10" x14ac:dyDescent="0.85">
      <c r="A12" s="89" t="s">
        <v>22</v>
      </c>
      <c r="C12" s="1" t="s">
        <v>86</v>
      </c>
      <c r="D12" s="20">
        <v>136000</v>
      </c>
      <c r="E12" s="20">
        <v>0</v>
      </c>
      <c r="F12" s="20">
        <f t="shared" si="0"/>
        <v>136000</v>
      </c>
    </row>
    <row r="13" spans="1:10" x14ac:dyDescent="0.85">
      <c r="A13" s="89" t="s">
        <v>22</v>
      </c>
      <c r="C13" s="1" t="s">
        <v>124</v>
      </c>
      <c r="D13" s="20">
        <v>100000</v>
      </c>
      <c r="E13" s="20">
        <v>50000</v>
      </c>
      <c r="F13" s="20">
        <f t="shared" si="0"/>
        <v>150000</v>
      </c>
    </row>
    <row r="14" spans="1:10" x14ac:dyDescent="0.85">
      <c r="A14" s="89" t="s">
        <v>22</v>
      </c>
      <c r="C14" s="1" t="s">
        <v>96</v>
      </c>
      <c r="D14" s="20">
        <v>45600</v>
      </c>
      <c r="E14" s="20">
        <v>0</v>
      </c>
      <c r="F14" s="20">
        <f t="shared" si="0"/>
        <v>45600</v>
      </c>
    </row>
    <row r="15" spans="1:10" x14ac:dyDescent="0.85">
      <c r="A15" s="89" t="s">
        <v>22</v>
      </c>
      <c r="C15" s="1" t="s">
        <v>125</v>
      </c>
      <c r="D15" s="20">
        <v>15000</v>
      </c>
      <c r="E15" s="20">
        <v>0</v>
      </c>
      <c r="F15" s="20">
        <f t="shared" si="0"/>
        <v>15000</v>
      </c>
      <c r="G15" s="20">
        <v>0</v>
      </c>
      <c r="H15" s="20">
        <v>0</v>
      </c>
      <c r="I15" s="20">
        <v>0</v>
      </c>
      <c r="J15" s="20">
        <v>0</v>
      </c>
    </row>
    <row r="16" spans="1:10" x14ac:dyDescent="0.85">
      <c r="A16" s="89" t="s">
        <v>22</v>
      </c>
      <c r="C16" s="1" t="s">
        <v>144</v>
      </c>
      <c r="D16" s="20">
        <v>1160.5</v>
      </c>
      <c r="E16" s="49">
        <v>0</v>
      </c>
      <c r="F16" s="20">
        <f t="shared" si="0"/>
        <v>1160.5</v>
      </c>
      <c r="G16" s="20">
        <v>0</v>
      </c>
      <c r="H16" s="20">
        <v>0</v>
      </c>
      <c r="I16" s="20">
        <v>0</v>
      </c>
      <c r="J16" s="20">
        <v>0</v>
      </c>
    </row>
    <row r="17" spans="1:10" x14ac:dyDescent="0.85">
      <c r="A17" s="89" t="s">
        <v>22</v>
      </c>
      <c r="C17" s="1" t="s">
        <v>145</v>
      </c>
      <c r="D17" s="20">
        <v>-2050</v>
      </c>
      <c r="E17" s="20">
        <v>0</v>
      </c>
      <c r="F17" s="20">
        <f t="shared" si="0"/>
        <v>-2050</v>
      </c>
      <c r="G17" s="20">
        <v>0</v>
      </c>
      <c r="H17" s="20">
        <v>0</v>
      </c>
      <c r="I17" s="20">
        <v>0</v>
      </c>
      <c r="J17" s="20">
        <v>0</v>
      </c>
    </row>
    <row r="18" spans="1:10" x14ac:dyDescent="0.85">
      <c r="A18" s="89" t="s">
        <v>22</v>
      </c>
      <c r="C18" s="1" t="s">
        <v>103</v>
      </c>
      <c r="D18" s="20">
        <v>0</v>
      </c>
      <c r="E18" s="20">
        <v>0</v>
      </c>
      <c r="F18" s="20">
        <f t="shared" si="0"/>
        <v>0</v>
      </c>
      <c r="G18" s="20">
        <f>VLOOKUP(A18,'Y2025B by Activities'!B:D,3,0)</f>
        <v>2863333.32</v>
      </c>
      <c r="H18" s="20">
        <f>VLOOKUP(A18,'Y2025B by Activities'!B:C,2,0)</f>
        <v>8589999.9599999972</v>
      </c>
      <c r="I18" s="20">
        <v>0</v>
      </c>
      <c r="J18" s="20">
        <v>0</v>
      </c>
    </row>
    <row r="19" spans="1:10" x14ac:dyDescent="0.85">
      <c r="B19" s="23" t="s">
        <v>33</v>
      </c>
      <c r="C19" s="23"/>
      <c r="D19" s="24">
        <f>SUBTOTAL(9,D9:D18)</f>
        <v>1476071</v>
      </c>
      <c r="E19" s="24">
        <v>0</v>
      </c>
      <c r="F19" s="24">
        <f>SUBTOTAL(9,F9:F18)</f>
        <v>1546071</v>
      </c>
      <c r="G19" s="24">
        <f>SUBTOTAL(9,G9:G18)</f>
        <v>2863333.32</v>
      </c>
      <c r="H19" s="24">
        <f>SUBTOTAL(9,H9:H18)</f>
        <v>8589999.9599999972</v>
      </c>
      <c r="I19" s="24">
        <f>G19-D19</f>
        <v>1387262.3199999998</v>
      </c>
      <c r="J19" s="24">
        <f>H19-F19</f>
        <v>7043928.9599999972</v>
      </c>
    </row>
    <row r="20" spans="1:10" x14ac:dyDescent="0.85">
      <c r="A20" s="89" t="s">
        <v>29</v>
      </c>
      <c r="B20" s="1" t="s">
        <v>29</v>
      </c>
      <c r="C20" s="1" t="s">
        <v>34</v>
      </c>
      <c r="D20" s="20">
        <v>725520.83000000007</v>
      </c>
      <c r="E20" s="49">
        <v>200000</v>
      </c>
      <c r="F20" s="20">
        <f t="shared" si="0"/>
        <v>925520.83000000007</v>
      </c>
      <c r="G20" s="20">
        <v>0</v>
      </c>
      <c r="H20" s="20">
        <v>0</v>
      </c>
      <c r="I20" s="20">
        <v>0</v>
      </c>
      <c r="J20" s="20">
        <v>0</v>
      </c>
    </row>
    <row r="21" spans="1:10" x14ac:dyDescent="0.85">
      <c r="A21" s="89" t="s">
        <v>29</v>
      </c>
      <c r="C21" s="1" t="s">
        <v>103</v>
      </c>
      <c r="D21" s="20">
        <v>0</v>
      </c>
      <c r="E21" s="20">
        <v>0</v>
      </c>
      <c r="F21" s="20">
        <f t="shared" si="0"/>
        <v>0</v>
      </c>
      <c r="G21" s="20">
        <f>VLOOKUP(A21,'Y2025B by Activities'!B:D,3,0)</f>
        <v>2136665.3199999998</v>
      </c>
      <c r="H21" s="20">
        <f>VLOOKUP(A21,'Y2025B by Activities'!B:C,2,0)</f>
        <v>6409999.9999999991</v>
      </c>
      <c r="I21" s="20">
        <v>0</v>
      </c>
      <c r="J21" s="20">
        <v>0</v>
      </c>
    </row>
    <row r="22" spans="1:10" x14ac:dyDescent="0.85">
      <c r="B22" s="23" t="s">
        <v>35</v>
      </c>
      <c r="C22" s="23"/>
      <c r="D22" s="24">
        <f>SUBTOTAL(9,D20:D21)</f>
        <v>725520.83000000007</v>
      </c>
      <c r="E22" s="24">
        <v>0</v>
      </c>
      <c r="F22" s="24">
        <f>SUBTOTAL(9,F20:F21)</f>
        <v>925520.83000000007</v>
      </c>
      <c r="G22" s="24">
        <f>SUBTOTAL(9,G20:G21)</f>
        <v>2136665.3199999998</v>
      </c>
      <c r="H22" s="24">
        <f>SUBTOTAL(9,H20:H21)</f>
        <v>6409999.9999999991</v>
      </c>
      <c r="I22" s="24">
        <f>G22-D22</f>
        <v>1411144.4899999998</v>
      </c>
      <c r="J22" s="24">
        <f>H22-F22</f>
        <v>5484479.169999999</v>
      </c>
    </row>
    <row r="23" spans="1:10" x14ac:dyDescent="0.85">
      <c r="A23" s="89" t="s">
        <v>8</v>
      </c>
      <c r="B23" s="1" t="s">
        <v>8</v>
      </c>
      <c r="C23" s="1" t="s">
        <v>8</v>
      </c>
      <c r="D23" s="20">
        <v>5331129.2049999973</v>
      </c>
      <c r="E23" s="20">
        <v>0</v>
      </c>
      <c r="F23" s="20">
        <f t="shared" si="0"/>
        <v>5331129.2049999973</v>
      </c>
      <c r="G23" s="20">
        <v>0</v>
      </c>
      <c r="H23" s="20">
        <v>0</v>
      </c>
      <c r="I23" s="20">
        <v>0</v>
      </c>
      <c r="J23" s="20">
        <v>0</v>
      </c>
    </row>
    <row r="24" spans="1:10" x14ac:dyDescent="0.85">
      <c r="A24" s="89" t="s">
        <v>8</v>
      </c>
      <c r="C24" s="1" t="s">
        <v>18</v>
      </c>
      <c r="D24" s="20">
        <v>39800</v>
      </c>
      <c r="E24" s="20">
        <v>0</v>
      </c>
      <c r="F24" s="20">
        <f t="shared" si="0"/>
        <v>39800</v>
      </c>
      <c r="G24" s="20">
        <v>0</v>
      </c>
      <c r="H24" s="20">
        <v>0</v>
      </c>
      <c r="I24" s="20">
        <v>0</v>
      </c>
      <c r="J24" s="20">
        <v>0</v>
      </c>
    </row>
    <row r="25" spans="1:10" x14ac:dyDescent="0.85">
      <c r="A25" s="89" t="s">
        <v>8</v>
      </c>
      <c r="C25" s="1" t="s">
        <v>17</v>
      </c>
      <c r="D25" s="20">
        <v>22950</v>
      </c>
      <c r="E25" s="20">
        <v>0</v>
      </c>
      <c r="F25" s="20">
        <f t="shared" si="0"/>
        <v>22950</v>
      </c>
      <c r="G25" s="20">
        <v>0</v>
      </c>
      <c r="H25" s="20">
        <v>0</v>
      </c>
      <c r="I25" s="20">
        <v>0</v>
      </c>
      <c r="J25" s="20">
        <v>0</v>
      </c>
    </row>
    <row r="26" spans="1:10" x14ac:dyDescent="0.85">
      <c r="A26" s="89" t="s">
        <v>8</v>
      </c>
      <c r="C26" s="1" t="s">
        <v>103</v>
      </c>
      <c r="D26" s="20">
        <v>0</v>
      </c>
      <c r="E26" s="20">
        <v>0</v>
      </c>
      <c r="F26" s="20">
        <f t="shared" si="0"/>
        <v>0</v>
      </c>
      <c r="G26" s="20">
        <f>VLOOKUP(A26,'Y2025B by Activities'!B:D,3,0)</f>
        <v>5100000</v>
      </c>
      <c r="H26" s="20">
        <f>VLOOKUP(A26,'Y2025B by Activities'!B:C,2,0)</f>
        <v>12000000</v>
      </c>
      <c r="I26" s="20">
        <v>0</v>
      </c>
      <c r="J26" s="20">
        <v>0</v>
      </c>
    </row>
    <row r="27" spans="1:10" x14ac:dyDescent="0.85">
      <c r="B27" s="23" t="s">
        <v>42</v>
      </c>
      <c r="C27" s="23"/>
      <c r="D27" s="24">
        <f>SUBTOTAL(9,D23:D26)</f>
        <v>5393879.2049999973</v>
      </c>
      <c r="E27" s="24">
        <v>0</v>
      </c>
      <c r="F27" s="24">
        <f t="shared" ref="F27:H27" si="1">SUBTOTAL(9,F23:F26)</f>
        <v>5393879.2049999973</v>
      </c>
      <c r="G27" s="24">
        <f t="shared" si="1"/>
        <v>5100000</v>
      </c>
      <c r="H27" s="24">
        <f t="shared" si="1"/>
        <v>12000000</v>
      </c>
      <c r="I27" s="24">
        <f>G27-D27</f>
        <v>-293879.20499999728</v>
      </c>
      <c r="J27" s="24">
        <f>H27-F27</f>
        <v>6606120.7950000027</v>
      </c>
    </row>
    <row r="28" spans="1:10" x14ac:dyDescent="0.85">
      <c r="A28" s="89" t="s">
        <v>23</v>
      </c>
      <c r="B28" s="1" t="s">
        <v>23</v>
      </c>
      <c r="C28" s="1" t="s">
        <v>110</v>
      </c>
      <c r="D28" s="20">
        <v>799200</v>
      </c>
      <c r="E28" s="20">
        <v>0</v>
      </c>
      <c r="F28" s="20">
        <f t="shared" si="0"/>
        <v>799200</v>
      </c>
      <c r="G28" s="20">
        <v>0</v>
      </c>
      <c r="H28" s="20">
        <v>0</v>
      </c>
      <c r="I28" s="20">
        <v>0</v>
      </c>
      <c r="J28" s="20">
        <v>0</v>
      </c>
    </row>
    <row r="29" spans="1:10" x14ac:dyDescent="0.85">
      <c r="A29" s="89" t="s">
        <v>23</v>
      </c>
      <c r="C29" s="1" t="s">
        <v>67</v>
      </c>
      <c r="D29" s="20">
        <v>335200</v>
      </c>
      <c r="E29" s="20">
        <v>0</v>
      </c>
      <c r="F29" s="20">
        <f t="shared" si="0"/>
        <v>335200</v>
      </c>
      <c r="G29" s="20">
        <v>0</v>
      </c>
      <c r="H29" s="20">
        <v>0</v>
      </c>
      <c r="I29" s="20">
        <v>0</v>
      </c>
      <c r="J29" s="20">
        <v>0</v>
      </c>
    </row>
    <row r="30" spans="1:10" x14ac:dyDescent="0.85">
      <c r="A30" s="89" t="s">
        <v>23</v>
      </c>
      <c r="C30" s="1" t="s">
        <v>38</v>
      </c>
      <c r="D30" s="20">
        <v>208566.66999999998</v>
      </c>
      <c r="E30" s="49">
        <v>0</v>
      </c>
      <c r="F30" s="20">
        <f t="shared" si="0"/>
        <v>208566.66999999998</v>
      </c>
      <c r="G30" s="20">
        <v>0</v>
      </c>
      <c r="H30" s="20">
        <v>0</v>
      </c>
      <c r="I30" s="20">
        <v>0</v>
      </c>
      <c r="J30" s="20">
        <v>0</v>
      </c>
    </row>
    <row r="31" spans="1:10" x14ac:dyDescent="0.85">
      <c r="A31" s="89" t="s">
        <v>23</v>
      </c>
      <c r="C31" s="1" t="s">
        <v>18</v>
      </c>
      <c r="D31" s="20">
        <v>68900</v>
      </c>
      <c r="E31" s="20">
        <v>100000</v>
      </c>
      <c r="F31" s="20">
        <f t="shared" si="0"/>
        <v>168900</v>
      </c>
      <c r="G31" s="20">
        <v>0</v>
      </c>
      <c r="H31" s="20">
        <v>0</v>
      </c>
      <c r="I31" s="20">
        <v>0</v>
      </c>
      <c r="J31" s="20">
        <v>0</v>
      </c>
    </row>
    <row r="32" spans="1:10" x14ac:dyDescent="0.85">
      <c r="A32" s="89" t="s">
        <v>23</v>
      </c>
      <c r="C32" s="1" t="s">
        <v>111</v>
      </c>
      <c r="D32" s="20">
        <v>64800</v>
      </c>
      <c r="E32" s="20">
        <v>0</v>
      </c>
      <c r="F32" s="20">
        <f t="shared" si="0"/>
        <v>64800</v>
      </c>
      <c r="G32" s="20">
        <v>0</v>
      </c>
      <c r="H32" s="20">
        <v>0</v>
      </c>
      <c r="I32" s="20">
        <v>0</v>
      </c>
      <c r="J32" s="20">
        <v>0</v>
      </c>
    </row>
    <row r="33" spans="1:10" x14ac:dyDescent="0.85">
      <c r="A33" s="89" t="s">
        <v>23</v>
      </c>
      <c r="C33" s="1" t="s">
        <v>112</v>
      </c>
      <c r="D33" s="20">
        <v>30723</v>
      </c>
      <c r="E33" s="20">
        <v>0</v>
      </c>
      <c r="F33" s="20">
        <f t="shared" si="0"/>
        <v>30723</v>
      </c>
      <c r="G33" s="20">
        <v>0</v>
      </c>
      <c r="H33" s="20">
        <v>0</v>
      </c>
      <c r="I33" s="20">
        <v>0</v>
      </c>
      <c r="J33" s="20">
        <v>0</v>
      </c>
    </row>
    <row r="34" spans="1:10" x14ac:dyDescent="0.85">
      <c r="A34" s="89" t="s">
        <v>23</v>
      </c>
      <c r="C34" s="1" t="s">
        <v>113</v>
      </c>
      <c r="D34" s="20">
        <v>23500</v>
      </c>
      <c r="E34" s="20">
        <v>0</v>
      </c>
      <c r="F34" s="20">
        <f t="shared" si="0"/>
        <v>23500</v>
      </c>
      <c r="G34" s="20">
        <v>0</v>
      </c>
      <c r="H34" s="20">
        <v>0</v>
      </c>
      <c r="I34" s="20">
        <v>0</v>
      </c>
      <c r="J34" s="20">
        <v>0</v>
      </c>
    </row>
    <row r="35" spans="1:10" x14ac:dyDescent="0.85">
      <c r="A35" s="89" t="s">
        <v>23</v>
      </c>
      <c r="C35" s="1" t="s">
        <v>23</v>
      </c>
      <c r="D35" s="20">
        <v>18789.63</v>
      </c>
      <c r="E35" s="20">
        <v>75000</v>
      </c>
      <c r="F35" s="20">
        <f t="shared" si="0"/>
        <v>93789.63</v>
      </c>
      <c r="G35" s="20">
        <v>0</v>
      </c>
      <c r="H35" s="20">
        <v>0</v>
      </c>
      <c r="I35" s="20">
        <v>0</v>
      </c>
      <c r="J35" s="20">
        <v>0</v>
      </c>
    </row>
    <row r="36" spans="1:10" x14ac:dyDescent="0.85">
      <c r="A36" s="89" t="s">
        <v>23</v>
      </c>
      <c r="C36" s="1" t="s">
        <v>142</v>
      </c>
      <c r="D36" s="20">
        <v>16500</v>
      </c>
      <c r="E36" s="20">
        <v>0</v>
      </c>
      <c r="F36" s="20">
        <f t="shared" si="0"/>
        <v>16500</v>
      </c>
      <c r="G36" s="20">
        <v>0</v>
      </c>
      <c r="H36" s="20">
        <v>0</v>
      </c>
      <c r="I36" s="20">
        <v>0</v>
      </c>
      <c r="J36" s="20">
        <v>0</v>
      </c>
    </row>
    <row r="37" spans="1:10" x14ac:dyDescent="0.85">
      <c r="A37" s="89" t="s">
        <v>23</v>
      </c>
      <c r="C37" s="1" t="s">
        <v>68</v>
      </c>
      <c r="D37" s="20">
        <v>16200</v>
      </c>
      <c r="E37" s="20">
        <v>0</v>
      </c>
      <c r="F37" s="20">
        <f t="shared" si="0"/>
        <v>16200</v>
      </c>
      <c r="G37" s="20">
        <v>0</v>
      </c>
      <c r="H37" s="20">
        <v>0</v>
      </c>
      <c r="I37" s="20">
        <v>0</v>
      </c>
      <c r="J37" s="20">
        <v>0</v>
      </c>
    </row>
    <row r="38" spans="1:10" x14ac:dyDescent="0.85">
      <c r="A38" s="89" t="s">
        <v>23</v>
      </c>
      <c r="C38" s="1" t="s">
        <v>114</v>
      </c>
      <c r="D38" s="20">
        <v>13860</v>
      </c>
      <c r="E38" s="49">
        <v>0</v>
      </c>
      <c r="F38" s="20">
        <f t="shared" si="0"/>
        <v>13860</v>
      </c>
      <c r="G38" s="20">
        <v>0</v>
      </c>
      <c r="H38" s="20">
        <v>0</v>
      </c>
      <c r="I38" s="20">
        <v>0</v>
      </c>
      <c r="J38" s="20">
        <v>0</v>
      </c>
    </row>
    <row r="39" spans="1:10" x14ac:dyDescent="0.85">
      <c r="A39" s="89" t="s">
        <v>23</v>
      </c>
      <c r="C39" s="1" t="s">
        <v>115</v>
      </c>
      <c r="D39" s="20">
        <v>10800</v>
      </c>
      <c r="E39" s="20">
        <v>0</v>
      </c>
      <c r="F39" s="20">
        <f t="shared" si="0"/>
        <v>10800</v>
      </c>
      <c r="G39" s="20">
        <v>0</v>
      </c>
      <c r="H39" s="20">
        <v>0</v>
      </c>
      <c r="I39" s="20">
        <v>0</v>
      </c>
      <c r="J39" s="20">
        <v>0</v>
      </c>
    </row>
    <row r="40" spans="1:10" x14ac:dyDescent="0.85">
      <c r="A40" s="89" t="s">
        <v>23</v>
      </c>
      <c r="C40" s="1" t="s">
        <v>146</v>
      </c>
      <c r="D40" s="20">
        <v>8550</v>
      </c>
      <c r="E40" s="20">
        <v>0</v>
      </c>
      <c r="F40" s="20">
        <f t="shared" si="0"/>
        <v>8550</v>
      </c>
      <c r="G40" s="20">
        <v>0</v>
      </c>
      <c r="H40" s="20">
        <v>0</v>
      </c>
      <c r="I40" s="20">
        <v>0</v>
      </c>
      <c r="J40" s="20">
        <v>0</v>
      </c>
    </row>
    <row r="41" spans="1:10" x14ac:dyDescent="0.85">
      <c r="A41" s="89" t="s">
        <v>23</v>
      </c>
      <c r="C41" s="1" t="s">
        <v>116</v>
      </c>
      <c r="D41" s="20">
        <v>5500</v>
      </c>
      <c r="E41" s="20">
        <v>0</v>
      </c>
      <c r="F41" s="20">
        <f t="shared" si="0"/>
        <v>5500</v>
      </c>
      <c r="G41" s="20">
        <v>0</v>
      </c>
      <c r="H41" s="20">
        <v>0</v>
      </c>
      <c r="I41" s="20">
        <v>0</v>
      </c>
      <c r="J41" s="20">
        <v>0</v>
      </c>
    </row>
    <row r="42" spans="1:10" x14ac:dyDescent="0.85">
      <c r="A42" s="89" t="s">
        <v>23</v>
      </c>
      <c r="C42" s="1" t="s">
        <v>117</v>
      </c>
      <c r="D42" s="20">
        <v>5000</v>
      </c>
      <c r="E42" s="20">
        <v>0</v>
      </c>
      <c r="F42" s="20">
        <f t="shared" si="0"/>
        <v>5000</v>
      </c>
      <c r="G42" s="20">
        <v>0</v>
      </c>
      <c r="H42" s="20">
        <v>0</v>
      </c>
      <c r="I42" s="20">
        <v>0</v>
      </c>
      <c r="J42" s="20">
        <v>0</v>
      </c>
    </row>
    <row r="43" spans="1:10" x14ac:dyDescent="0.85">
      <c r="A43" s="89" t="s">
        <v>23</v>
      </c>
      <c r="C43" s="1" t="s">
        <v>118</v>
      </c>
      <c r="D43" s="20">
        <v>2000</v>
      </c>
      <c r="E43" s="20">
        <v>0</v>
      </c>
      <c r="F43" s="20">
        <f t="shared" si="0"/>
        <v>2000</v>
      </c>
      <c r="G43" s="20">
        <v>0</v>
      </c>
      <c r="H43" s="20">
        <v>0</v>
      </c>
      <c r="I43" s="20">
        <v>0</v>
      </c>
      <c r="J43" s="20">
        <v>0</v>
      </c>
    </row>
    <row r="44" spans="1:10" x14ac:dyDescent="0.85">
      <c r="A44" s="89" t="s">
        <v>23</v>
      </c>
      <c r="C44" s="1" t="s">
        <v>119</v>
      </c>
      <c r="D44" s="20">
        <v>1500</v>
      </c>
      <c r="E44" s="20">
        <v>0</v>
      </c>
      <c r="F44" s="20">
        <f t="shared" si="0"/>
        <v>1500</v>
      </c>
      <c r="G44" s="20">
        <v>0</v>
      </c>
      <c r="H44" s="20">
        <v>0</v>
      </c>
      <c r="I44" s="20">
        <v>0</v>
      </c>
      <c r="J44" s="20">
        <v>0</v>
      </c>
    </row>
    <row r="45" spans="1:10" x14ac:dyDescent="0.85">
      <c r="A45" s="89" t="s">
        <v>23</v>
      </c>
      <c r="C45" s="1" t="s">
        <v>103</v>
      </c>
      <c r="D45" s="20">
        <v>0</v>
      </c>
      <c r="E45" s="20">
        <v>0</v>
      </c>
      <c r="F45" s="20">
        <f t="shared" si="0"/>
        <v>0</v>
      </c>
      <c r="G45" s="20">
        <f>VLOOKUP(A45,'Y2025B by Activities'!B:D,3,0)</f>
        <v>1700000</v>
      </c>
      <c r="H45" s="20">
        <f>VLOOKUP(A45,'Y2025B by Activities'!B:C,2,0)</f>
        <v>3700000</v>
      </c>
      <c r="I45" s="20">
        <v>0</v>
      </c>
      <c r="J45" s="20">
        <v>0</v>
      </c>
    </row>
    <row r="46" spans="1:10" x14ac:dyDescent="0.85">
      <c r="B46" s="23" t="s">
        <v>39</v>
      </c>
      <c r="C46" s="23"/>
      <c r="D46" s="24">
        <f>SUBTOTAL(9,D28:D45)</f>
        <v>1629589.2999999998</v>
      </c>
      <c r="E46" s="24">
        <f>SUBTOTAL(9,E28:E45)</f>
        <v>175000</v>
      </c>
      <c r="F46" s="24">
        <f>SUBTOTAL(9,F28:F45)</f>
        <v>1804589.2999999998</v>
      </c>
      <c r="G46" s="24">
        <f>SUBTOTAL(9,G28:G45)</f>
        <v>1700000</v>
      </c>
      <c r="H46" s="24">
        <f>SUBTOTAL(9,H28:H45)</f>
        <v>3700000</v>
      </c>
      <c r="I46" s="24">
        <f>G46-D46</f>
        <v>70410.700000000186</v>
      </c>
      <c r="J46" s="24">
        <f>H46-F46</f>
        <v>1895410.7000000002</v>
      </c>
    </row>
    <row r="47" spans="1:10" x14ac:dyDescent="0.85">
      <c r="A47" s="89" t="s">
        <v>26</v>
      </c>
      <c r="B47" s="1" t="s">
        <v>26</v>
      </c>
      <c r="C47" s="1" t="s">
        <v>141</v>
      </c>
      <c r="D47" s="20">
        <v>49640</v>
      </c>
      <c r="E47" s="49">
        <v>0</v>
      </c>
      <c r="F47" s="20">
        <f t="shared" si="0"/>
        <v>49640</v>
      </c>
      <c r="G47" s="20">
        <v>0</v>
      </c>
      <c r="H47" s="20">
        <v>0</v>
      </c>
      <c r="I47" s="20">
        <v>0</v>
      </c>
      <c r="J47" s="20">
        <v>0</v>
      </c>
    </row>
    <row r="48" spans="1:10" x14ac:dyDescent="0.85">
      <c r="A48" s="89" t="s">
        <v>26</v>
      </c>
      <c r="C48" s="1" t="s">
        <v>103</v>
      </c>
      <c r="D48" s="20">
        <v>0</v>
      </c>
      <c r="E48" s="20">
        <v>0</v>
      </c>
      <c r="F48" s="20">
        <f t="shared" si="0"/>
        <v>0</v>
      </c>
      <c r="G48" s="20">
        <f>VLOOKUP(A48,'Y2025B by Activities'!B:D,3,0)</f>
        <v>1300000</v>
      </c>
      <c r="H48" s="20">
        <f>VLOOKUP(A48,'Y2025B by Activities'!B:C,2,0)</f>
        <v>3500000</v>
      </c>
      <c r="I48" s="20">
        <v>0</v>
      </c>
      <c r="J48" s="20">
        <v>0</v>
      </c>
    </row>
    <row r="49" spans="1:10" x14ac:dyDescent="0.85">
      <c r="B49" s="23" t="s">
        <v>43</v>
      </c>
      <c r="C49" s="23"/>
      <c r="D49" s="24">
        <f>SUBTOTAL(9,D47:D48)</f>
        <v>49640</v>
      </c>
      <c r="E49" s="24">
        <f>SUBTOTAL(9,E47:E48)</f>
        <v>0</v>
      </c>
      <c r="F49" s="24">
        <f>SUBTOTAL(9,F47:F48)</f>
        <v>49640</v>
      </c>
      <c r="G49" s="24">
        <f>SUBTOTAL(9,G47:G48)</f>
        <v>1300000</v>
      </c>
      <c r="H49" s="24">
        <f>SUBTOTAL(9,H47:H48)</f>
        <v>3500000</v>
      </c>
      <c r="I49" s="24">
        <f>G49-D49</f>
        <v>1250360</v>
      </c>
      <c r="J49" s="24">
        <f>H49-F49</f>
        <v>3450360</v>
      </c>
    </row>
    <row r="50" spans="1:10" x14ac:dyDescent="0.85">
      <c r="A50" s="89" t="s">
        <v>28</v>
      </c>
      <c r="B50" s="1" t="s">
        <v>28</v>
      </c>
      <c r="C50" s="1" t="s">
        <v>30</v>
      </c>
      <c r="D50" s="20">
        <v>552332</v>
      </c>
      <c r="E50" s="20">
        <v>0</v>
      </c>
      <c r="F50" s="20">
        <f t="shared" si="0"/>
        <v>552332</v>
      </c>
      <c r="G50" s="20">
        <v>0</v>
      </c>
      <c r="H50" s="20">
        <v>0</v>
      </c>
      <c r="I50" s="20">
        <v>0</v>
      </c>
      <c r="J50" s="20">
        <v>0</v>
      </c>
    </row>
    <row r="51" spans="1:10" x14ac:dyDescent="0.85">
      <c r="A51" s="89" t="s">
        <v>28</v>
      </c>
      <c r="C51" s="1" t="s">
        <v>64</v>
      </c>
      <c r="D51" s="20">
        <v>207555.3</v>
      </c>
      <c r="E51" s="20">
        <v>0</v>
      </c>
      <c r="F51" s="20">
        <f t="shared" si="0"/>
        <v>207555.3</v>
      </c>
      <c r="G51" s="20">
        <v>0</v>
      </c>
      <c r="H51" s="20">
        <v>0</v>
      </c>
      <c r="I51" s="20">
        <v>0</v>
      </c>
      <c r="J51" s="20">
        <v>0</v>
      </c>
    </row>
    <row r="52" spans="1:10" x14ac:dyDescent="0.85">
      <c r="A52" s="89" t="s">
        <v>28</v>
      </c>
      <c r="C52" s="1" t="s">
        <v>46</v>
      </c>
      <c r="D52" s="20">
        <v>174624.04</v>
      </c>
      <c r="E52" s="20">
        <v>0</v>
      </c>
      <c r="F52" s="20">
        <f t="shared" si="0"/>
        <v>174624.04</v>
      </c>
      <c r="G52" s="20">
        <v>0</v>
      </c>
      <c r="H52" s="20">
        <v>0</v>
      </c>
      <c r="I52" s="20">
        <v>0</v>
      </c>
      <c r="J52" s="20">
        <v>0</v>
      </c>
    </row>
    <row r="53" spans="1:10" x14ac:dyDescent="0.85">
      <c r="A53" s="89" t="s">
        <v>28</v>
      </c>
      <c r="C53" s="1" t="s">
        <v>83</v>
      </c>
      <c r="D53" s="20">
        <v>70922</v>
      </c>
      <c r="E53" s="20">
        <v>0</v>
      </c>
      <c r="F53" s="20">
        <f t="shared" si="0"/>
        <v>70922</v>
      </c>
      <c r="G53" s="20">
        <v>0</v>
      </c>
      <c r="H53" s="20">
        <v>0</v>
      </c>
      <c r="I53" s="20">
        <v>0</v>
      </c>
      <c r="J53" s="20">
        <v>0</v>
      </c>
    </row>
    <row r="54" spans="1:10" x14ac:dyDescent="0.85">
      <c r="A54" s="89" t="s">
        <v>28</v>
      </c>
      <c r="C54" s="1" t="s">
        <v>85</v>
      </c>
      <c r="D54" s="20">
        <v>70092</v>
      </c>
      <c r="E54" s="20">
        <v>45000</v>
      </c>
      <c r="F54" s="20">
        <f t="shared" si="0"/>
        <v>115092</v>
      </c>
      <c r="G54" s="20">
        <v>0</v>
      </c>
      <c r="H54" s="20">
        <v>0</v>
      </c>
      <c r="I54" s="20">
        <v>0</v>
      </c>
      <c r="J54" s="20">
        <v>0</v>
      </c>
    </row>
    <row r="55" spans="1:10" x14ac:dyDescent="0.85">
      <c r="A55" s="89" t="s">
        <v>28</v>
      </c>
      <c r="C55" s="1" t="s">
        <v>120</v>
      </c>
      <c r="D55" s="20">
        <v>54513.599999999999</v>
      </c>
      <c r="E55" s="20">
        <v>0</v>
      </c>
      <c r="F55" s="20">
        <f t="shared" si="0"/>
        <v>54513.599999999999</v>
      </c>
      <c r="G55" s="20">
        <v>0</v>
      </c>
      <c r="H55" s="20">
        <v>0</v>
      </c>
      <c r="I55" s="20">
        <v>0</v>
      </c>
      <c r="J55" s="20">
        <v>0</v>
      </c>
    </row>
    <row r="56" spans="1:10" x14ac:dyDescent="0.85">
      <c r="A56" s="89" t="s">
        <v>28</v>
      </c>
      <c r="C56" s="1" t="s">
        <v>121</v>
      </c>
      <c r="D56" s="20">
        <v>53833.599999999999</v>
      </c>
      <c r="E56" s="20">
        <v>0</v>
      </c>
      <c r="F56" s="20">
        <f t="shared" si="0"/>
        <v>53833.599999999999</v>
      </c>
      <c r="G56" s="20">
        <v>0</v>
      </c>
      <c r="H56" s="20">
        <v>0</v>
      </c>
      <c r="I56" s="20">
        <v>0</v>
      </c>
      <c r="J56" s="20">
        <v>0</v>
      </c>
    </row>
    <row r="57" spans="1:10" x14ac:dyDescent="0.85">
      <c r="A57" s="89" t="s">
        <v>28</v>
      </c>
      <c r="C57" s="1" t="s">
        <v>97</v>
      </c>
      <c r="D57" s="20">
        <v>53616</v>
      </c>
      <c r="E57" s="20">
        <v>0</v>
      </c>
      <c r="F57" s="20">
        <f t="shared" si="0"/>
        <v>53616</v>
      </c>
      <c r="G57" s="20">
        <v>0</v>
      </c>
      <c r="H57" s="20">
        <v>0</v>
      </c>
      <c r="I57" s="20">
        <v>0</v>
      </c>
      <c r="J57" s="20">
        <v>0</v>
      </c>
    </row>
    <row r="58" spans="1:10" x14ac:dyDescent="0.85">
      <c r="A58" s="89" t="s">
        <v>28</v>
      </c>
      <c r="C58" s="1" t="s">
        <v>81</v>
      </c>
      <c r="D58" s="20">
        <v>35064</v>
      </c>
      <c r="E58" s="20">
        <v>0</v>
      </c>
      <c r="F58" s="20">
        <f t="shared" si="0"/>
        <v>35064</v>
      </c>
      <c r="G58" s="20">
        <v>0</v>
      </c>
      <c r="H58" s="20">
        <v>0</v>
      </c>
      <c r="I58" s="20">
        <v>0</v>
      </c>
      <c r="J58" s="20">
        <v>0</v>
      </c>
    </row>
    <row r="59" spans="1:10" x14ac:dyDescent="0.85">
      <c r="A59" s="89" t="s">
        <v>28</v>
      </c>
      <c r="C59" s="1" t="s">
        <v>47</v>
      </c>
      <c r="D59" s="20">
        <v>32060</v>
      </c>
      <c r="E59" s="20">
        <v>0</v>
      </c>
      <c r="F59" s="20">
        <f t="shared" si="0"/>
        <v>32060</v>
      </c>
      <c r="G59" s="20">
        <v>0</v>
      </c>
      <c r="H59" s="20">
        <v>0</v>
      </c>
      <c r="I59" s="20">
        <v>0</v>
      </c>
      <c r="J59" s="20">
        <v>0</v>
      </c>
    </row>
    <row r="60" spans="1:10" x14ac:dyDescent="0.85">
      <c r="A60" s="89" t="s">
        <v>28</v>
      </c>
      <c r="C60" s="1" t="s">
        <v>84</v>
      </c>
      <c r="D60" s="20">
        <v>20410</v>
      </c>
      <c r="E60" s="20">
        <v>0</v>
      </c>
      <c r="F60" s="20">
        <f t="shared" ref="F60:F65" si="2">D60+E60</f>
        <v>20410</v>
      </c>
      <c r="G60" s="20">
        <v>0</v>
      </c>
      <c r="H60" s="20">
        <v>0</v>
      </c>
      <c r="I60" s="20">
        <v>0</v>
      </c>
      <c r="J60" s="20">
        <v>0</v>
      </c>
    </row>
    <row r="61" spans="1:10" x14ac:dyDescent="0.85">
      <c r="A61" s="89" t="s">
        <v>28</v>
      </c>
      <c r="C61" s="1" t="s">
        <v>82</v>
      </c>
      <c r="D61" s="20">
        <v>18034</v>
      </c>
      <c r="E61" s="20">
        <v>0</v>
      </c>
      <c r="F61" s="20">
        <f t="shared" si="2"/>
        <v>18034</v>
      </c>
      <c r="G61" s="20">
        <v>0</v>
      </c>
      <c r="H61" s="20">
        <v>0</v>
      </c>
      <c r="I61" s="20">
        <v>0</v>
      </c>
      <c r="J61" s="20">
        <v>0</v>
      </c>
    </row>
    <row r="62" spans="1:10" x14ac:dyDescent="0.85">
      <c r="A62" s="89" t="s">
        <v>28</v>
      </c>
      <c r="C62" s="1" t="s">
        <v>66</v>
      </c>
      <c r="D62" s="20">
        <v>16975</v>
      </c>
      <c r="E62" s="20">
        <v>0</v>
      </c>
      <c r="F62" s="20">
        <f t="shared" si="2"/>
        <v>16975</v>
      </c>
      <c r="G62" s="20">
        <v>0</v>
      </c>
      <c r="H62" s="20">
        <v>0</v>
      </c>
      <c r="I62" s="20">
        <v>0</v>
      </c>
      <c r="J62" s="20">
        <v>0</v>
      </c>
    </row>
    <row r="63" spans="1:10" x14ac:dyDescent="0.85">
      <c r="A63" s="89" t="s">
        <v>28</v>
      </c>
      <c r="C63" s="1" t="s">
        <v>18</v>
      </c>
      <c r="D63" s="20">
        <v>770</v>
      </c>
      <c r="E63" s="20">
        <v>0</v>
      </c>
      <c r="F63" s="20">
        <f t="shared" si="2"/>
        <v>770</v>
      </c>
      <c r="G63" s="20">
        <v>0</v>
      </c>
      <c r="H63" s="20">
        <v>0</v>
      </c>
      <c r="I63" s="20">
        <v>0</v>
      </c>
      <c r="J63" s="20">
        <v>0</v>
      </c>
    </row>
    <row r="64" spans="1:10" x14ac:dyDescent="0.85">
      <c r="A64" s="89" t="s">
        <v>28</v>
      </c>
      <c r="C64" s="1" t="s">
        <v>92</v>
      </c>
      <c r="D64" s="20">
        <v>338</v>
      </c>
      <c r="E64" s="20">
        <v>0</v>
      </c>
      <c r="F64" s="20">
        <f t="shared" si="2"/>
        <v>338</v>
      </c>
      <c r="G64" s="20">
        <v>0</v>
      </c>
      <c r="H64" s="20">
        <v>0</v>
      </c>
      <c r="I64" s="20">
        <v>0</v>
      </c>
      <c r="J64" s="20">
        <v>0</v>
      </c>
    </row>
    <row r="65" spans="1:10" x14ac:dyDescent="0.85">
      <c r="A65" s="89" t="s">
        <v>28</v>
      </c>
      <c r="C65" s="1" t="s">
        <v>103</v>
      </c>
      <c r="D65" s="56">
        <v>0</v>
      </c>
      <c r="E65" s="56">
        <v>0</v>
      </c>
      <c r="F65" s="56">
        <f t="shared" si="2"/>
        <v>0</v>
      </c>
      <c r="G65" s="56">
        <f>VLOOKUP(A65,'Y2025B by Activities'!B:D,3,0)</f>
        <v>1600000</v>
      </c>
      <c r="H65" s="56">
        <f>VLOOKUP(A65,'Y2025B by Activities'!B:C,2,0)</f>
        <v>4000000</v>
      </c>
      <c r="I65" s="56">
        <v>0</v>
      </c>
      <c r="J65" s="56">
        <v>0</v>
      </c>
    </row>
    <row r="66" spans="1:10" x14ac:dyDescent="0.85">
      <c r="B66" s="23" t="s">
        <v>48</v>
      </c>
      <c r="C66" s="23"/>
      <c r="D66" s="24">
        <f>SUBTOTAL(9,D50:D65)</f>
        <v>1361139.5400000003</v>
      </c>
      <c r="E66" s="24">
        <f>SUBTOTAL(9,E50:E65)</f>
        <v>45000</v>
      </c>
      <c r="F66" s="24">
        <f>SUBTOTAL(9,F50:F65)</f>
        <v>1406139.5400000003</v>
      </c>
      <c r="G66" s="24">
        <f>SUBTOTAL(9,G50:G65)</f>
        <v>1600000</v>
      </c>
      <c r="H66" s="24">
        <f>SUBTOTAL(9,H50:H65)</f>
        <v>4000000</v>
      </c>
      <c r="I66" s="24">
        <f>G66-D66</f>
        <v>238860.45999999973</v>
      </c>
      <c r="J66" s="24">
        <f>H66-F66</f>
        <v>2593860.46</v>
      </c>
    </row>
    <row r="67" spans="1:10" x14ac:dyDescent="0.85">
      <c r="A67" s="89" t="s">
        <v>75</v>
      </c>
      <c r="B67" s="1" t="s">
        <v>75</v>
      </c>
      <c r="C67" s="1" t="s">
        <v>59</v>
      </c>
      <c r="D67" s="20">
        <v>174000</v>
      </c>
      <c r="E67" s="20">
        <v>0</v>
      </c>
      <c r="F67" s="20">
        <f t="shared" ref="F67:F71" si="3">D67+E67</f>
        <v>174000</v>
      </c>
      <c r="G67" s="20">
        <v>0</v>
      </c>
      <c r="H67" s="20">
        <v>0</v>
      </c>
      <c r="I67" s="20">
        <v>0</v>
      </c>
      <c r="J67" s="20">
        <v>0</v>
      </c>
    </row>
    <row r="68" spans="1:10" x14ac:dyDescent="0.85">
      <c r="A68" s="89" t="s">
        <v>75</v>
      </c>
      <c r="C68" s="1" t="s">
        <v>126</v>
      </c>
      <c r="D68" s="20">
        <v>131250</v>
      </c>
      <c r="E68" s="20">
        <v>0</v>
      </c>
      <c r="F68" s="20">
        <f t="shared" si="3"/>
        <v>131250</v>
      </c>
      <c r="G68" s="20">
        <v>0</v>
      </c>
      <c r="H68" s="20">
        <v>0</v>
      </c>
      <c r="I68" s="20">
        <v>0</v>
      </c>
      <c r="J68" s="20">
        <v>0</v>
      </c>
    </row>
    <row r="69" spans="1:10" x14ac:dyDescent="0.85">
      <c r="A69" s="89" t="s">
        <v>75</v>
      </c>
      <c r="C69" s="1" t="s">
        <v>69</v>
      </c>
      <c r="D69" s="20">
        <v>124943.75</v>
      </c>
      <c r="E69" s="49">
        <v>0</v>
      </c>
      <c r="F69" s="20">
        <f t="shared" si="3"/>
        <v>124943.75</v>
      </c>
      <c r="G69" s="20">
        <v>0</v>
      </c>
      <c r="H69" s="20">
        <v>0</v>
      </c>
      <c r="I69" s="20">
        <v>0</v>
      </c>
      <c r="J69" s="20">
        <v>0</v>
      </c>
    </row>
    <row r="70" spans="1:10" x14ac:dyDescent="0.85">
      <c r="A70" s="89" t="s">
        <v>75</v>
      </c>
      <c r="C70" s="1" t="s">
        <v>127</v>
      </c>
      <c r="D70" s="20">
        <v>58000</v>
      </c>
      <c r="E70" s="20">
        <v>30000</v>
      </c>
      <c r="F70" s="20">
        <f t="shared" si="3"/>
        <v>88000</v>
      </c>
      <c r="G70" s="20">
        <v>0</v>
      </c>
      <c r="H70" s="20">
        <v>0</v>
      </c>
      <c r="I70" s="20">
        <v>0</v>
      </c>
      <c r="J70" s="20">
        <v>0</v>
      </c>
    </row>
    <row r="71" spans="1:10" x14ac:dyDescent="0.85">
      <c r="A71" s="89" t="s">
        <v>75</v>
      </c>
      <c r="C71" s="1" t="s">
        <v>103</v>
      </c>
      <c r="D71" s="20">
        <v>0</v>
      </c>
      <c r="E71" s="20">
        <v>0</v>
      </c>
      <c r="F71" s="20">
        <f t="shared" si="3"/>
        <v>0</v>
      </c>
      <c r="G71" s="20">
        <f>VLOOKUP(A71,'Y2025B by Activities'!B:D,3,0)</f>
        <v>500000</v>
      </c>
      <c r="H71" s="20">
        <f>VLOOKUP(A71,'Y2025B by Activities'!B:C,2,0)</f>
        <v>1000000</v>
      </c>
      <c r="I71" s="20">
        <v>0</v>
      </c>
      <c r="J71" s="20">
        <v>0</v>
      </c>
    </row>
    <row r="72" spans="1:10" x14ac:dyDescent="0.85">
      <c r="B72" s="23" t="s">
        <v>44</v>
      </c>
      <c r="C72" s="23"/>
      <c r="D72" s="24">
        <f>SUBTOTAL(9,D67:D71)</f>
        <v>488193.75</v>
      </c>
      <c r="E72" s="24">
        <f>SUBTOTAL(9,E67:E71)</f>
        <v>30000</v>
      </c>
      <c r="F72" s="24">
        <f>SUBTOTAL(9,F67:F71)</f>
        <v>518193.75</v>
      </c>
      <c r="G72" s="24">
        <f>SUBTOTAL(9,G67:G71)</f>
        <v>500000</v>
      </c>
      <c r="H72" s="24">
        <f>SUBTOTAL(9,H67:H71)</f>
        <v>1000000</v>
      </c>
      <c r="I72" s="24">
        <f>G72-D72</f>
        <v>11806.25</v>
      </c>
      <c r="J72" s="24">
        <f>H72-F72</f>
        <v>481806.25</v>
      </c>
    </row>
    <row r="73" spans="1:10" x14ac:dyDescent="0.85">
      <c r="A73" s="89" t="s">
        <v>24</v>
      </c>
      <c r="B73" s="1" t="s">
        <v>24</v>
      </c>
      <c r="C73" s="1" t="s">
        <v>110</v>
      </c>
      <c r="D73" s="20">
        <v>158510</v>
      </c>
      <c r="E73" s="20">
        <v>0</v>
      </c>
      <c r="F73" s="20">
        <f t="shared" ref="F73:F81" si="4">D73+E73</f>
        <v>158510</v>
      </c>
      <c r="G73" s="20">
        <v>0</v>
      </c>
      <c r="H73" s="20">
        <v>0</v>
      </c>
      <c r="I73" s="20">
        <v>0</v>
      </c>
      <c r="J73" s="20">
        <v>0</v>
      </c>
    </row>
    <row r="74" spans="1:10" x14ac:dyDescent="0.85">
      <c r="A74" s="89" t="s">
        <v>24</v>
      </c>
      <c r="C74" s="1" t="s">
        <v>128</v>
      </c>
      <c r="D74" s="20">
        <v>100430</v>
      </c>
      <c r="E74" s="20">
        <v>0</v>
      </c>
      <c r="F74" s="20">
        <f t="shared" si="4"/>
        <v>100430</v>
      </c>
      <c r="G74" s="20">
        <v>0</v>
      </c>
      <c r="H74" s="20">
        <v>0</v>
      </c>
      <c r="I74" s="20">
        <v>0</v>
      </c>
      <c r="J74" s="20">
        <v>0</v>
      </c>
    </row>
    <row r="75" spans="1:10" x14ac:dyDescent="0.85">
      <c r="A75" s="89" t="s">
        <v>24</v>
      </c>
      <c r="C75" s="1" t="s">
        <v>129</v>
      </c>
      <c r="D75" s="20">
        <v>54450</v>
      </c>
      <c r="E75" s="20">
        <v>0</v>
      </c>
      <c r="F75" s="20">
        <f t="shared" si="4"/>
        <v>54450</v>
      </c>
      <c r="G75" s="20">
        <v>0</v>
      </c>
      <c r="H75" s="20">
        <v>0</v>
      </c>
      <c r="I75" s="20">
        <v>0</v>
      </c>
      <c r="J75" s="20">
        <v>0</v>
      </c>
    </row>
    <row r="76" spans="1:10" x14ac:dyDescent="0.85">
      <c r="A76" s="89" t="s">
        <v>24</v>
      </c>
      <c r="C76" s="1" t="s">
        <v>130</v>
      </c>
      <c r="D76" s="20">
        <v>36300</v>
      </c>
      <c r="E76" s="20">
        <v>0</v>
      </c>
      <c r="F76" s="20">
        <f t="shared" si="4"/>
        <v>36300</v>
      </c>
      <c r="G76" s="20">
        <v>0</v>
      </c>
      <c r="H76" s="20">
        <v>0</v>
      </c>
      <c r="I76" s="20">
        <v>0</v>
      </c>
      <c r="J76" s="20">
        <v>0</v>
      </c>
    </row>
    <row r="77" spans="1:10" x14ac:dyDescent="0.85">
      <c r="A77" s="89" t="s">
        <v>24</v>
      </c>
      <c r="C77" s="1" t="s">
        <v>131</v>
      </c>
      <c r="D77" s="20">
        <v>14520</v>
      </c>
      <c r="E77" s="20">
        <v>25000</v>
      </c>
      <c r="F77" s="20">
        <f t="shared" si="4"/>
        <v>39520</v>
      </c>
      <c r="G77" s="20">
        <v>0</v>
      </c>
      <c r="H77" s="20">
        <v>0</v>
      </c>
      <c r="I77" s="20">
        <v>0</v>
      </c>
      <c r="J77" s="20">
        <v>0</v>
      </c>
    </row>
    <row r="78" spans="1:10" x14ac:dyDescent="0.85">
      <c r="A78" s="89" t="s">
        <v>24</v>
      </c>
      <c r="C78" s="1" t="s">
        <v>132</v>
      </c>
      <c r="D78" s="20">
        <v>6655</v>
      </c>
      <c r="E78" s="20">
        <v>0</v>
      </c>
      <c r="F78" s="20">
        <f t="shared" si="4"/>
        <v>6655</v>
      </c>
      <c r="G78" s="20">
        <v>0</v>
      </c>
      <c r="H78" s="20">
        <v>0</v>
      </c>
      <c r="I78" s="20">
        <v>0</v>
      </c>
      <c r="J78" s="20">
        <v>0</v>
      </c>
    </row>
    <row r="79" spans="1:10" x14ac:dyDescent="0.85">
      <c r="A79" s="89" t="s">
        <v>24</v>
      </c>
      <c r="C79" s="1" t="s">
        <v>133</v>
      </c>
      <c r="D79" s="20">
        <v>4840</v>
      </c>
      <c r="E79" s="20">
        <v>0</v>
      </c>
      <c r="F79" s="20">
        <f t="shared" si="4"/>
        <v>4840</v>
      </c>
      <c r="G79" s="20">
        <v>0</v>
      </c>
      <c r="H79" s="20">
        <v>0</v>
      </c>
      <c r="I79" s="20">
        <v>0</v>
      </c>
      <c r="J79" s="20">
        <v>0</v>
      </c>
    </row>
    <row r="80" spans="1:10" x14ac:dyDescent="0.85">
      <c r="A80" s="89" t="s">
        <v>24</v>
      </c>
      <c r="C80" s="1" t="s">
        <v>67</v>
      </c>
      <c r="D80" s="20">
        <v>4100</v>
      </c>
      <c r="E80" s="20">
        <v>0</v>
      </c>
      <c r="F80" s="20">
        <f t="shared" si="4"/>
        <v>4100</v>
      </c>
      <c r="G80" s="20">
        <v>0</v>
      </c>
      <c r="H80" s="20">
        <v>0</v>
      </c>
      <c r="I80" s="20">
        <v>0</v>
      </c>
      <c r="J80" s="20">
        <v>0</v>
      </c>
    </row>
    <row r="81" spans="1:10" x14ac:dyDescent="0.85">
      <c r="A81" s="89" t="s">
        <v>24</v>
      </c>
      <c r="C81" s="1" t="s">
        <v>103</v>
      </c>
      <c r="D81" s="20">
        <v>0</v>
      </c>
      <c r="E81" s="20">
        <v>0</v>
      </c>
      <c r="F81" s="20">
        <f t="shared" si="4"/>
        <v>0</v>
      </c>
      <c r="G81" s="20">
        <f>VLOOKUP(A81,'Y2025B by Activities'!B:D,3,0)</f>
        <v>700000</v>
      </c>
      <c r="H81" s="20">
        <f>VLOOKUP(A81,'Y2025B by Activities'!B:C,2,0)</f>
        <v>1500000</v>
      </c>
      <c r="I81" s="20">
        <v>0</v>
      </c>
      <c r="J81" s="20">
        <v>0</v>
      </c>
    </row>
    <row r="82" spans="1:10" x14ac:dyDescent="0.85">
      <c r="B82" s="23" t="s">
        <v>40</v>
      </c>
      <c r="C82" s="23"/>
      <c r="D82" s="24">
        <f>SUBTOTAL(9,D73:D81)</f>
        <v>379805</v>
      </c>
      <c r="E82" s="24">
        <f>SUBTOTAL(9,E73:E81)</f>
        <v>25000</v>
      </c>
      <c r="F82" s="24">
        <f>SUBTOTAL(9,F73:F81)</f>
        <v>404805</v>
      </c>
      <c r="G82" s="24">
        <f>SUBTOTAL(9,G73:G81)</f>
        <v>700000</v>
      </c>
      <c r="H82" s="24">
        <f>SUBTOTAL(9,H73:H81)</f>
        <v>1500000</v>
      </c>
      <c r="I82" s="24">
        <f>G82-D82</f>
        <v>320195</v>
      </c>
      <c r="J82" s="24">
        <f>H82-F82</f>
        <v>1095195</v>
      </c>
    </row>
    <row r="83" spans="1:10" x14ac:dyDescent="0.85">
      <c r="A83" s="89" t="s">
        <v>76</v>
      </c>
      <c r="B83" s="1" t="s">
        <v>76</v>
      </c>
      <c r="D83" s="20">
        <v>0</v>
      </c>
      <c r="E83" s="20">
        <v>0</v>
      </c>
      <c r="F83" s="20">
        <f t="shared" ref="F83:F84" si="5">D83+E83</f>
        <v>0</v>
      </c>
      <c r="G83" s="20">
        <v>0</v>
      </c>
      <c r="H83" s="20">
        <v>0</v>
      </c>
      <c r="I83" s="20">
        <v>0</v>
      </c>
      <c r="J83" s="20">
        <v>0</v>
      </c>
    </row>
    <row r="84" spans="1:10" x14ac:dyDescent="0.85">
      <c r="A84" s="89" t="s">
        <v>76</v>
      </c>
      <c r="C84" s="1" t="s">
        <v>103</v>
      </c>
      <c r="D84" s="20">
        <v>0</v>
      </c>
      <c r="E84" s="20">
        <v>0</v>
      </c>
      <c r="F84" s="20">
        <f t="shared" si="5"/>
        <v>0</v>
      </c>
      <c r="G84" s="20">
        <f>VLOOKUP(A84,'Y2025B by Activities'!B:D,3,0)</f>
        <v>0</v>
      </c>
      <c r="H84" s="20">
        <f>VLOOKUP(A84,'Y2025B by Activities'!B:C,2,0)</f>
        <v>0</v>
      </c>
      <c r="I84" s="20">
        <v>0</v>
      </c>
      <c r="J84" s="20">
        <v>0</v>
      </c>
    </row>
    <row r="85" spans="1:10" x14ac:dyDescent="0.85">
      <c r="B85" s="23" t="s">
        <v>95</v>
      </c>
      <c r="C85" s="23"/>
      <c r="D85" s="24">
        <f>SUBTOTAL(9,D83:D84)</f>
        <v>0</v>
      </c>
      <c r="E85" s="24">
        <f>SUBTOTAL(9,E83:E84)</f>
        <v>0</v>
      </c>
      <c r="F85" s="24">
        <f>SUBTOTAL(9,F83:F84)</f>
        <v>0</v>
      </c>
      <c r="G85" s="24">
        <f>SUBTOTAL(9,G83:G84)</f>
        <v>0</v>
      </c>
      <c r="H85" s="24">
        <f>SUBTOTAL(9,H83:H84)</f>
        <v>0</v>
      </c>
      <c r="I85" s="24">
        <f>G85-D85</f>
        <v>0</v>
      </c>
      <c r="J85" s="24">
        <f>H85-F85</f>
        <v>0</v>
      </c>
    </row>
    <row r="86" spans="1:10" x14ac:dyDescent="0.85">
      <c r="A86" s="89" t="s">
        <v>91</v>
      </c>
      <c r="B86" s="1" t="s">
        <v>91</v>
      </c>
      <c r="C86" s="1" t="s">
        <v>36</v>
      </c>
      <c r="D86" s="20">
        <v>1137741.2799999998</v>
      </c>
      <c r="E86" s="20">
        <v>0</v>
      </c>
      <c r="F86" s="20">
        <f t="shared" ref="F86:F87" si="6">D86+E86</f>
        <v>1137741.2799999998</v>
      </c>
      <c r="G86" s="20">
        <v>0</v>
      </c>
      <c r="H86" s="20">
        <v>0</v>
      </c>
      <c r="I86" s="20">
        <v>0</v>
      </c>
      <c r="J86" s="20">
        <v>0</v>
      </c>
    </row>
    <row r="87" spans="1:10" x14ac:dyDescent="0.85">
      <c r="A87" s="89" t="s">
        <v>91</v>
      </c>
      <c r="C87" s="1" t="s">
        <v>103</v>
      </c>
      <c r="D87" s="20">
        <v>0</v>
      </c>
      <c r="E87" s="20">
        <v>0</v>
      </c>
      <c r="F87" s="20">
        <f t="shared" si="6"/>
        <v>0</v>
      </c>
      <c r="G87" s="20">
        <f>VLOOKUP(A87,'Y2025B by Activities'!B:D,3,0)</f>
        <v>500000</v>
      </c>
      <c r="H87" s="20">
        <f>VLOOKUP(A87,'Y2025B by Activities'!B:C,2,0)</f>
        <v>1500000</v>
      </c>
      <c r="I87" s="20">
        <v>0</v>
      </c>
      <c r="J87" s="20">
        <v>0</v>
      </c>
    </row>
    <row r="88" spans="1:10" x14ac:dyDescent="0.85">
      <c r="B88" s="23" t="s">
        <v>37</v>
      </c>
      <c r="C88" s="23"/>
      <c r="D88" s="24">
        <f>SUBTOTAL(9,D86:D87)</f>
        <v>1137741.2799999998</v>
      </c>
      <c r="E88" s="24">
        <f t="shared" ref="E88:H88" si="7">SUBTOTAL(9,E86:E87)</f>
        <v>0</v>
      </c>
      <c r="F88" s="24">
        <f t="shared" si="7"/>
        <v>1137741.2799999998</v>
      </c>
      <c r="G88" s="24">
        <f t="shared" si="7"/>
        <v>500000</v>
      </c>
      <c r="H88" s="24">
        <f t="shared" si="7"/>
        <v>1500000</v>
      </c>
      <c r="I88" s="24">
        <f>G88-D88</f>
        <v>-637741.2799999998</v>
      </c>
      <c r="J88" s="24">
        <f>H88-F88</f>
        <v>362258.7200000002</v>
      </c>
    </row>
    <row r="89" spans="1:10" x14ac:dyDescent="0.85">
      <c r="A89" s="89" t="s">
        <v>25</v>
      </c>
      <c r="B89" s="1" t="s">
        <v>25</v>
      </c>
      <c r="D89" s="20">
        <v>0</v>
      </c>
      <c r="E89" s="20">
        <v>0</v>
      </c>
      <c r="F89" s="20">
        <f t="shared" ref="F89:F90" si="8">D89+E89</f>
        <v>0</v>
      </c>
      <c r="G89" s="20">
        <v>0</v>
      </c>
      <c r="H89" s="20">
        <v>0</v>
      </c>
      <c r="I89" s="20">
        <v>0</v>
      </c>
      <c r="J89" s="20">
        <v>0</v>
      </c>
    </row>
    <row r="90" spans="1:10" x14ac:dyDescent="0.85">
      <c r="A90" s="89" t="s">
        <v>25</v>
      </c>
      <c r="C90" s="1" t="s">
        <v>103</v>
      </c>
      <c r="D90" s="20">
        <v>0</v>
      </c>
      <c r="E90" s="20">
        <v>0</v>
      </c>
      <c r="F90" s="20">
        <f t="shared" si="8"/>
        <v>0</v>
      </c>
      <c r="G90" s="20">
        <f>VLOOKUP(A90,'Y2025B by Activities'!B:D,3,0)</f>
        <v>0</v>
      </c>
      <c r="H90" s="20">
        <f>VLOOKUP(A90,'Y2025B by Activities'!B:C,2,0)</f>
        <v>0</v>
      </c>
      <c r="I90" s="20">
        <v>0</v>
      </c>
      <c r="J90" s="20">
        <v>0</v>
      </c>
    </row>
    <row r="91" spans="1:10" x14ac:dyDescent="0.85">
      <c r="B91" s="23" t="s">
        <v>41</v>
      </c>
      <c r="C91" s="23"/>
      <c r="D91" s="24">
        <f>SUBTOTAL(9,D89:D90)</f>
        <v>0</v>
      </c>
      <c r="E91" s="24">
        <f>SUBTOTAL(9,E89:E90)</f>
        <v>0</v>
      </c>
      <c r="F91" s="24">
        <f>SUBTOTAL(9,F89:F90)</f>
        <v>0</v>
      </c>
      <c r="G91" s="24">
        <f>SUBTOTAL(9,G89:G90)</f>
        <v>0</v>
      </c>
      <c r="H91" s="24">
        <f>SUBTOTAL(9,H89:H90)</f>
        <v>0</v>
      </c>
      <c r="I91" s="24">
        <f>G91-D91</f>
        <v>0</v>
      </c>
      <c r="J91" s="24">
        <f>H91-F91</f>
        <v>0</v>
      </c>
    </row>
    <row r="92" spans="1:10" x14ac:dyDescent="0.85">
      <c r="A92" s="89" t="s">
        <v>63</v>
      </c>
      <c r="B92" s="1" t="s">
        <v>63</v>
      </c>
      <c r="D92" s="20">
        <v>0</v>
      </c>
      <c r="E92" s="20">
        <v>0</v>
      </c>
      <c r="F92" s="20">
        <f t="shared" ref="F92:F93" si="9">D92+E92</f>
        <v>0</v>
      </c>
      <c r="G92" s="20">
        <v>0</v>
      </c>
      <c r="H92" s="20">
        <v>0</v>
      </c>
      <c r="I92" s="20">
        <v>0</v>
      </c>
      <c r="J92" s="20">
        <v>0</v>
      </c>
    </row>
    <row r="93" spans="1:10" x14ac:dyDescent="0.85">
      <c r="A93" s="89" t="s">
        <v>63</v>
      </c>
      <c r="C93" s="1" t="s">
        <v>103</v>
      </c>
      <c r="D93" s="20">
        <v>0</v>
      </c>
      <c r="E93" s="20">
        <v>0</v>
      </c>
      <c r="F93" s="20">
        <f t="shared" si="9"/>
        <v>0</v>
      </c>
      <c r="G93" s="20">
        <f>VLOOKUP(A93,'Y2025B by Activities'!B:D,3,0)</f>
        <v>0</v>
      </c>
      <c r="H93" s="20">
        <f>VLOOKUP(A93,'Y2025B by Activities'!B:C,2,0)</f>
        <v>0</v>
      </c>
      <c r="I93" s="20">
        <v>0</v>
      </c>
      <c r="J93" s="20">
        <v>0</v>
      </c>
    </row>
    <row r="94" spans="1:10" x14ac:dyDescent="0.85">
      <c r="B94" s="23" t="s">
        <v>70</v>
      </c>
      <c r="C94" s="23"/>
      <c r="D94" s="24">
        <f>SUBTOTAL(9,D92:D93)</f>
        <v>0</v>
      </c>
      <c r="E94" s="24">
        <f>SUBTOTAL(9,E92:E93)</f>
        <v>0</v>
      </c>
      <c r="F94" s="24">
        <f>SUBTOTAL(9,F92:F93)</f>
        <v>0</v>
      </c>
      <c r="G94" s="24">
        <f>SUBTOTAL(9,G92:G93)</f>
        <v>0</v>
      </c>
      <c r="H94" s="24">
        <f>SUBTOTAL(9,H92:H93)</f>
        <v>0</v>
      </c>
      <c r="I94" s="24">
        <f>G94-D94</f>
        <v>0</v>
      </c>
      <c r="J94" s="24">
        <f>H94-F94</f>
        <v>0</v>
      </c>
    </row>
    <row r="95" spans="1:10" x14ac:dyDescent="0.85">
      <c r="A95" s="89" t="s">
        <v>77</v>
      </c>
      <c r="B95" s="1" t="s">
        <v>77</v>
      </c>
      <c r="C95" s="1" t="s">
        <v>32</v>
      </c>
      <c r="D95" s="20">
        <v>45000</v>
      </c>
      <c r="E95" s="20">
        <v>0</v>
      </c>
      <c r="F95" s="20">
        <f t="shared" ref="F95:F104" si="10">D95+E95</f>
        <v>45000</v>
      </c>
      <c r="G95" s="20">
        <v>0</v>
      </c>
      <c r="H95" s="20">
        <v>0</v>
      </c>
      <c r="I95" s="20">
        <v>0</v>
      </c>
      <c r="J95" s="20">
        <v>0</v>
      </c>
    </row>
    <row r="96" spans="1:10" x14ac:dyDescent="0.85">
      <c r="A96" s="89" t="s">
        <v>77</v>
      </c>
      <c r="C96" s="1" t="s">
        <v>134</v>
      </c>
      <c r="D96" s="20">
        <v>42087.5</v>
      </c>
      <c r="E96" s="20">
        <v>0</v>
      </c>
      <c r="F96" s="20">
        <f t="shared" si="10"/>
        <v>42087.5</v>
      </c>
      <c r="G96" s="20">
        <v>0</v>
      </c>
      <c r="H96" s="20">
        <v>0</v>
      </c>
      <c r="I96" s="20">
        <v>0</v>
      </c>
      <c r="J96" s="20">
        <v>0</v>
      </c>
    </row>
    <row r="97" spans="1:10" x14ac:dyDescent="0.85">
      <c r="A97" s="89" t="s">
        <v>77</v>
      </c>
      <c r="C97" s="1" t="s">
        <v>139</v>
      </c>
      <c r="D97" s="20">
        <v>26424</v>
      </c>
      <c r="E97" s="20">
        <v>0</v>
      </c>
      <c r="F97" s="20">
        <f t="shared" si="10"/>
        <v>26424</v>
      </c>
      <c r="G97" s="20">
        <v>0</v>
      </c>
      <c r="H97" s="20">
        <v>0</v>
      </c>
      <c r="I97" s="20">
        <v>0</v>
      </c>
      <c r="J97" s="20">
        <v>0</v>
      </c>
    </row>
    <row r="98" spans="1:10" x14ac:dyDescent="0.85">
      <c r="A98" s="89" t="s">
        <v>77</v>
      </c>
      <c r="C98" s="1" t="s">
        <v>135</v>
      </c>
      <c r="D98" s="20">
        <v>9500</v>
      </c>
      <c r="E98" s="20">
        <v>0</v>
      </c>
      <c r="F98" s="20">
        <f t="shared" si="10"/>
        <v>9500</v>
      </c>
      <c r="G98" s="20">
        <v>0</v>
      </c>
      <c r="H98" s="20">
        <v>0</v>
      </c>
      <c r="I98" s="20">
        <v>0</v>
      </c>
      <c r="J98" s="20">
        <v>0</v>
      </c>
    </row>
    <row r="99" spans="1:10" x14ac:dyDescent="0.85">
      <c r="A99" s="89" t="s">
        <v>77</v>
      </c>
      <c r="C99" s="1" t="s">
        <v>136</v>
      </c>
      <c r="D99" s="20">
        <v>6615</v>
      </c>
      <c r="E99" s="20">
        <v>45000</v>
      </c>
      <c r="F99" s="20">
        <f t="shared" si="10"/>
        <v>51615</v>
      </c>
      <c r="G99" s="20">
        <v>0</v>
      </c>
      <c r="H99" s="20">
        <v>0</v>
      </c>
      <c r="I99" s="20">
        <v>0</v>
      </c>
      <c r="J99" s="20">
        <v>0</v>
      </c>
    </row>
    <row r="100" spans="1:10" x14ac:dyDescent="0.85">
      <c r="A100" s="89" t="s">
        <v>77</v>
      </c>
      <c r="C100" s="1" t="s">
        <v>138</v>
      </c>
      <c r="D100" s="20">
        <v>5352.1100000000006</v>
      </c>
      <c r="E100" s="20">
        <v>0</v>
      </c>
      <c r="F100" s="20">
        <f t="shared" si="10"/>
        <v>5352.1100000000006</v>
      </c>
      <c r="G100" s="20">
        <v>0</v>
      </c>
      <c r="H100" s="20">
        <v>0</v>
      </c>
      <c r="I100" s="20">
        <v>0</v>
      </c>
      <c r="J100" s="20">
        <v>0</v>
      </c>
    </row>
    <row r="101" spans="1:10" x14ac:dyDescent="0.85">
      <c r="A101" s="89" t="s">
        <v>77</v>
      </c>
      <c r="C101" s="1" t="s">
        <v>137</v>
      </c>
      <c r="D101" s="20">
        <v>5000</v>
      </c>
      <c r="E101" s="20">
        <v>0</v>
      </c>
      <c r="F101" s="20">
        <f t="shared" si="10"/>
        <v>5000</v>
      </c>
      <c r="G101" s="20">
        <v>0</v>
      </c>
      <c r="H101" s="20">
        <v>0</v>
      </c>
      <c r="I101" s="20">
        <v>0</v>
      </c>
      <c r="J101" s="20">
        <v>0</v>
      </c>
    </row>
    <row r="102" spans="1:10" x14ac:dyDescent="0.85">
      <c r="A102" s="89" t="s">
        <v>77</v>
      </c>
      <c r="C102" s="1" t="s">
        <v>140</v>
      </c>
      <c r="D102" s="20">
        <v>-10000</v>
      </c>
      <c r="E102" s="20">
        <v>0</v>
      </c>
      <c r="F102" s="20">
        <f t="shared" ref="F102:F103" si="11">D102+E102</f>
        <v>-10000</v>
      </c>
      <c r="G102" s="20">
        <v>0</v>
      </c>
      <c r="H102" s="20">
        <v>0</v>
      </c>
      <c r="I102" s="20">
        <v>0</v>
      </c>
      <c r="J102" s="20">
        <v>0</v>
      </c>
    </row>
    <row r="103" spans="1:10" x14ac:dyDescent="0.85">
      <c r="A103" s="89" t="s">
        <v>77</v>
      </c>
      <c r="C103" s="1" t="s">
        <v>94</v>
      </c>
      <c r="D103" s="20">
        <v>-27155</v>
      </c>
      <c r="E103" s="20">
        <v>0</v>
      </c>
      <c r="F103" s="20">
        <f t="shared" si="11"/>
        <v>-27155</v>
      </c>
      <c r="G103" s="20">
        <v>0</v>
      </c>
      <c r="H103" s="20">
        <v>0</v>
      </c>
      <c r="I103" s="20">
        <v>0</v>
      </c>
      <c r="J103" s="20">
        <v>0</v>
      </c>
    </row>
    <row r="104" spans="1:10" x14ac:dyDescent="0.85">
      <c r="A104" s="89" t="s">
        <v>77</v>
      </c>
      <c r="C104" s="1" t="s">
        <v>103</v>
      </c>
      <c r="D104" s="20">
        <v>0</v>
      </c>
      <c r="E104" s="20">
        <v>0</v>
      </c>
      <c r="F104" s="20">
        <f t="shared" si="10"/>
        <v>0</v>
      </c>
      <c r="G104" s="20">
        <f>VLOOKUP(A104,'Y2025B by Activities'!B:D,3,0)</f>
        <v>291666</v>
      </c>
      <c r="H104" s="20">
        <f>VLOOKUP(A104,'Y2025B by Activities'!B:C,2,0)</f>
        <v>1000000</v>
      </c>
      <c r="I104" s="20">
        <v>0</v>
      </c>
      <c r="J104" s="20">
        <v>0</v>
      </c>
    </row>
    <row r="105" spans="1:10" x14ac:dyDescent="0.85">
      <c r="B105" s="23" t="s">
        <v>80</v>
      </c>
      <c r="C105" s="23"/>
      <c r="D105" s="24">
        <f>SUBTOTAL(9,D95:D104)</f>
        <v>102823.60999999999</v>
      </c>
      <c r="E105" s="24">
        <f>SUBTOTAL(9,E95:E104)</f>
        <v>45000</v>
      </c>
      <c r="F105" s="24">
        <f>SUBTOTAL(9,F95:F104)</f>
        <v>147823.60999999999</v>
      </c>
      <c r="G105" s="24">
        <f>SUBTOTAL(9,G95:G104)</f>
        <v>291666</v>
      </c>
      <c r="H105" s="24">
        <f>SUBTOTAL(9,H95:H104)</f>
        <v>1000000</v>
      </c>
      <c r="I105" s="24">
        <f>G105-D105</f>
        <v>188842.39</v>
      </c>
      <c r="J105" s="24">
        <f>H105-F105</f>
        <v>852176.39</v>
      </c>
    </row>
    <row r="106" spans="1:10" x14ac:dyDescent="0.85">
      <c r="B106" s="25" t="s">
        <v>0</v>
      </c>
      <c r="C106" s="25"/>
      <c r="D106" s="26">
        <f>SUBTOTAL(9,D6:D105)</f>
        <v>21159478.515000001</v>
      </c>
      <c r="E106" s="26">
        <f>SUBTOTAL(9,E6:E105)</f>
        <v>590000</v>
      </c>
      <c r="F106" s="26">
        <f>SUBTOTAL(9,F6:F105)</f>
        <v>21749478.515000001</v>
      </c>
      <c r="G106" s="26">
        <f>SUBTOTAL(9,G6:G105)</f>
        <v>25691664.640000001</v>
      </c>
      <c r="H106" s="26">
        <f>SUBTOTAL(9,H6:H105)</f>
        <v>66999999.959999993</v>
      </c>
      <c r="I106" s="26">
        <f>G106-D106</f>
        <v>4532186.125</v>
      </c>
      <c r="J106" s="26">
        <f>H106-F106</f>
        <v>45250521.444999993</v>
      </c>
    </row>
    <row r="107" spans="1:10" ht="4.5" customHeight="1" x14ac:dyDescent="0.85"/>
    <row r="108" spans="1:10" x14ac:dyDescent="0.85">
      <c r="B108" s="23" t="s">
        <v>50</v>
      </c>
      <c r="C108" s="23"/>
      <c r="D108" s="24">
        <v>0</v>
      </c>
      <c r="E108" s="24">
        <v>0</v>
      </c>
      <c r="F108" s="24">
        <f>D108+E108</f>
        <v>0</v>
      </c>
      <c r="G108" s="24">
        <v>0</v>
      </c>
      <c r="H108" s="24">
        <v>0</v>
      </c>
      <c r="I108" s="24">
        <v>0</v>
      </c>
      <c r="J108" s="24">
        <v>0</v>
      </c>
    </row>
    <row r="109" spans="1:10" ht="4.5" customHeight="1" x14ac:dyDescent="0.85"/>
    <row r="110" spans="1:10" x14ac:dyDescent="0.85">
      <c r="B110" s="45" t="s">
        <v>11</v>
      </c>
      <c r="C110" s="45"/>
      <c r="D110" s="46">
        <f>D106+D108</f>
        <v>21159478.515000001</v>
      </c>
      <c r="E110" s="46">
        <f>E106+E108</f>
        <v>590000</v>
      </c>
      <c r="F110" s="46">
        <f>F106+F108</f>
        <v>21749478.515000001</v>
      </c>
      <c r="G110" s="46">
        <f t="shared" ref="G110:H110" si="12">G106+G108</f>
        <v>25691664.640000001</v>
      </c>
      <c r="H110" s="46">
        <f t="shared" si="12"/>
        <v>66999999.959999993</v>
      </c>
      <c r="I110" s="46">
        <f>G110-D110</f>
        <v>4532186.125</v>
      </c>
      <c r="J110" s="46">
        <f>H110-F110</f>
        <v>45250521.444999993</v>
      </c>
    </row>
    <row r="111" spans="1:10" ht="11" customHeight="1" x14ac:dyDescent="0.85"/>
  </sheetData>
  <conditionalFormatting sqref="I6:J106">
    <cfRule type="cellIs" dxfId="5" priority="8" operator="lessThan">
      <formula>0</formula>
    </cfRule>
  </conditionalFormatting>
  <conditionalFormatting sqref="I108:J108">
    <cfRule type="cellIs" dxfId="4" priority="6" operator="lessThan">
      <formula>0</formula>
    </cfRule>
  </conditionalFormatting>
  <conditionalFormatting sqref="I110:J110">
    <cfRule type="cellIs" dxfId="3" priority="4" operator="lessThan">
      <formula>0</formula>
    </cfRule>
  </conditionalFormatting>
  <pageMargins left="0.7" right="0.7" top="0.75" bottom="0.75" header="0.3" footer="0.3"/>
  <pageSetup paperSize="9" scale="36" orientation="portrait" r:id="rId1"/>
  <ignoredErrors>
    <ignoredError sqref="A1:J2 A65:J66 A50:B64 E50:F53 A87:J88 A86:B86 E86:F86 A18:J19 A16:B17 E16:F17 A21:J22 A20:B20 F20 A71:J72 A67:B70 E67:F69 A81:J82 A73:B80 E73:F76 E9:F9 B9:B11 A105:J110 A95:B100 E95:F98 A115:C115 A90:J91 A89:B89 E89:F89 A93:J94 A92:B92 E92:F92 A84:J85 A83:B83 E83:F83 A49:J49 A47:B47 E47:F47 A48:C48 E48:J48 B15 A7:J8 A6:F6 I6:J6 I9:J11 I15:J17 I20:J20 A26:J27 A23:F25 I23:J25 A45:J46 A28:F30 I28:J44 I47:J47 I50:J64 I67:J70 I73:J80 I83:J83 I86:J86 I89:J89 I92:J92 I95:J100 B104:J104 B101 A37:F39 A36:B36 D36:F36 K1:XFD11 K15:XFD101 K104:XFD110 E115:XFD115 A116:XFD1048576 A4:J5 A3 C3:J3 A41:F44 A40:B40 D40:F40 F10 A32:F34 A31:D31 F31 A35:D35 F35 E55:F64 F54 F70 E78:F80 F77 E100:F100 F9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BB94-34CE-4450-BBC5-5261CD496256}">
  <sheetPr>
    <tabColor theme="9" tint="0.59999389629810485"/>
    <pageSetUpPr autoPageBreaks="0"/>
  </sheetPr>
  <dimension ref="B1:S26"/>
  <sheetViews>
    <sheetView showGridLines="0" zoomScale="70" zoomScaleNormal="70" workbookViewId="0">
      <selection activeCell="S12" sqref="S12"/>
    </sheetView>
  </sheetViews>
  <sheetFormatPr defaultColWidth="8.73046875" defaultRowHeight="18.399999999999999" x14ac:dyDescent="0.85"/>
  <cols>
    <col min="1" max="1" width="2.06640625" style="1" customWidth="1"/>
    <col min="2" max="2" width="8.73046875" style="1"/>
    <col min="3" max="3" width="8.796875" style="2" bestFit="1" customWidth="1"/>
    <col min="4" max="8" width="10.53125" style="1" customWidth="1"/>
    <col min="9" max="9" width="1.06640625" style="1" customWidth="1"/>
    <col min="10" max="10" width="8.73046875" style="1"/>
    <col min="11" max="11" width="8.796875" style="2" bestFit="1" customWidth="1"/>
    <col min="12" max="13" width="10.53125" style="1" customWidth="1"/>
    <col min="14" max="14" width="11.796875" style="1" customWidth="1"/>
    <col min="15" max="15" width="10.53125" style="1" customWidth="1"/>
    <col min="16" max="16" width="2.06640625" style="1" customWidth="1"/>
    <col min="19" max="19" width="8.73046875" style="116"/>
    <col min="20" max="16384" width="8.73046875" style="1"/>
  </cols>
  <sheetData>
    <row r="1" spans="2:15" ht="7.05" customHeight="1" x14ac:dyDescent="0.85"/>
    <row r="2" spans="2:15" ht="20.65" x14ac:dyDescent="0.9">
      <c r="B2" s="27" t="s">
        <v>61</v>
      </c>
      <c r="J2" s="27" t="s">
        <v>62</v>
      </c>
    </row>
    <row r="3" spans="2:15" ht="4.5" customHeight="1" thickBot="1" x14ac:dyDescent="0.9"/>
    <row r="4" spans="2:15" ht="18.75" thickTop="1" x14ac:dyDescent="0.85">
      <c r="B4" s="92" t="s">
        <v>6</v>
      </c>
      <c r="C4" s="92" t="s">
        <v>60</v>
      </c>
      <c r="D4" s="92" t="s">
        <v>54</v>
      </c>
      <c r="E4" s="92" t="s">
        <v>55</v>
      </c>
      <c r="F4" s="92" t="s">
        <v>56</v>
      </c>
      <c r="G4" s="92" t="s">
        <v>57</v>
      </c>
      <c r="H4" s="92" t="s">
        <v>0</v>
      </c>
      <c r="J4" s="92" t="s">
        <v>6</v>
      </c>
      <c r="K4" s="92" t="s">
        <v>60</v>
      </c>
      <c r="L4" s="92" t="s">
        <v>8</v>
      </c>
      <c r="M4" s="92" t="s">
        <v>17</v>
      </c>
      <c r="N4" s="92" t="s">
        <v>18</v>
      </c>
      <c r="O4" s="92" t="s">
        <v>0</v>
      </c>
    </row>
    <row r="5" spans="2:15" x14ac:dyDescent="0.85">
      <c r="B5" s="55" t="s">
        <v>8</v>
      </c>
      <c r="C5" s="2">
        <v>1</v>
      </c>
      <c r="D5" s="48">
        <v>243598.77</v>
      </c>
      <c r="E5" s="48">
        <v>0</v>
      </c>
      <c r="F5" s="48">
        <v>0</v>
      </c>
      <c r="G5" s="48">
        <v>0</v>
      </c>
      <c r="H5" s="54">
        <f t="shared" ref="H5:H24" si="0">SUM(D5:G5)</f>
        <v>243598.77</v>
      </c>
      <c r="J5" s="55" t="s">
        <v>8</v>
      </c>
      <c r="K5" s="2">
        <v>1</v>
      </c>
      <c r="L5" s="48">
        <v>235923.77</v>
      </c>
      <c r="M5" s="48">
        <v>7675</v>
      </c>
      <c r="N5" s="48">
        <v>0</v>
      </c>
      <c r="O5" s="54">
        <f>SUM(L5:N5)</f>
        <v>243598.77</v>
      </c>
    </row>
    <row r="6" spans="2:15" x14ac:dyDescent="0.85">
      <c r="B6" s="55"/>
      <c r="C6" s="2">
        <v>2</v>
      </c>
      <c r="D6" s="48">
        <v>243843.57</v>
      </c>
      <c r="E6" s="48">
        <v>705087.6</v>
      </c>
      <c r="F6" s="48">
        <v>0</v>
      </c>
      <c r="G6" s="48">
        <v>0</v>
      </c>
      <c r="H6" s="54">
        <f t="shared" si="0"/>
        <v>948931.16999999993</v>
      </c>
      <c r="J6" s="55"/>
      <c r="K6" s="2">
        <v>2</v>
      </c>
      <c r="L6" s="48">
        <v>940131.16999999993</v>
      </c>
      <c r="M6" s="48">
        <v>8800</v>
      </c>
      <c r="N6" s="48">
        <v>0</v>
      </c>
      <c r="O6" s="54">
        <f t="shared" ref="O6:O24" si="1">SUM(L6:N6)</f>
        <v>948931.16999999993</v>
      </c>
    </row>
    <row r="7" spans="2:15" x14ac:dyDescent="0.85">
      <c r="B7" s="55"/>
      <c r="C7" s="2">
        <v>5</v>
      </c>
      <c r="D7" s="48">
        <v>0</v>
      </c>
      <c r="E7" s="48">
        <v>396671.17</v>
      </c>
      <c r="F7" s="48">
        <v>0</v>
      </c>
      <c r="G7" s="48">
        <v>0</v>
      </c>
      <c r="H7" s="54">
        <f t="shared" si="0"/>
        <v>396671.17</v>
      </c>
      <c r="J7" s="55"/>
      <c r="K7" s="2">
        <v>5</v>
      </c>
      <c r="L7" s="48">
        <v>396671.17</v>
      </c>
      <c r="M7" s="48">
        <v>0</v>
      </c>
      <c r="N7" s="48">
        <v>0</v>
      </c>
      <c r="O7" s="54">
        <f t="shared" si="1"/>
        <v>396671.17</v>
      </c>
    </row>
    <row r="8" spans="2:15" x14ac:dyDescent="0.85">
      <c r="B8" s="55"/>
      <c r="C8" s="2">
        <v>6</v>
      </c>
      <c r="D8" s="48">
        <v>0</v>
      </c>
      <c r="E8" s="48">
        <v>396671.17</v>
      </c>
      <c r="F8" s="48">
        <v>0</v>
      </c>
      <c r="G8" s="48">
        <v>0</v>
      </c>
      <c r="H8" s="54">
        <f t="shared" si="0"/>
        <v>396671.17</v>
      </c>
      <c r="J8" s="55"/>
      <c r="K8" s="2">
        <v>6</v>
      </c>
      <c r="L8" s="48">
        <v>396671.17</v>
      </c>
      <c r="M8" s="48">
        <v>0</v>
      </c>
      <c r="N8" s="48">
        <v>0</v>
      </c>
      <c r="O8" s="54">
        <f t="shared" si="1"/>
        <v>396671.17</v>
      </c>
    </row>
    <row r="9" spans="2:15" x14ac:dyDescent="0.85">
      <c r="B9" s="55"/>
      <c r="C9" s="2">
        <v>7</v>
      </c>
      <c r="D9" s="48">
        <v>0</v>
      </c>
      <c r="E9" s="48">
        <v>383697.02</v>
      </c>
      <c r="F9" s="48">
        <v>0</v>
      </c>
      <c r="G9" s="48">
        <v>0</v>
      </c>
      <c r="H9" s="54">
        <f t="shared" si="0"/>
        <v>383697.02</v>
      </c>
      <c r="J9" s="55"/>
      <c r="K9" s="2">
        <v>7</v>
      </c>
      <c r="L9" s="48">
        <v>383697.02</v>
      </c>
      <c r="M9" s="48">
        <v>0</v>
      </c>
      <c r="N9" s="48">
        <v>0</v>
      </c>
      <c r="O9" s="54">
        <f t="shared" si="1"/>
        <v>383697.02</v>
      </c>
    </row>
    <row r="10" spans="2:15" x14ac:dyDescent="0.85">
      <c r="B10" s="55"/>
      <c r="C10" s="2">
        <v>8</v>
      </c>
      <c r="D10" s="48">
        <v>0</v>
      </c>
      <c r="E10" s="48">
        <v>374505.39</v>
      </c>
      <c r="F10" s="48">
        <v>0</v>
      </c>
      <c r="G10" s="48">
        <v>0</v>
      </c>
      <c r="H10" s="54">
        <f t="shared" si="0"/>
        <v>374505.39</v>
      </c>
      <c r="J10" s="55"/>
      <c r="K10" s="2">
        <v>8</v>
      </c>
      <c r="L10" s="48">
        <v>374505.39</v>
      </c>
      <c r="M10" s="48">
        <v>0</v>
      </c>
      <c r="N10" s="48">
        <v>0</v>
      </c>
      <c r="O10" s="54">
        <f t="shared" si="1"/>
        <v>374505.39</v>
      </c>
    </row>
    <row r="11" spans="2:15" x14ac:dyDescent="0.85">
      <c r="B11" s="55"/>
      <c r="C11" s="2">
        <v>9</v>
      </c>
      <c r="D11" s="48">
        <v>0</v>
      </c>
      <c r="E11" s="48">
        <v>367144.26</v>
      </c>
      <c r="F11" s="48">
        <v>73816.640000000014</v>
      </c>
      <c r="G11" s="48">
        <v>0</v>
      </c>
      <c r="H11" s="54">
        <f t="shared" si="0"/>
        <v>440960.9</v>
      </c>
      <c r="J11" s="55"/>
      <c r="K11" s="2">
        <v>9</v>
      </c>
      <c r="L11" s="48">
        <v>440960.9</v>
      </c>
      <c r="M11" s="48">
        <v>0</v>
      </c>
      <c r="N11" s="48">
        <v>0</v>
      </c>
      <c r="O11" s="54">
        <f t="shared" si="1"/>
        <v>440960.9</v>
      </c>
    </row>
    <row r="12" spans="2:15" x14ac:dyDescent="0.85">
      <c r="B12" s="55"/>
      <c r="C12" s="2">
        <v>10</v>
      </c>
      <c r="D12" s="48">
        <v>0</v>
      </c>
      <c r="E12" s="48">
        <v>0</v>
      </c>
      <c r="F12" s="48">
        <v>194910.97999999998</v>
      </c>
      <c r="G12" s="48">
        <v>0</v>
      </c>
      <c r="H12" s="54">
        <f t="shared" si="0"/>
        <v>194910.97999999998</v>
      </c>
      <c r="J12" s="55"/>
      <c r="K12" s="2">
        <v>10</v>
      </c>
      <c r="L12" s="48">
        <v>194910.97999999998</v>
      </c>
      <c r="M12" s="48">
        <v>0</v>
      </c>
      <c r="N12" s="48">
        <v>0</v>
      </c>
      <c r="O12" s="54">
        <f t="shared" si="1"/>
        <v>194910.97999999998</v>
      </c>
    </row>
    <row r="13" spans="2:15" x14ac:dyDescent="0.85">
      <c r="B13" s="55"/>
      <c r="C13" s="2">
        <v>11</v>
      </c>
      <c r="D13" s="48">
        <v>0</v>
      </c>
      <c r="E13" s="48">
        <v>0</v>
      </c>
      <c r="F13" s="48">
        <v>194910.97499999998</v>
      </c>
      <c r="G13" s="48">
        <v>0</v>
      </c>
      <c r="H13" s="54">
        <f t="shared" si="0"/>
        <v>194910.97499999998</v>
      </c>
      <c r="J13" s="55"/>
      <c r="K13" s="2">
        <v>11</v>
      </c>
      <c r="L13" s="48">
        <v>194910.97499999998</v>
      </c>
      <c r="M13" s="48">
        <v>0</v>
      </c>
      <c r="N13" s="48">
        <v>0</v>
      </c>
      <c r="O13" s="54">
        <f t="shared" si="1"/>
        <v>194910.97499999998</v>
      </c>
    </row>
    <row r="14" spans="2:15" x14ac:dyDescent="0.85">
      <c r="B14" s="55"/>
      <c r="C14" s="2">
        <v>12</v>
      </c>
      <c r="D14" s="48">
        <v>0</v>
      </c>
      <c r="E14" s="48">
        <v>0</v>
      </c>
      <c r="F14" s="48">
        <v>338548</v>
      </c>
      <c r="G14" s="48">
        <v>-61886.16</v>
      </c>
      <c r="H14" s="54">
        <f t="shared" si="0"/>
        <v>276661.83999999997</v>
      </c>
      <c r="J14" s="55"/>
      <c r="K14" s="2">
        <v>12</v>
      </c>
      <c r="L14" s="48">
        <v>276661.83999999997</v>
      </c>
      <c r="M14" s="48">
        <v>0</v>
      </c>
      <c r="N14" s="48">
        <v>0</v>
      </c>
      <c r="O14" s="54">
        <f t="shared" si="1"/>
        <v>276661.83999999997</v>
      </c>
    </row>
    <row r="15" spans="2:15" x14ac:dyDescent="0.85">
      <c r="B15" s="55"/>
      <c r="C15" s="2">
        <v>13</v>
      </c>
      <c r="D15" s="48">
        <v>0</v>
      </c>
      <c r="E15" s="48">
        <v>0</v>
      </c>
      <c r="F15" s="48">
        <v>0</v>
      </c>
      <c r="G15" s="48">
        <v>236987.33999999997</v>
      </c>
      <c r="H15" s="54">
        <f t="shared" si="0"/>
        <v>236987.33999999997</v>
      </c>
      <c r="J15" s="55"/>
      <c r="K15" s="2">
        <v>13</v>
      </c>
      <c r="L15" s="48">
        <v>236987.33999999997</v>
      </c>
      <c r="M15" s="48">
        <v>0</v>
      </c>
      <c r="N15" s="48">
        <v>0</v>
      </c>
      <c r="O15" s="54">
        <f t="shared" si="1"/>
        <v>236987.33999999997</v>
      </c>
    </row>
    <row r="16" spans="2:15" x14ac:dyDescent="0.85">
      <c r="B16" s="55"/>
      <c r="C16" s="2">
        <v>14</v>
      </c>
      <c r="D16" s="48">
        <v>0</v>
      </c>
      <c r="E16" s="48">
        <v>0</v>
      </c>
      <c r="F16" s="48">
        <v>0</v>
      </c>
      <c r="G16" s="48">
        <v>231343.47</v>
      </c>
      <c r="H16" s="54">
        <f t="shared" si="0"/>
        <v>231343.47</v>
      </c>
      <c r="J16" s="55"/>
      <c r="K16" s="2">
        <v>14</v>
      </c>
      <c r="L16" s="48">
        <v>231343.47</v>
      </c>
      <c r="M16" s="48">
        <v>0</v>
      </c>
      <c r="N16" s="48">
        <v>0</v>
      </c>
      <c r="O16" s="54">
        <f t="shared" si="1"/>
        <v>231343.47</v>
      </c>
    </row>
    <row r="17" spans="2:15" x14ac:dyDescent="0.85">
      <c r="B17" s="55"/>
      <c r="C17" s="2">
        <v>15</v>
      </c>
      <c r="D17" s="48">
        <v>0</v>
      </c>
      <c r="E17" s="48">
        <v>0</v>
      </c>
      <c r="F17" s="48">
        <v>0</v>
      </c>
      <c r="G17" s="48">
        <v>196277.86</v>
      </c>
      <c r="H17" s="54">
        <f t="shared" si="0"/>
        <v>196277.86</v>
      </c>
      <c r="I17" s="34"/>
      <c r="J17" s="55"/>
      <c r="K17" s="2">
        <v>15</v>
      </c>
      <c r="L17" s="48">
        <v>196277.86</v>
      </c>
      <c r="M17" s="48">
        <v>0</v>
      </c>
      <c r="N17" s="48">
        <v>0</v>
      </c>
      <c r="O17" s="54">
        <f t="shared" si="1"/>
        <v>196277.86</v>
      </c>
    </row>
    <row r="18" spans="2:15" x14ac:dyDescent="0.85">
      <c r="B18" s="55"/>
      <c r="C18" s="2">
        <v>16</v>
      </c>
      <c r="D18" s="48">
        <v>0</v>
      </c>
      <c r="E18" s="48">
        <v>0</v>
      </c>
      <c r="F18" s="48">
        <v>0</v>
      </c>
      <c r="G18" s="48">
        <v>197627.86000000002</v>
      </c>
      <c r="H18" s="54">
        <f t="shared" si="0"/>
        <v>197627.86000000002</v>
      </c>
      <c r="I18" s="34"/>
      <c r="J18" s="55"/>
      <c r="K18" s="2">
        <v>16</v>
      </c>
      <c r="L18" s="48">
        <v>197627.86000000002</v>
      </c>
      <c r="M18" s="48">
        <v>0</v>
      </c>
      <c r="N18" s="48">
        <v>0</v>
      </c>
      <c r="O18" s="54">
        <f t="shared" si="1"/>
        <v>197627.86000000002</v>
      </c>
    </row>
    <row r="19" spans="2:15" x14ac:dyDescent="0.85">
      <c r="B19" s="55"/>
      <c r="C19" s="2">
        <v>17</v>
      </c>
      <c r="D19" s="48">
        <v>0</v>
      </c>
      <c r="E19" s="48">
        <v>0</v>
      </c>
      <c r="F19" s="48">
        <v>0</v>
      </c>
      <c r="G19" s="48">
        <v>183516.93</v>
      </c>
      <c r="H19" s="54">
        <f t="shared" si="0"/>
        <v>183516.93</v>
      </c>
      <c r="I19" s="34"/>
      <c r="J19" s="55"/>
      <c r="K19" s="2">
        <v>17</v>
      </c>
      <c r="L19" s="48">
        <v>183516.93</v>
      </c>
      <c r="M19" s="48">
        <v>0</v>
      </c>
      <c r="N19" s="48">
        <v>0</v>
      </c>
      <c r="O19" s="54">
        <f t="shared" si="1"/>
        <v>183516.93</v>
      </c>
    </row>
    <row r="20" spans="2:15" x14ac:dyDescent="0.85">
      <c r="B20" s="55"/>
      <c r="C20" s="2">
        <v>35</v>
      </c>
      <c r="D20" s="48">
        <v>0</v>
      </c>
      <c r="E20" s="48">
        <v>0</v>
      </c>
      <c r="F20" s="48">
        <v>9600</v>
      </c>
      <c r="G20" s="48">
        <v>0</v>
      </c>
      <c r="H20" s="54">
        <f t="shared" si="0"/>
        <v>9600</v>
      </c>
      <c r="I20" s="34"/>
      <c r="J20" s="55"/>
      <c r="K20" s="2">
        <v>35</v>
      </c>
      <c r="L20" s="48">
        <v>0</v>
      </c>
      <c r="M20" s="48">
        <v>9600</v>
      </c>
      <c r="N20" s="48">
        <v>0</v>
      </c>
      <c r="O20" s="54">
        <f t="shared" si="1"/>
        <v>9600</v>
      </c>
    </row>
    <row r="21" spans="2:15" x14ac:dyDescent="0.85">
      <c r="B21" s="55"/>
      <c r="C21" s="2">
        <v>45</v>
      </c>
      <c r="D21" s="48">
        <v>0</v>
      </c>
      <c r="E21" s="48">
        <v>-32000</v>
      </c>
      <c r="F21" s="48">
        <v>0</v>
      </c>
      <c r="G21" s="48">
        <v>0</v>
      </c>
      <c r="H21" s="54">
        <f t="shared" si="0"/>
        <v>-32000</v>
      </c>
      <c r="I21" s="34"/>
      <c r="J21" s="55"/>
      <c r="K21" s="2">
        <v>45</v>
      </c>
      <c r="L21" s="48">
        <v>-32000</v>
      </c>
      <c r="M21" s="48">
        <v>0</v>
      </c>
      <c r="N21" s="48">
        <v>0</v>
      </c>
      <c r="O21" s="54">
        <f t="shared" si="1"/>
        <v>-32000</v>
      </c>
    </row>
    <row r="22" spans="2:15" x14ac:dyDescent="0.85">
      <c r="B22" s="55"/>
      <c r="C22" s="2">
        <v>51</v>
      </c>
      <c r="D22" s="48">
        <v>0</v>
      </c>
      <c r="E22" s="48">
        <v>0</v>
      </c>
      <c r="F22" s="48">
        <v>0</v>
      </c>
      <c r="G22" s="48">
        <v>22950</v>
      </c>
      <c r="H22" s="54">
        <f t="shared" si="0"/>
        <v>22950</v>
      </c>
      <c r="I22" s="34"/>
      <c r="J22" s="55"/>
      <c r="K22" s="2">
        <v>51</v>
      </c>
      <c r="L22" s="48">
        <v>0</v>
      </c>
      <c r="M22" s="48">
        <v>0</v>
      </c>
      <c r="N22" s="48">
        <v>22950</v>
      </c>
      <c r="O22" s="54">
        <f t="shared" si="1"/>
        <v>22950</v>
      </c>
    </row>
    <row r="23" spans="2:15" x14ac:dyDescent="0.85">
      <c r="B23" s="55"/>
      <c r="C23" s="2">
        <v>52</v>
      </c>
      <c r="D23" s="48">
        <v>0</v>
      </c>
      <c r="E23" s="48">
        <v>0</v>
      </c>
      <c r="F23" s="48">
        <v>13725</v>
      </c>
      <c r="G23" s="48">
        <v>0</v>
      </c>
      <c r="H23" s="54">
        <f t="shared" si="0"/>
        <v>13725</v>
      </c>
      <c r="I23" s="34"/>
      <c r="J23" s="55"/>
      <c r="K23" s="2">
        <v>52</v>
      </c>
      <c r="L23" s="48">
        <v>0</v>
      </c>
      <c r="M23" s="48">
        <v>13725</v>
      </c>
      <c r="N23" s="48">
        <v>0</v>
      </c>
      <c r="O23" s="54">
        <f t="shared" si="1"/>
        <v>13725</v>
      </c>
    </row>
    <row r="24" spans="2:15" x14ac:dyDescent="0.85">
      <c r="B24" s="55"/>
      <c r="C24" s="2">
        <v>0</v>
      </c>
      <c r="D24" s="48">
        <v>0</v>
      </c>
      <c r="E24" s="48">
        <v>0</v>
      </c>
      <c r="F24" s="48">
        <v>482331.36</v>
      </c>
      <c r="G24" s="48">
        <v>0</v>
      </c>
      <c r="H24" s="54">
        <f t="shared" si="0"/>
        <v>482331.36</v>
      </c>
      <c r="I24" s="34"/>
      <c r="J24" s="55"/>
      <c r="K24" s="2">
        <v>0</v>
      </c>
      <c r="L24" s="48">
        <v>482331.36</v>
      </c>
      <c r="M24" s="48">
        <v>0</v>
      </c>
      <c r="N24" s="48">
        <v>0</v>
      </c>
      <c r="O24" s="54">
        <f t="shared" si="1"/>
        <v>482331.36</v>
      </c>
    </row>
    <row r="25" spans="2:15" x14ac:dyDescent="0.85">
      <c r="B25" s="52" t="s">
        <v>0</v>
      </c>
      <c r="C25" s="52"/>
      <c r="D25" s="52"/>
      <c r="E25" s="53">
        <f t="shared" ref="E25:H25" si="2">SUBTOTAL(9,E5:E24)</f>
        <v>2591776.6100000003</v>
      </c>
      <c r="F25" s="53">
        <f t="shared" si="2"/>
        <v>1307842.9550000001</v>
      </c>
      <c r="G25" s="53">
        <f t="shared" si="2"/>
        <v>1006817.3</v>
      </c>
      <c r="H25" s="53">
        <f t="shared" si="2"/>
        <v>5393879.2050000001</v>
      </c>
      <c r="J25" s="52" t="s">
        <v>0</v>
      </c>
      <c r="K25" s="52"/>
      <c r="L25" s="53">
        <f>SUBTOTAL(9,L5:L24)</f>
        <v>5331129.2050000001</v>
      </c>
      <c r="M25" s="53">
        <f>SUBTOTAL(9,M5:M24)</f>
        <v>39800</v>
      </c>
      <c r="N25" s="53">
        <f>SUBTOTAL(9,N5:N24)</f>
        <v>22950</v>
      </c>
      <c r="O25" s="53">
        <f>SUBTOTAL(9,O5:O24)</f>
        <v>5393879.2050000001</v>
      </c>
    </row>
    <row r="26" spans="2:15" ht="7.05" customHeight="1" x14ac:dyDescent="0.85"/>
  </sheetData>
  <pageMargins left="0.7" right="0.7" top="0.75" bottom="0.75" header="0.3" footer="0.3"/>
  <pageSetup scale="63" orientation="portrait" r:id="rId1"/>
  <ignoredErrors>
    <ignoredError sqref="A1:O1048576 S1:XFD104857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7927-7751-4FF0-B703-42845F1F7F0B}">
  <sheetPr>
    <tabColor rgb="FFC00000"/>
    <pageSetUpPr fitToPage="1"/>
  </sheetPr>
  <dimension ref="B1:U24"/>
  <sheetViews>
    <sheetView showGridLines="0" zoomScale="90" zoomScaleNormal="90" zoomScaleSheetLayoutView="80" workbookViewId="0">
      <pane ySplit="7" topLeftCell="A8" activePane="bottomLeft" state="frozen"/>
      <selection activeCell="T14765" sqref="T14765"/>
      <selection pane="bottomLeft" activeCell="T14765" sqref="T14765"/>
    </sheetView>
  </sheetViews>
  <sheetFormatPr defaultColWidth="8.73046875" defaultRowHeight="18.399999999999999" x14ac:dyDescent="0.85"/>
  <cols>
    <col min="1" max="1" width="1.53125" style="93" customWidth="1"/>
    <col min="2" max="2" width="26.06640625" style="93" customWidth="1"/>
    <col min="3" max="16" width="12.53125" style="93" customWidth="1"/>
    <col min="17" max="17" width="12.46484375" style="93" bestFit="1" customWidth="1"/>
    <col min="18" max="18" width="12.53125" style="93" customWidth="1"/>
    <col min="19" max="16384" width="8.73046875" style="93"/>
  </cols>
  <sheetData>
    <row r="1" spans="2:21" ht="9" customHeight="1" x14ac:dyDescent="0.85"/>
    <row r="2" spans="2:21" ht="29.25" x14ac:dyDescent="1.25">
      <c r="B2" s="94" t="s">
        <v>4</v>
      </c>
    </row>
    <row r="3" spans="2:21" ht="22.15" x14ac:dyDescent="0.95">
      <c r="B3" s="95" t="s">
        <v>103</v>
      </c>
    </row>
    <row r="4" spans="2:21" ht="6" customHeight="1" x14ac:dyDescent="0.85"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R4" s="96"/>
    </row>
    <row r="5" spans="2:21" ht="24" x14ac:dyDescent="1.05">
      <c r="B5" s="97" t="s">
        <v>5</v>
      </c>
    </row>
    <row r="6" spans="2:21" ht="4.5" customHeight="1" x14ac:dyDescent="0.85"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R6" s="98"/>
    </row>
    <row r="7" spans="2:21" x14ac:dyDescent="0.85">
      <c r="B7" s="105" t="s">
        <v>6</v>
      </c>
      <c r="C7" s="105" t="s">
        <v>108</v>
      </c>
      <c r="D7" s="105" t="s">
        <v>109</v>
      </c>
      <c r="E7" s="105" t="s">
        <v>54</v>
      </c>
      <c r="F7" s="105" t="s">
        <v>55</v>
      </c>
      <c r="G7" s="105" t="s">
        <v>56</v>
      </c>
      <c r="H7" s="105" t="s">
        <v>104</v>
      </c>
      <c r="I7" s="105" t="s">
        <v>58</v>
      </c>
      <c r="J7" s="105" t="s">
        <v>105</v>
      </c>
      <c r="K7" s="105" t="s">
        <v>106</v>
      </c>
      <c r="L7" s="105" t="s">
        <v>87</v>
      </c>
      <c r="M7" s="105" t="s">
        <v>107</v>
      </c>
      <c r="N7" s="105" t="s">
        <v>88</v>
      </c>
      <c r="O7" s="105" t="s">
        <v>89</v>
      </c>
      <c r="P7" s="105" t="s">
        <v>90</v>
      </c>
      <c r="Q7" s="106" t="s">
        <v>0</v>
      </c>
      <c r="R7" s="107" t="s">
        <v>74</v>
      </c>
    </row>
    <row r="8" spans="2:21" x14ac:dyDescent="0.85">
      <c r="B8" s="108" t="s">
        <v>27</v>
      </c>
      <c r="C8" s="102">
        <v>23800000</v>
      </c>
      <c r="D8" s="102">
        <f>SUM(E8:H8)</f>
        <v>9000000</v>
      </c>
      <c r="E8" s="99">
        <v>2500000</v>
      </c>
      <c r="F8" s="99">
        <v>2500000</v>
      </c>
      <c r="G8" s="99">
        <v>2150000</v>
      </c>
      <c r="H8" s="99">
        <v>1850000</v>
      </c>
      <c r="I8" s="99">
        <v>1850000</v>
      </c>
      <c r="J8" s="99">
        <v>1850000</v>
      </c>
      <c r="K8" s="99">
        <v>1850000</v>
      </c>
      <c r="L8" s="99">
        <v>1850000</v>
      </c>
      <c r="M8" s="99">
        <v>1850000</v>
      </c>
      <c r="N8" s="99">
        <v>1850000</v>
      </c>
      <c r="O8" s="99">
        <v>1850000</v>
      </c>
      <c r="P8" s="99">
        <v>1850000</v>
      </c>
      <c r="Q8" s="109">
        <f>SUM(E8:P8)</f>
        <v>23800000</v>
      </c>
      <c r="R8" s="99" t="s">
        <v>78</v>
      </c>
    </row>
    <row r="9" spans="2:21" x14ac:dyDescent="0.85">
      <c r="B9" s="108" t="s">
        <v>8</v>
      </c>
      <c r="C9" s="102">
        <v>12000000</v>
      </c>
      <c r="D9" s="102">
        <f t="shared" ref="D9:D21" si="0">SUM(E9:H9)</f>
        <v>5100000</v>
      </c>
      <c r="E9" s="99">
        <v>1200000</v>
      </c>
      <c r="F9" s="99">
        <v>1500000</v>
      </c>
      <c r="G9" s="99">
        <v>1500000</v>
      </c>
      <c r="H9" s="99">
        <v>900000</v>
      </c>
      <c r="I9" s="99">
        <v>900000</v>
      </c>
      <c r="J9" s="99">
        <v>900000</v>
      </c>
      <c r="K9" s="99">
        <v>850000</v>
      </c>
      <c r="L9" s="99">
        <v>850000</v>
      </c>
      <c r="M9" s="99">
        <v>850000</v>
      </c>
      <c r="N9" s="99">
        <v>850000</v>
      </c>
      <c r="O9" s="99">
        <v>850000</v>
      </c>
      <c r="P9" s="99">
        <v>850000</v>
      </c>
      <c r="Q9" s="109">
        <f>SUM(E9:P9)</f>
        <v>12000000</v>
      </c>
      <c r="R9" s="99" t="s">
        <v>78</v>
      </c>
      <c r="T9" s="100"/>
      <c r="U9" s="100"/>
    </row>
    <row r="10" spans="2:21" x14ac:dyDescent="0.85">
      <c r="B10" s="108" t="s">
        <v>22</v>
      </c>
      <c r="C10" s="102">
        <v>8589999.9599999972</v>
      </c>
      <c r="D10" s="102">
        <f t="shared" si="0"/>
        <v>2863333.32</v>
      </c>
      <c r="E10" s="99">
        <v>715833.33</v>
      </c>
      <c r="F10" s="99">
        <v>715833.33</v>
      </c>
      <c r="G10" s="99">
        <v>715833.33</v>
      </c>
      <c r="H10" s="99">
        <v>715833.33</v>
      </c>
      <c r="I10" s="99">
        <v>715833.33</v>
      </c>
      <c r="J10" s="99">
        <v>715833.33</v>
      </c>
      <c r="K10" s="99">
        <v>715833.33</v>
      </c>
      <c r="L10" s="99">
        <v>715833.33</v>
      </c>
      <c r="M10" s="99">
        <v>715833.33</v>
      </c>
      <c r="N10" s="99">
        <v>715833.33</v>
      </c>
      <c r="O10" s="99">
        <v>715833.33</v>
      </c>
      <c r="P10" s="99">
        <v>715833.33</v>
      </c>
      <c r="Q10" s="109">
        <f>SUM(E10:P10)</f>
        <v>8589999.959999999</v>
      </c>
      <c r="R10" s="99" t="s">
        <v>78</v>
      </c>
    </row>
    <row r="11" spans="2:21" x14ac:dyDescent="0.85">
      <c r="B11" s="108" t="s">
        <v>28</v>
      </c>
      <c r="C11" s="102">
        <v>4000000</v>
      </c>
      <c r="D11" s="102">
        <f t="shared" si="0"/>
        <v>1600000</v>
      </c>
      <c r="E11" s="99">
        <v>500000</v>
      </c>
      <c r="F11" s="99">
        <v>500000</v>
      </c>
      <c r="G11" s="99">
        <v>300000</v>
      </c>
      <c r="H11" s="99">
        <v>300000</v>
      </c>
      <c r="I11" s="99">
        <v>200000</v>
      </c>
      <c r="J11" s="99">
        <v>200000</v>
      </c>
      <c r="K11" s="99">
        <v>200000</v>
      </c>
      <c r="L11" s="99">
        <v>400000</v>
      </c>
      <c r="M11" s="99">
        <v>400000</v>
      </c>
      <c r="N11" s="99">
        <v>400000</v>
      </c>
      <c r="O11" s="99">
        <v>300000</v>
      </c>
      <c r="P11" s="99">
        <v>300000</v>
      </c>
      <c r="Q11" s="109">
        <f t="shared" ref="Q11:Q21" si="1">SUM(E11:P11)</f>
        <v>4000000</v>
      </c>
      <c r="R11" s="99" t="s">
        <v>78</v>
      </c>
    </row>
    <row r="12" spans="2:21" x14ac:dyDescent="0.85">
      <c r="B12" s="108" t="s">
        <v>23</v>
      </c>
      <c r="C12" s="102">
        <v>3700000</v>
      </c>
      <c r="D12" s="102">
        <f t="shared" si="0"/>
        <v>1700000</v>
      </c>
      <c r="E12" s="99">
        <v>500000</v>
      </c>
      <c r="F12" s="99">
        <v>500000</v>
      </c>
      <c r="G12" s="99">
        <v>400000</v>
      </c>
      <c r="H12" s="99">
        <v>300000</v>
      </c>
      <c r="I12" s="99">
        <v>200000</v>
      </c>
      <c r="J12" s="99">
        <v>200000</v>
      </c>
      <c r="K12" s="99">
        <v>200000</v>
      </c>
      <c r="L12" s="99">
        <v>300000</v>
      </c>
      <c r="M12" s="99">
        <v>300000</v>
      </c>
      <c r="N12" s="99">
        <v>250000</v>
      </c>
      <c r="O12" s="99">
        <v>250000</v>
      </c>
      <c r="P12" s="99">
        <v>300000</v>
      </c>
      <c r="Q12" s="109">
        <f t="shared" si="1"/>
        <v>3700000</v>
      </c>
      <c r="R12" s="99" t="s">
        <v>78</v>
      </c>
    </row>
    <row r="13" spans="2:21" x14ac:dyDescent="0.85">
      <c r="B13" s="108" t="s">
        <v>29</v>
      </c>
      <c r="C13" s="102">
        <v>6409999.9999999991</v>
      </c>
      <c r="D13" s="102">
        <f t="shared" si="0"/>
        <v>2136665.3199999998</v>
      </c>
      <c r="E13" s="99">
        <v>534166.32999999996</v>
      </c>
      <c r="F13" s="99">
        <v>534166.32999999996</v>
      </c>
      <c r="G13" s="99">
        <v>534166.32999999996</v>
      </c>
      <c r="H13" s="99">
        <v>534166.32999999996</v>
      </c>
      <c r="I13" s="99">
        <v>534166.32999999996</v>
      </c>
      <c r="J13" s="99">
        <v>534166.32999999996</v>
      </c>
      <c r="K13" s="99">
        <v>534166.32999999996</v>
      </c>
      <c r="L13" s="99">
        <v>534166.32999999996</v>
      </c>
      <c r="M13" s="99">
        <v>534166.32999999996</v>
      </c>
      <c r="N13" s="99">
        <v>534166.32999999996</v>
      </c>
      <c r="O13" s="99">
        <v>534166.37</v>
      </c>
      <c r="P13" s="99">
        <v>534170.32999999996</v>
      </c>
      <c r="Q13" s="109">
        <f t="shared" si="1"/>
        <v>6410000</v>
      </c>
      <c r="R13" s="99" t="s">
        <v>79</v>
      </c>
    </row>
    <row r="14" spans="2:21" x14ac:dyDescent="0.85">
      <c r="B14" s="108" t="s">
        <v>26</v>
      </c>
      <c r="C14" s="102">
        <v>3500000</v>
      </c>
      <c r="D14" s="102">
        <f t="shared" si="0"/>
        <v>1300000</v>
      </c>
      <c r="E14" s="99">
        <v>400000</v>
      </c>
      <c r="F14" s="99">
        <v>400000</v>
      </c>
      <c r="G14" s="99">
        <v>250000</v>
      </c>
      <c r="H14" s="99">
        <v>250000</v>
      </c>
      <c r="I14" s="99">
        <v>250000</v>
      </c>
      <c r="J14" s="99">
        <v>250000</v>
      </c>
      <c r="K14" s="99">
        <v>250000</v>
      </c>
      <c r="L14" s="99">
        <v>250000</v>
      </c>
      <c r="M14" s="99">
        <v>250000</v>
      </c>
      <c r="N14" s="99">
        <v>250000</v>
      </c>
      <c r="O14" s="99">
        <v>350000</v>
      </c>
      <c r="P14" s="99">
        <v>350000</v>
      </c>
      <c r="Q14" s="109">
        <f t="shared" si="1"/>
        <v>3500000</v>
      </c>
      <c r="R14" s="99" t="s">
        <v>78</v>
      </c>
    </row>
    <row r="15" spans="2:21" x14ac:dyDescent="0.85">
      <c r="B15" s="108" t="s">
        <v>77</v>
      </c>
      <c r="C15" s="102">
        <v>1000000</v>
      </c>
      <c r="D15" s="102">
        <f t="shared" si="0"/>
        <v>291666</v>
      </c>
      <c r="E15" s="99">
        <v>0</v>
      </c>
      <c r="F15" s="99">
        <v>83333</v>
      </c>
      <c r="G15" s="99">
        <v>125000</v>
      </c>
      <c r="H15" s="99">
        <v>83333</v>
      </c>
      <c r="I15" s="99">
        <v>0</v>
      </c>
      <c r="J15" s="99">
        <v>208333</v>
      </c>
      <c r="K15" s="99">
        <v>0</v>
      </c>
      <c r="L15" s="99">
        <v>83333</v>
      </c>
      <c r="M15" s="99">
        <v>125000</v>
      </c>
      <c r="N15" s="99">
        <v>83335</v>
      </c>
      <c r="O15" s="99">
        <v>0</v>
      </c>
      <c r="P15" s="99">
        <v>208333</v>
      </c>
      <c r="Q15" s="109">
        <f t="shared" si="1"/>
        <v>1000000</v>
      </c>
      <c r="R15" s="99" t="s">
        <v>79</v>
      </c>
    </row>
    <row r="16" spans="2:21" x14ac:dyDescent="0.85">
      <c r="B16" s="108" t="s">
        <v>91</v>
      </c>
      <c r="C16" s="102">
        <v>1500000</v>
      </c>
      <c r="D16" s="102">
        <f t="shared" si="0"/>
        <v>500000</v>
      </c>
      <c r="E16" s="99">
        <v>125000</v>
      </c>
      <c r="F16" s="99">
        <v>125000</v>
      </c>
      <c r="G16" s="99">
        <v>125000</v>
      </c>
      <c r="H16" s="99">
        <v>125000</v>
      </c>
      <c r="I16" s="99">
        <v>125000</v>
      </c>
      <c r="J16" s="99">
        <v>125000</v>
      </c>
      <c r="K16" s="99">
        <v>125000</v>
      </c>
      <c r="L16" s="99">
        <v>125000</v>
      </c>
      <c r="M16" s="99">
        <v>125000</v>
      </c>
      <c r="N16" s="99">
        <v>125000</v>
      </c>
      <c r="O16" s="99">
        <v>125000</v>
      </c>
      <c r="P16" s="99">
        <v>125000</v>
      </c>
      <c r="Q16" s="109">
        <f t="shared" si="1"/>
        <v>1500000</v>
      </c>
      <c r="R16" s="99" t="s">
        <v>79</v>
      </c>
    </row>
    <row r="17" spans="2:18" x14ac:dyDescent="0.85">
      <c r="B17" s="108" t="s">
        <v>24</v>
      </c>
      <c r="C17" s="102">
        <v>1500000</v>
      </c>
      <c r="D17" s="102">
        <f t="shared" si="0"/>
        <v>700000</v>
      </c>
      <c r="E17" s="99">
        <v>200000</v>
      </c>
      <c r="F17" s="99">
        <v>250000</v>
      </c>
      <c r="G17" s="99">
        <v>150000</v>
      </c>
      <c r="H17" s="99">
        <v>100000</v>
      </c>
      <c r="I17" s="99">
        <v>75000</v>
      </c>
      <c r="J17" s="99">
        <v>75000</v>
      </c>
      <c r="K17" s="99">
        <v>100000</v>
      </c>
      <c r="L17" s="99">
        <v>200000</v>
      </c>
      <c r="M17" s="99">
        <v>75000</v>
      </c>
      <c r="N17" s="99">
        <v>75000</v>
      </c>
      <c r="O17" s="99">
        <v>100000</v>
      </c>
      <c r="P17" s="99">
        <v>100000</v>
      </c>
      <c r="Q17" s="109">
        <f t="shared" si="1"/>
        <v>1500000</v>
      </c>
      <c r="R17" s="99" t="s">
        <v>78</v>
      </c>
    </row>
    <row r="18" spans="2:18" x14ac:dyDescent="0.85">
      <c r="B18" s="108" t="s">
        <v>75</v>
      </c>
      <c r="C18" s="102">
        <v>1000000</v>
      </c>
      <c r="D18" s="102">
        <f>SUM(E18:H18)</f>
        <v>500000</v>
      </c>
      <c r="E18" s="99">
        <v>250000</v>
      </c>
      <c r="F18" s="99">
        <v>0</v>
      </c>
      <c r="G18" s="99">
        <v>0</v>
      </c>
      <c r="H18" s="99">
        <v>250000</v>
      </c>
      <c r="I18" s="99">
        <v>0</v>
      </c>
      <c r="J18" s="99">
        <v>0</v>
      </c>
      <c r="K18" s="99">
        <v>250000</v>
      </c>
      <c r="L18" s="99">
        <v>0</v>
      </c>
      <c r="M18" s="99">
        <v>0</v>
      </c>
      <c r="N18" s="99">
        <v>250000</v>
      </c>
      <c r="O18" s="99">
        <v>0</v>
      </c>
      <c r="P18" s="99">
        <v>0</v>
      </c>
      <c r="Q18" s="109">
        <f>SUM(E18:P18)</f>
        <v>1000000</v>
      </c>
      <c r="R18" s="99" t="s">
        <v>79</v>
      </c>
    </row>
    <row r="19" spans="2:18" x14ac:dyDescent="0.85">
      <c r="B19" s="108" t="s">
        <v>76</v>
      </c>
      <c r="C19" s="102">
        <v>0</v>
      </c>
      <c r="D19" s="102">
        <f t="shared" si="0"/>
        <v>0</v>
      </c>
      <c r="E19" s="99">
        <v>0</v>
      </c>
      <c r="F19" s="99">
        <v>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109">
        <f t="shared" si="1"/>
        <v>0</v>
      </c>
      <c r="R19" s="99" t="s">
        <v>79</v>
      </c>
    </row>
    <row r="20" spans="2:18" x14ac:dyDescent="0.85">
      <c r="B20" s="108" t="s">
        <v>25</v>
      </c>
      <c r="C20" s="102">
        <v>0</v>
      </c>
      <c r="D20" s="102">
        <f t="shared" si="0"/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109">
        <f t="shared" si="1"/>
        <v>0</v>
      </c>
      <c r="R20" s="99" t="s">
        <v>78</v>
      </c>
    </row>
    <row r="21" spans="2:18" x14ac:dyDescent="0.85">
      <c r="B21" s="108" t="s">
        <v>63</v>
      </c>
      <c r="C21" s="102">
        <v>0</v>
      </c>
      <c r="D21" s="102">
        <f t="shared" si="0"/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109">
        <f t="shared" si="1"/>
        <v>0</v>
      </c>
      <c r="R21" s="99" t="s">
        <v>78</v>
      </c>
    </row>
    <row r="22" spans="2:18" x14ac:dyDescent="0.85">
      <c r="B22" s="104" t="s">
        <v>0</v>
      </c>
      <c r="C22" s="103">
        <f t="shared" ref="C22:Q22" si="2">SUM(C8:C21)</f>
        <v>66999999.959999993</v>
      </c>
      <c r="D22" s="103">
        <f t="shared" si="2"/>
        <v>25691664.640000001</v>
      </c>
      <c r="E22" s="101">
        <f t="shared" si="2"/>
        <v>6924999.6600000001</v>
      </c>
      <c r="F22" s="101">
        <f t="shared" si="2"/>
        <v>7108332.6600000001</v>
      </c>
      <c r="G22" s="101">
        <f t="shared" si="2"/>
        <v>6249999.6600000001</v>
      </c>
      <c r="H22" s="101">
        <f t="shared" si="2"/>
        <v>5408332.6600000001</v>
      </c>
      <c r="I22" s="101">
        <f t="shared" si="2"/>
        <v>4849999.66</v>
      </c>
      <c r="J22" s="101">
        <f t="shared" si="2"/>
        <v>5058332.66</v>
      </c>
      <c r="K22" s="101">
        <f t="shared" si="2"/>
        <v>5074999.66</v>
      </c>
      <c r="L22" s="101">
        <f t="shared" si="2"/>
        <v>5308332.66</v>
      </c>
      <c r="M22" s="101">
        <f t="shared" si="2"/>
        <v>5224999.66</v>
      </c>
      <c r="N22" s="101">
        <f t="shared" si="2"/>
        <v>5383334.6600000001</v>
      </c>
      <c r="O22" s="101">
        <f t="shared" si="2"/>
        <v>5074999.7</v>
      </c>
      <c r="P22" s="101">
        <f t="shared" si="2"/>
        <v>5333336.66</v>
      </c>
      <c r="Q22" s="101">
        <f t="shared" si="2"/>
        <v>66999999.960000001</v>
      </c>
      <c r="R22" s="101"/>
    </row>
    <row r="23" spans="2:18" x14ac:dyDescent="0.85"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R23" s="100"/>
    </row>
    <row r="24" spans="2:18" x14ac:dyDescent="0.85"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R24" s="100"/>
    </row>
  </sheetData>
  <phoneticPr fontId="17" type="noConversion"/>
  <conditionalFormatting sqref="Q8:Q21">
    <cfRule type="cellIs" dxfId="1" priority="1" operator="lessThan">
      <formula>0</formula>
    </cfRule>
  </conditionalFormatting>
  <pageMargins left="0.25" right="0.25" top="0.75" bottom="0.75" header="0.3" footer="0.3"/>
  <pageSetup paperSize="8" orientation="landscape" r:id="rId1"/>
  <ignoredErrors>
    <ignoredError sqref="A1:XFD104857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Tracker</vt:lpstr>
      <vt:lpstr>Activity &amp; Sub Activity</vt:lpstr>
      <vt:lpstr>Leaflet</vt:lpstr>
      <vt:lpstr>Y2025B by Activities</vt:lpstr>
      <vt:lpstr>'Activity &amp; Sub Activity'!Print_Area</vt:lpstr>
      <vt:lpstr>Leaflet!Print_Area</vt:lpstr>
      <vt:lpstr>Tracker!Print_Area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A. Alsakran</dc:creator>
  <cp:lastModifiedBy>Adeel Gulzar</cp:lastModifiedBy>
  <cp:lastPrinted>2026-08-30T15:27:34Z</cp:lastPrinted>
  <dcterms:created xsi:type="dcterms:W3CDTF">2024-03-12T06:46:37Z</dcterms:created>
  <dcterms:modified xsi:type="dcterms:W3CDTF">2026-08-30T15:29:19Z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