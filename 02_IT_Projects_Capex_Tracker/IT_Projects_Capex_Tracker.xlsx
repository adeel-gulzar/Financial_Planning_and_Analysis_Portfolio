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ffa\Documents\1 - My Portfolio\"/>
    </mc:Choice>
  </mc:AlternateContent>
  <xr:revisionPtr revIDLastSave="0" documentId="13_ncr:1_{77C2B79B-1A6D-4A7C-8F00-865473300A27}" xr6:coauthVersionLast="47" xr6:coauthVersionMax="47" xr10:uidLastSave="{00000000-0000-0000-0000-000000000000}"/>
  <bookViews>
    <workbookView xWindow="-98" yWindow="-98" windowWidth="19396" windowHeight="11475" xr2:uid="{F02832C0-7658-4D86-91C5-B555FC4539A9}"/>
  </bookViews>
  <sheets>
    <sheet name="Projects Summary" sheetId="7" r:id="rId1"/>
    <sheet name="PR Data" sheetId="4" state="hidden" r:id="rId2"/>
    <sheet name="Month" sheetId="6" state="hidden" r:id="rId3"/>
  </sheets>
  <definedNames>
    <definedName name="_________sun1" hidden="1">#REF!</definedName>
    <definedName name="________sun1" hidden="1">#REF!</definedName>
    <definedName name="_______sun1" hidden="1">#REF!</definedName>
    <definedName name="______sun1" hidden="1">#REF!</definedName>
    <definedName name="_____sun1" hidden="1">#REF!</definedName>
    <definedName name="____key1" hidden="1">#REF!</definedName>
    <definedName name="____sun1" hidden="1">#REF!</definedName>
    <definedName name="____xlfn.BAHTTEXT" hidden="1">#NAME?</definedName>
    <definedName name="___key1" hidden="1">#REF!</definedName>
    <definedName name="___sun1" hidden="1">#REF!</definedName>
    <definedName name="___xlfn.BAHTTEXT" hidden="1">#NAME?</definedName>
    <definedName name="__123Graph_A" hidden="1">#REF!</definedName>
    <definedName name="__123Graph_B" hidden="1">#REF!</definedName>
    <definedName name="__123Graph_C" hidden="1">#REF!</definedName>
    <definedName name="__123Graph_E" hidden="1">#REF!</definedName>
    <definedName name="__123Graph_X" hidden="1">#REF!</definedName>
    <definedName name="__aas1" hidden="1">#REF!</definedName>
    <definedName name="__key1" hidden="1">#REF!</definedName>
    <definedName name="__sun1" hidden="1">#REF!</definedName>
    <definedName name="__xlfn.BAHTTEXT" hidden="1">#NAME?</definedName>
    <definedName name="_1_123Grap" hidden="1">#REF!</definedName>
    <definedName name="_14_0__123Grap" hidden="1">#REF!</definedName>
    <definedName name="_15_0__123Grap" hidden="1">#REF!</definedName>
    <definedName name="_16_0__123Grap" hidden="1">#REF!</definedName>
    <definedName name="_2_123Grap" hidden="1">#REF!</definedName>
    <definedName name="_21_0__123Grap" hidden="1">#REF!</definedName>
    <definedName name="_22_0__123Grap" hidden="1">#REF!</definedName>
    <definedName name="_3_123Grap" hidden="1">#REF!</definedName>
    <definedName name="_5_0__123Grap" hidden="1">#REF!</definedName>
    <definedName name="_61_0__123Grap" hidden="1">#REF!</definedName>
    <definedName name="_71_0__123Grap" hidden="1">#REF!</definedName>
    <definedName name="_aas1" hidden="1">#REF!</definedName>
    <definedName name="_Fill" hidden="1">#REF!</definedName>
    <definedName name="_xlnm._FilterDatabase" localSheetId="1" hidden="1">'PR Data'!$B$3:$AH$99</definedName>
    <definedName name="_Key1" hidden="1">#REF!</definedName>
    <definedName name="_key2" hidden="1">#REF!</definedName>
    <definedName name="_key3" hidden="1">#REF!</definedName>
    <definedName name="_key4" hidden="1">#REF!</definedName>
    <definedName name="_MatMult_B" hidden="1">#REF!</definedName>
    <definedName name="_Order1" hidden="1">255</definedName>
    <definedName name="_Order2" hidden="1">255</definedName>
    <definedName name="_Regression_X" hidden="1">#REF!</definedName>
    <definedName name="_Sort" hidden="1">#REF!</definedName>
    <definedName name="_sun1" hidden="1">#REF!</definedName>
    <definedName name="A" hidden="1">#REF!</definedName>
    <definedName name="aa" hidden="1">#REF!</definedName>
    <definedName name="aaa" hidden="1">#REF!</definedName>
    <definedName name="aaaaaa" hidden="1">#REF!</definedName>
    <definedName name="aas" hidden="1">#REF!</definedName>
    <definedName name="ABCCover" hidden="1">#REF!</definedName>
    <definedName name="AccountType" hidden="1">#REF!</definedName>
    <definedName name="add" hidden="1">#REF!</definedName>
    <definedName name="Alaa" hidden="1">#REF!</definedName>
    <definedName name="aps" hidden="1">#REF!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yman" hidden="1">#REF!</definedName>
    <definedName name="B" hidden="1">#REF!</definedName>
    <definedName name="BAHASA" hidden="1">#REF!</definedName>
    <definedName name="BAHASSAN" hidden="1">#REF!</definedName>
    <definedName name="Baqer" hidden="1">#REF!</definedName>
    <definedName name="BG_Del" hidden="1">15</definedName>
    <definedName name="BG_Ins" hidden="1">4</definedName>
    <definedName name="BG_Mod" hidden="1">6</definedName>
    <definedName name="CaseSelection">#REF!</definedName>
    <definedName name="CountryCode">"OFFSET($B$1,0,0,COUNT($B:$B),1)"</definedName>
    <definedName name="D" hidden="1">#REF!</definedName>
    <definedName name="dad" hidden="1">#REF!</definedName>
    <definedName name="das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d" hidden="1">#REF!</definedName>
    <definedName name="ds" hidden="1">#REF!</definedName>
    <definedName name="e3ee" hidden="1">#REF!</definedName>
    <definedName name="EconList">#REF!</definedName>
    <definedName name="EDchoice" hidden="1">#REF!</definedName>
    <definedName name="ExistGuideDatabase">#REF!</definedName>
    <definedName name="ExistingGuidanceStart">#REF!</definedName>
    <definedName name="F" hidden="1">#REF!</definedName>
    <definedName name="Fasmeer" hidden="1">#REF!</definedName>
    <definedName name="Fasmeer1" hidden="1">#REF!</definedName>
    <definedName name="Fasmeer2" hidden="1">#REF!</definedName>
    <definedName name="Fees" hidden="1">#REF!</definedName>
    <definedName name="fill" hidden="1">#REF!</definedName>
    <definedName name="fill1" hidden="1">#REF!</definedName>
    <definedName name="ghfh" hidden="1">#REF!</definedName>
    <definedName name="Grades" hidden="1">{"'Calendar'!$A$3:$V$33","'Calendar'!$A$3:$V$33"}</definedName>
    <definedName name="Header2">#REF!</definedName>
    <definedName name="HTML_CodePage" hidden="1">1252</definedName>
    <definedName name="HTML_Control" hidden="1">{"'Calendar'!$A$3:$V$33","'Calendar'!$A$3:$V$33"}</definedName>
    <definedName name="HTML_Description" hidden="1">""</definedName>
    <definedName name="HTML_Email" hidden="1">""</definedName>
    <definedName name="HTML_Header" hidden="1">"Calendar"</definedName>
    <definedName name="HTML_LastUpdate" hidden="1">"1/27/02"</definedName>
    <definedName name="HTML_LineAfter" hidden="1">FALSE</definedName>
    <definedName name="HTML_LineBefore" hidden="1">FALSE</definedName>
    <definedName name="HTML_Name" hidden="1">"Arnold"</definedName>
    <definedName name="HTML_OBDlg2" hidden="1">TRUE</definedName>
    <definedName name="HTML_OBDlg4" hidden="1">TRUE</definedName>
    <definedName name="HTML_OS" hidden="1">0</definedName>
    <definedName name="HTML_PathFile" hidden="1">"P:\Training Department\Training Plan\2002 Learning Plan\MyHTML.htm"</definedName>
    <definedName name="HTML_Title" hidden="1">"UA Local Learning Courses -- 2002 (WL1 &amp; Above)"</definedName>
    <definedName name="IntroPrintArea" hidden="1">#REF!</definedName>
    <definedName name="IRBD" hidden="1">#REF!</definedName>
    <definedName name="jjjjjj" hidden="1">#REF!</definedName>
    <definedName name="key" hidden="1">#REF!</definedName>
    <definedName name="kkkk" hidden="1">#REF!</definedName>
    <definedName name="NewGuidanceStart">#REF!</definedName>
    <definedName name="NewLease1">#REF!</definedName>
    <definedName name="NewLease2">#REF!</definedName>
    <definedName name="NewLease3">#REF!</definedName>
    <definedName name="NewLease4">#REF!</definedName>
    <definedName name="NewLease5">#REF!</definedName>
    <definedName name="NewLease6">#REF!</definedName>
    <definedName name="NewPF" hidden="1">#REF!</definedName>
    <definedName name="NWMGFA" hidden="1">#REF!</definedName>
    <definedName name="Q" hidden="1">#REF!</definedName>
    <definedName name="qa" hidden="1">#REF!</definedName>
    <definedName name="QQ" hidden="1">#REF!</definedName>
    <definedName name="s" hidden="1">#REF!</definedName>
    <definedName name="sA" hidden="1">#REF!</definedName>
    <definedName name="saa" hidden="1">#REF!</definedName>
    <definedName name="Salwan" hidden="1">#REF!</definedName>
    <definedName name="same" hidden="1">#REF!</definedName>
    <definedName name="sd" hidden="1">#REF!</definedName>
    <definedName name="SelectedCase">#REF!</definedName>
    <definedName name="shh" hidden="1">#REF!</definedName>
    <definedName name="Size">IF(#REF!&lt;2500,TRUE,FALSE)</definedName>
    <definedName name="SMT" hidden="1">#REF!</definedName>
    <definedName name="sort" hidden="1">#REF!</definedName>
    <definedName name="sort1" hidden="1">#REF!</definedName>
    <definedName name="ssssss" hidden="1">#REF!</definedName>
    <definedName name="TextRefCopyRangeCount" hidden="1">6</definedName>
    <definedName name="Tolerance">#REF!</definedName>
    <definedName name="Tolerancex">#REF!</definedName>
    <definedName name="tot" hidden="1">#REF!</definedName>
    <definedName name="Unbudget" hidden="1">#REF!</definedName>
    <definedName name="wrtyryu" hidden="1">#REF!</definedName>
    <definedName name="xd" hidden="1">#REF!</definedName>
    <definedName name="Yousuf" hidden="1">#REF!</definedName>
    <definedName name="z" hidden="1">#REF!</definedName>
    <definedName name="zzz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9" i="4" l="1"/>
  <c r="AE98" i="4"/>
  <c r="AE97" i="4"/>
  <c r="AE96" i="4"/>
  <c r="AE95" i="4"/>
  <c r="AE94" i="4"/>
  <c r="AE93" i="4"/>
  <c r="AE92" i="4"/>
  <c r="AE91" i="4"/>
  <c r="AE90" i="4"/>
  <c r="AE89" i="4"/>
  <c r="AE88" i="4"/>
  <c r="AE87" i="4"/>
  <c r="AE86" i="4"/>
  <c r="AE85" i="4"/>
  <c r="AE84" i="4"/>
  <c r="AE83" i="4"/>
  <c r="AE82" i="4"/>
  <c r="AE81" i="4"/>
  <c r="AE80" i="4"/>
  <c r="AE79" i="4"/>
  <c r="AE78" i="4"/>
  <c r="AE77" i="4"/>
  <c r="AE76" i="4"/>
  <c r="AE75" i="4"/>
  <c r="AE74" i="4"/>
  <c r="AE73" i="4"/>
  <c r="AE72" i="4"/>
  <c r="AE71" i="4"/>
  <c r="AE70" i="4"/>
  <c r="AE69" i="4"/>
  <c r="AE68" i="4"/>
  <c r="AE67" i="4"/>
  <c r="AE66" i="4"/>
  <c r="AE65" i="4"/>
  <c r="AE64" i="4"/>
  <c r="AE63" i="4"/>
  <c r="AE62" i="4"/>
  <c r="AE60" i="4"/>
  <c r="AE59" i="4"/>
  <c r="AE58" i="4"/>
  <c r="AE57" i="4"/>
  <c r="AE56" i="4"/>
  <c r="AE49" i="4"/>
  <c r="AE45" i="4"/>
  <c r="AE44" i="4"/>
  <c r="AE43" i="4"/>
  <c r="AE42" i="4"/>
  <c r="AE41" i="4"/>
  <c r="AE40" i="4"/>
  <c r="AE39" i="4"/>
  <c r="AE38" i="4"/>
  <c r="AE36" i="4"/>
  <c r="AE35" i="4"/>
  <c r="AE33" i="4"/>
  <c r="AE32" i="4"/>
  <c r="AE30" i="4"/>
  <c r="AE28" i="4"/>
  <c r="AE27" i="4"/>
  <c r="AE26" i="4"/>
  <c r="AE25" i="4"/>
  <c r="AE24" i="4"/>
  <c r="AE23" i="4"/>
  <c r="AE22" i="4"/>
  <c r="AE21" i="4"/>
  <c r="AE20" i="4"/>
  <c r="AE19" i="4"/>
  <c r="AE18" i="4"/>
  <c r="AE17" i="4"/>
  <c r="AE16" i="4"/>
  <c r="AE15" i="4"/>
  <c r="AE14" i="4"/>
  <c r="AE13" i="4"/>
  <c r="AE12" i="4"/>
  <c r="AE11" i="4"/>
  <c r="AE10" i="4"/>
  <c r="X46" i="4"/>
  <c r="AA46" i="4" s="1" a="1"/>
  <c r="AA46" i="4" s="1"/>
  <c r="Y46" i="4"/>
  <c r="AH58" i="4"/>
  <c r="AH57" i="4"/>
  <c r="AH56" i="4"/>
  <c r="AH55" i="4"/>
  <c r="AH54" i="4"/>
  <c r="AH53" i="4"/>
  <c r="AH52" i="4"/>
  <c r="AH51" i="4"/>
  <c r="AH50" i="4"/>
  <c r="AH49" i="4"/>
  <c r="AH48" i="4"/>
  <c r="AH47" i="4"/>
  <c r="AH46" i="4"/>
  <c r="AH45" i="4"/>
  <c r="AH44" i="4"/>
  <c r="AH43" i="4"/>
  <c r="AH42" i="4"/>
  <c r="AH41" i="4"/>
  <c r="AH40" i="4"/>
  <c r="AH39" i="4"/>
  <c r="AH38" i="4"/>
  <c r="AH37" i="4"/>
  <c r="AH36" i="4"/>
  <c r="AH35" i="4"/>
  <c r="AH34" i="4"/>
  <c r="AH33" i="4"/>
  <c r="AH32" i="4"/>
  <c r="AH31" i="4"/>
  <c r="AH30" i="4"/>
  <c r="AH29" i="4"/>
  <c r="AH28" i="4"/>
  <c r="AH27" i="4"/>
  <c r="AH26" i="4"/>
  <c r="AH25" i="4"/>
  <c r="AH24" i="4"/>
  <c r="AH23" i="4"/>
  <c r="AH22" i="4"/>
  <c r="AH21" i="4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B2" i="4"/>
  <c r="R2" i="4"/>
  <c r="Q2" i="4"/>
  <c r="P2" i="4"/>
  <c r="O2" i="4"/>
  <c r="Z99" i="4" a="1"/>
  <c r="Z99" i="4" s="1"/>
  <c r="Y99" i="4"/>
  <c r="X99" i="4"/>
  <c r="W99" i="4"/>
  <c r="Z98" i="4" a="1"/>
  <c r="Z98" i="4" s="1"/>
  <c r="Y98" i="4"/>
  <c r="X98" i="4"/>
  <c r="W98" i="4"/>
  <c r="Z97" i="4" a="1"/>
  <c r="Z97" i="4" s="1"/>
  <c r="Y97" i="4"/>
  <c r="X97" i="4"/>
  <c r="W97" i="4"/>
  <c r="Z96" i="4" a="1"/>
  <c r="Z96" i="4" s="1"/>
  <c r="Y96" i="4"/>
  <c r="X96" i="4"/>
  <c r="W96" i="4"/>
  <c r="Z95" i="4" a="1"/>
  <c r="Z95" i="4" s="1"/>
  <c r="Y95" i="4"/>
  <c r="X95" i="4"/>
  <c r="W95" i="4"/>
  <c r="Y94" i="4"/>
  <c r="X94" i="4"/>
  <c r="W94" i="4"/>
  <c r="Y93" i="4"/>
  <c r="X93" i="4"/>
  <c r="W93" i="4"/>
  <c r="Z93" i="4" s="1" a="1"/>
  <c r="Z93" i="4" s="1"/>
  <c r="Y92" i="4"/>
  <c r="X92" i="4"/>
  <c r="W92" i="4"/>
  <c r="Z92" i="4" s="1" a="1"/>
  <c r="Z92" i="4" s="1"/>
  <c r="C99" i="4"/>
  <c r="C98" i="4"/>
  <c r="C97" i="4"/>
  <c r="C96" i="4"/>
  <c r="C95" i="4"/>
  <c r="C94" i="4"/>
  <c r="C93" i="4"/>
  <c r="AG92" i="4"/>
  <c r="AG91" i="4"/>
  <c r="AG90" i="4"/>
  <c r="AG89" i="4"/>
  <c r="AG88" i="4"/>
  <c r="AG87" i="4"/>
  <c r="AG86" i="4"/>
  <c r="AG85" i="4"/>
  <c r="AG84" i="4"/>
  <c r="AG83" i="4"/>
  <c r="AG82" i="4"/>
  <c r="AG81" i="4"/>
  <c r="AG80" i="4"/>
  <c r="AG79" i="4"/>
  <c r="AG78" i="4"/>
  <c r="AG77" i="4"/>
  <c r="AG76" i="4"/>
  <c r="AG75" i="4"/>
  <c r="AG74" i="4"/>
  <c r="AG73" i="4"/>
  <c r="AG72" i="4"/>
  <c r="AG71" i="4"/>
  <c r="AG70" i="4"/>
  <c r="AG69" i="4"/>
  <c r="AG68" i="4"/>
  <c r="AG67" i="4"/>
  <c r="AG66" i="4"/>
  <c r="AG65" i="4"/>
  <c r="AG64" i="4"/>
  <c r="AG63" i="4"/>
  <c r="AG62" i="4"/>
  <c r="AG61" i="4"/>
  <c r="AG60" i="4"/>
  <c r="AG59" i="4"/>
  <c r="AG58" i="4"/>
  <c r="AG57" i="4"/>
  <c r="AG56" i="4"/>
  <c r="AG55" i="4"/>
  <c r="AG54" i="4"/>
  <c r="AG53" i="4"/>
  <c r="AG52" i="4"/>
  <c r="AG51" i="4"/>
  <c r="AG50" i="4"/>
  <c r="AG49" i="4"/>
  <c r="AG48" i="4"/>
  <c r="AG47" i="4"/>
  <c r="AG46" i="4"/>
  <c r="AG45" i="4"/>
  <c r="AG44" i="4"/>
  <c r="AG43" i="4"/>
  <c r="AG42" i="4"/>
  <c r="AG41" i="4"/>
  <c r="AG40" i="4"/>
  <c r="AG39" i="4"/>
  <c r="AG38" i="4"/>
  <c r="AG37" i="4"/>
  <c r="AG36" i="4"/>
  <c r="AG35" i="4"/>
  <c r="AG34" i="4"/>
  <c r="AG33" i="4"/>
  <c r="AG32" i="4"/>
  <c r="AG31" i="4"/>
  <c r="AG30" i="4"/>
  <c r="AG29" i="4"/>
  <c r="AG28" i="4"/>
  <c r="AG27" i="4"/>
  <c r="AG26" i="4"/>
  <c r="AG25" i="4"/>
  <c r="AG24" i="4"/>
  <c r="AG23" i="4"/>
  <c r="AG22" i="4"/>
  <c r="AG21" i="4"/>
  <c r="AG20" i="4"/>
  <c r="AG19" i="4"/>
  <c r="AG18" i="4"/>
  <c r="AG17" i="4"/>
  <c r="AG16" i="4"/>
  <c r="AG15" i="4"/>
  <c r="AG14" i="4"/>
  <c r="AG13" i="4"/>
  <c r="AG12" i="4"/>
  <c r="AG11" i="4"/>
  <c r="AG10" i="4"/>
  <c r="AG9" i="4"/>
  <c r="AG8" i="4"/>
  <c r="AG7" i="4"/>
  <c r="AG6" i="4"/>
  <c r="AG5" i="4"/>
  <c r="AE9" i="4"/>
  <c r="Z91" i="4" a="1"/>
  <c r="Z91" i="4" s="1"/>
  <c r="Y91" i="4"/>
  <c r="X91" i="4"/>
  <c r="W91" i="4"/>
  <c r="Y90" i="4"/>
  <c r="X90" i="4"/>
  <c r="W90" i="4"/>
  <c r="Y89" i="4"/>
  <c r="X89" i="4"/>
  <c r="W89" i="4"/>
  <c r="Z89" i="4" s="1" a="1"/>
  <c r="Z89" i="4" s="1"/>
  <c r="Y88" i="4"/>
  <c r="X88" i="4"/>
  <c r="W88" i="4"/>
  <c r="Z88" i="4" s="1" a="1"/>
  <c r="Z88" i="4" s="1"/>
  <c r="Y87" i="4"/>
  <c r="X87" i="4"/>
  <c r="W87" i="4"/>
  <c r="Y86" i="4"/>
  <c r="X86" i="4"/>
  <c r="W86" i="4"/>
  <c r="Z86" i="4" s="1" a="1"/>
  <c r="Z86" i="4" s="1"/>
  <c r="Y85" i="4"/>
  <c r="X85" i="4"/>
  <c r="W85" i="4"/>
  <c r="Z85" i="4" s="1" a="1"/>
  <c r="Z85" i="4" s="1"/>
  <c r="W84" i="4"/>
  <c r="W83" i="4"/>
  <c r="Z83" i="4" s="1" a="1"/>
  <c r="Z83" i="4" s="1"/>
  <c r="C92" i="4"/>
  <c r="C91" i="4"/>
  <c r="C90" i="4"/>
  <c r="C89" i="4"/>
  <c r="C88" i="4"/>
  <c r="C87" i="4"/>
  <c r="C86" i="4"/>
  <c r="C85" i="4"/>
  <c r="C84" i="4"/>
  <c r="C83" i="4"/>
  <c r="AC46" i="4" l="1"/>
  <c r="T2" i="4"/>
  <c r="AA93" i="4" a="1"/>
  <c r="AA93" i="4" s="1"/>
  <c r="AC93" i="4" s="1"/>
  <c r="AA92" i="4" a="1"/>
  <c r="AA92" i="4" s="1"/>
  <c r="AC92" i="4" s="1"/>
  <c r="AA98" i="4" a="1"/>
  <c r="AA98" i="4" s="1"/>
  <c r="AC98" i="4" s="1"/>
  <c r="AA96" i="4" a="1"/>
  <c r="AA96" i="4" s="1"/>
  <c r="AC96" i="4" s="1"/>
  <c r="AA99" i="4" a="1"/>
  <c r="AA99" i="4" s="1"/>
  <c r="AC99" i="4" s="1"/>
  <c r="AA95" i="4" a="1"/>
  <c r="AA95" i="4" s="1"/>
  <c r="AC95" i="4" s="1"/>
  <c r="AA97" i="4" a="1"/>
  <c r="AA97" i="4" s="1"/>
  <c r="AC97" i="4" s="1"/>
  <c r="Z94" i="4" a="1"/>
  <c r="Z94" i="4" s="1"/>
  <c r="AA94" i="4" s="1" a="1"/>
  <c r="AA94" i="4" s="1"/>
  <c r="AC94" i="4" s="1"/>
  <c r="AA86" i="4" a="1"/>
  <c r="AA86" i="4" s="1"/>
  <c r="AC86" i="4" s="1"/>
  <c r="AA89" i="4" a="1"/>
  <c r="AA89" i="4" s="1"/>
  <c r="AC89" i="4" s="1"/>
  <c r="AA91" i="4" a="1"/>
  <c r="AA91" i="4" s="1"/>
  <c r="AC91" i="4" s="1"/>
  <c r="AA85" i="4" a="1"/>
  <c r="AA85" i="4" s="1"/>
  <c r="AC85" i="4" s="1"/>
  <c r="Z84" i="4" a="1"/>
  <c r="Z84" i="4" s="1"/>
  <c r="Z90" i="4" a="1"/>
  <c r="Z90" i="4" s="1"/>
  <c r="AA90" i="4" s="1" a="1"/>
  <c r="AA90" i="4" s="1"/>
  <c r="AC90" i="4" s="1"/>
  <c r="Z87" i="4" a="1"/>
  <c r="Z87" i="4" s="1"/>
  <c r="AA87" i="4" s="1" a="1"/>
  <c r="AA87" i="4" s="1"/>
  <c r="AC87" i="4" s="1"/>
  <c r="AA88" i="4" a="1"/>
  <c r="AA88" i="4" s="1"/>
  <c r="AC88" i="4" s="1"/>
  <c r="Y79" i="4" l="1"/>
  <c r="X79" i="4"/>
  <c r="W79" i="4"/>
  <c r="Z79" i="4" s="1" a="1"/>
  <c r="Z79" i="4" s="1"/>
  <c r="Z73" i="4" a="1"/>
  <c r="Z73" i="4" s="1"/>
  <c r="Y73" i="4"/>
  <c r="X73" i="4"/>
  <c r="W73" i="4"/>
  <c r="Z72" i="4" a="1"/>
  <c r="Z72" i="4" s="1"/>
  <c r="Y72" i="4"/>
  <c r="X72" i="4"/>
  <c r="W72" i="4"/>
  <c r="Z71" i="4" a="1"/>
  <c r="Z71" i="4" s="1"/>
  <c r="Y71" i="4"/>
  <c r="X71" i="4"/>
  <c r="W71" i="4"/>
  <c r="Z70" i="4" a="1"/>
  <c r="Z70" i="4" s="1"/>
  <c r="Y70" i="4"/>
  <c r="X70" i="4"/>
  <c r="W70" i="4"/>
  <c r="Z69" i="4" a="1"/>
  <c r="Z69" i="4" s="1"/>
  <c r="Y69" i="4"/>
  <c r="X69" i="4"/>
  <c r="W69" i="4"/>
  <c r="Z68" i="4" a="1"/>
  <c r="Z68" i="4" s="1"/>
  <c r="Y68" i="4"/>
  <c r="X68" i="4"/>
  <c r="W68" i="4"/>
  <c r="Z67" i="4" a="1"/>
  <c r="Z67" i="4" s="1"/>
  <c r="Y67" i="4"/>
  <c r="X67" i="4"/>
  <c r="W67" i="4"/>
  <c r="Z66" i="4" a="1"/>
  <c r="Z66" i="4" s="1"/>
  <c r="Y66" i="4"/>
  <c r="X66" i="4"/>
  <c r="W66" i="4"/>
  <c r="Z65" i="4" a="1"/>
  <c r="Z65" i="4" s="1"/>
  <c r="Y65" i="4"/>
  <c r="X65" i="4"/>
  <c r="W65" i="4"/>
  <c r="Z64" i="4" a="1"/>
  <c r="Z64" i="4" s="1"/>
  <c r="Y64" i="4"/>
  <c r="X64" i="4"/>
  <c r="W64" i="4"/>
  <c r="W63" i="4"/>
  <c r="Y62" i="4"/>
  <c r="X62" i="4"/>
  <c r="W62" i="4"/>
  <c r="Z62" i="4" s="1" a="1"/>
  <c r="Z62" i="4" s="1"/>
  <c r="AA62" i="4" l="1" a="1"/>
  <c r="AA62" i="4" s="1"/>
  <c r="AC62" i="4" s="1"/>
  <c r="AA65" i="4" a="1"/>
  <c r="AA65" i="4" s="1"/>
  <c r="AC65" i="4" s="1"/>
  <c r="AA68" i="4" a="1"/>
  <c r="AA68" i="4" s="1"/>
  <c r="AC68" i="4" s="1"/>
  <c r="AA71" i="4" a="1"/>
  <c r="AA71" i="4" s="1"/>
  <c r="AC71" i="4" s="1"/>
  <c r="AA64" i="4" a="1"/>
  <c r="AA64" i="4" s="1"/>
  <c r="AC64" i="4" s="1"/>
  <c r="AA72" i="4" a="1"/>
  <c r="AA72" i="4" s="1"/>
  <c r="AC72" i="4" s="1"/>
  <c r="AA67" i="4" a="1"/>
  <c r="AA67" i="4" s="1"/>
  <c r="AC67" i="4" s="1"/>
  <c r="AA70" i="4" a="1"/>
  <c r="AA70" i="4" s="1"/>
  <c r="AC70" i="4" s="1"/>
  <c r="AA79" i="4" a="1"/>
  <c r="AA79" i="4" s="1"/>
  <c r="AC79" i="4" s="1"/>
  <c r="AA66" i="4" a="1"/>
  <c r="AA66" i="4" s="1"/>
  <c r="AC66" i="4" s="1"/>
  <c r="AA69" i="4" a="1"/>
  <c r="AA69" i="4" s="1"/>
  <c r="AC69" i="4" s="1"/>
  <c r="AA73" i="4" a="1"/>
  <c r="AA73" i="4" s="1"/>
  <c r="AC73" i="4" s="1"/>
  <c r="Z63" i="4" a="1"/>
  <c r="Z63" i="4" s="1"/>
  <c r="C58" i="4" l="1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Y58" i="4" l="1"/>
  <c r="Z58" i="4" a="1"/>
  <c r="Z58" i="4" s="1"/>
  <c r="Z57" i="4" a="1"/>
  <c r="Z57" i="4" s="1"/>
  <c r="Z56" i="4" a="1"/>
  <c r="Z56" i="4" s="1"/>
  <c r="Y82" i="4" l="1"/>
  <c r="Y75" i="4"/>
  <c r="Y76" i="4"/>
  <c r="Y81" i="4"/>
  <c r="Y77" i="4"/>
  <c r="Y78" i="4"/>
  <c r="Y80" i="4"/>
  <c r="Y74" i="4"/>
  <c r="X58" i="4" l="1"/>
  <c r="AA58" i="4" s="1" a="1"/>
  <c r="AA58" i="4" s="1"/>
  <c r="AC58" i="4" s="1"/>
  <c r="W77" i="4"/>
  <c r="X77" i="4"/>
  <c r="X75" i="4"/>
  <c r="W75" i="4"/>
  <c r="X81" i="4"/>
  <c r="W81" i="4"/>
  <c r="X74" i="4"/>
  <c r="W74" i="4"/>
  <c r="X80" i="4"/>
  <c r="W80" i="4"/>
  <c r="X78" i="4"/>
  <c r="W78" i="4"/>
  <c r="X82" i="4"/>
  <c r="W82" i="4"/>
  <c r="X76" i="4"/>
  <c r="W76" i="4"/>
  <c r="C59" i="4"/>
  <c r="C60" i="4"/>
  <c r="C61" i="4"/>
  <c r="W61" i="4"/>
  <c r="X61" i="4"/>
  <c r="Y61" i="4"/>
  <c r="Z61" i="4" a="1"/>
  <c r="Z61" i="4" s="1"/>
  <c r="C62" i="4"/>
  <c r="Z82" i="4" l="1" a="1"/>
  <c r="Z82" i="4" s="1"/>
  <c r="AA82" i="4" s="1" a="1"/>
  <c r="AA82" i="4" s="1"/>
  <c r="AC82" i="4" s="1"/>
  <c r="Z81" i="4" a="1"/>
  <c r="Z81" i="4" s="1"/>
  <c r="AA81" i="4" s="1" a="1"/>
  <c r="AA81" i="4" s="1"/>
  <c r="AC81" i="4" s="1"/>
  <c r="Z78" i="4" a="1"/>
  <c r="Z78" i="4" s="1"/>
  <c r="AA78" i="4" s="1" a="1"/>
  <c r="AA78" i="4" s="1"/>
  <c r="AC78" i="4" s="1"/>
  <c r="Z75" i="4" a="1"/>
  <c r="Z75" i="4" s="1"/>
  <c r="AA75" i="4" s="1" a="1"/>
  <c r="AA75" i="4" s="1"/>
  <c r="AC75" i="4" s="1"/>
  <c r="Z80" i="4" a="1"/>
  <c r="Z80" i="4" s="1"/>
  <c r="AA80" i="4" s="1" a="1"/>
  <c r="AA80" i="4" s="1"/>
  <c r="AC80" i="4" s="1"/>
  <c r="Z76" i="4" a="1"/>
  <c r="Z76" i="4" s="1"/>
  <c r="AA76" i="4" s="1" a="1"/>
  <c r="AA76" i="4" s="1"/>
  <c r="AC76" i="4" s="1"/>
  <c r="Z74" i="4" a="1"/>
  <c r="Z74" i="4" s="1"/>
  <c r="AA74" i="4" s="1" a="1"/>
  <c r="AA74" i="4" s="1"/>
  <c r="AC74" i="4" s="1"/>
  <c r="Z77" i="4" a="1"/>
  <c r="Z77" i="4" s="1"/>
  <c r="AA77" i="4" s="1" a="1"/>
  <c r="AA77" i="4" s="1"/>
  <c r="AC77" i="4" s="1"/>
  <c r="AA61" i="4" a="1"/>
  <c r="AA61" i="4" s="1"/>
  <c r="AC61" i="4" s="1"/>
  <c r="Y59" i="4" l="1"/>
  <c r="Y57" i="4"/>
  <c r="X57" i="4"/>
  <c r="Y56" i="4"/>
  <c r="X56" i="4"/>
  <c r="Y45" i="4"/>
  <c r="X45" i="4"/>
  <c r="Y44" i="4"/>
  <c r="X44" i="4"/>
  <c r="Y43" i="4"/>
  <c r="X43" i="4"/>
  <c r="Y42" i="4"/>
  <c r="X42" i="4"/>
  <c r="Y41" i="4"/>
  <c r="X41" i="4"/>
  <c r="Y40" i="4"/>
  <c r="X40" i="4"/>
  <c r="Y36" i="4"/>
  <c r="X36" i="4"/>
  <c r="Y33" i="4"/>
  <c r="X33" i="4"/>
  <c r="Y32" i="4"/>
  <c r="X32" i="4"/>
  <c r="Y28" i="4"/>
  <c r="X28" i="4"/>
  <c r="Y27" i="4"/>
  <c r="X27" i="4"/>
  <c r="Y26" i="4"/>
  <c r="X26" i="4"/>
  <c r="Y23" i="4"/>
  <c r="X23" i="4"/>
  <c r="Y22" i="4"/>
  <c r="X22" i="4"/>
  <c r="Y21" i="4"/>
  <c r="X21" i="4"/>
  <c r="Y20" i="4"/>
  <c r="X20" i="4"/>
  <c r="Y19" i="4"/>
  <c r="X19" i="4"/>
  <c r="Y18" i="4"/>
  <c r="X18" i="4"/>
  <c r="Y17" i="4"/>
  <c r="X17" i="4"/>
  <c r="Y15" i="4"/>
  <c r="X15" i="4"/>
  <c r="Y6" i="4"/>
  <c r="X6" i="4"/>
  <c r="X5" i="4"/>
  <c r="Y37" i="4"/>
  <c r="Y35" i="4"/>
  <c r="Y31" i="4"/>
  <c r="Y29" i="4"/>
  <c r="Y25" i="4"/>
  <c r="Y24" i="4"/>
  <c r="X59" i="4" l="1"/>
  <c r="W59" i="4"/>
  <c r="W2" i="4" s="1"/>
  <c r="W60" i="4"/>
  <c r="Y5" i="4"/>
  <c r="Y30" i="4"/>
  <c r="Y16" i="4"/>
  <c r="Y14" i="4"/>
  <c r="Y13" i="4"/>
  <c r="Y12" i="4"/>
  <c r="Y11" i="4"/>
  <c r="Y10" i="4"/>
  <c r="Y9" i="4"/>
  <c r="Y8" i="4"/>
  <c r="Y7" i="4"/>
  <c r="Y4" i="4"/>
  <c r="G29" i="7"/>
  <c r="H29" i="7" s="1"/>
  <c r="Z59" i="4" l="1" a="1"/>
  <c r="Z59" i="4" s="1"/>
  <c r="AA59" i="4" s="1" a="1"/>
  <c r="AA59" i="4" s="1"/>
  <c r="AC59" i="4" s="1"/>
  <c r="Z60" i="4" a="1"/>
  <c r="Z60" i="4" s="1"/>
  <c r="C57" i="4" l="1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R29" i="7"/>
  <c r="Q29" i="7"/>
  <c r="P29" i="7"/>
  <c r="M29" i="7"/>
  <c r="N29" i="7" s="1"/>
  <c r="B3" i="7"/>
  <c r="S29" i="7" l="1"/>
  <c r="T29" i="7" s="1"/>
  <c r="X34" i="4" l="1"/>
  <c r="AA34" i="4" s="1" a="1"/>
  <c r="AA34" i="4" s="1"/>
  <c r="Y34" i="4"/>
  <c r="Y47" i="4"/>
  <c r="X47" i="4"/>
  <c r="AA35" i="4" a="1"/>
  <c r="AA35" i="4" s="1"/>
  <c r="AA33" i="4" a="1"/>
  <c r="AA33" i="4" s="1"/>
  <c r="X48" i="4" l="1"/>
  <c r="Y48" i="4"/>
  <c r="AG4" i="4" l="1"/>
  <c r="AA57" i="4" l="1" a="1"/>
  <c r="AA57" i="4" s="1"/>
  <c r="AC57" i="4" s="1"/>
  <c r="Z55" i="4" l="1" a="1"/>
  <c r="Z55" i="4" s="1"/>
  <c r="AA56" i="4" l="1" a="1"/>
  <c r="AA56" i="4" s="1"/>
  <c r="AC56" i="4" l="1"/>
  <c r="Z50" i="4" l="1" a="1"/>
  <c r="Z50" i="4" s="1"/>
  <c r="Z54" i="4" a="1"/>
  <c r="Z54" i="4" s="1"/>
  <c r="C4" i="4"/>
  <c r="Z53" i="4" l="1" a="1"/>
  <c r="Z53" i="4" s="1"/>
  <c r="Z51" i="4" a="1"/>
  <c r="Z51" i="4" s="1"/>
  <c r="Z2" i="4" s="1"/>
  <c r="Z52" i="4" a="1"/>
  <c r="Z52" i="4" s="1"/>
  <c r="AA32" i="4" a="1"/>
  <c r="AA32" i="4" s="1"/>
  <c r="X10" i="4"/>
  <c r="AA10" i="4" s="1" a="1"/>
  <c r="AA10" i="4" s="1"/>
  <c r="X24" i="4"/>
  <c r="X13" i="4"/>
  <c r="AA13" i="4" s="1" a="1"/>
  <c r="AA13" i="4" s="1"/>
  <c r="X25" i="4"/>
  <c r="X37" i="4"/>
  <c r="X14" i="4"/>
  <c r="AA14" i="4" s="1" a="1"/>
  <c r="AA14" i="4" s="1"/>
  <c r="AA15" i="4" a="1"/>
  <c r="AA15" i="4" s="1"/>
  <c r="AA5" i="4" a="1"/>
  <c r="AA5" i="4" s="1"/>
  <c r="X16" i="4"/>
  <c r="AA16" i="4" s="1" a="1"/>
  <c r="AA16" i="4" s="1"/>
  <c r="AA6" i="4" a="1"/>
  <c r="AA6" i="4" s="1"/>
  <c r="X29" i="4"/>
  <c r="X7" i="4"/>
  <c r="AA7" i="4" s="1" a="1"/>
  <c r="AA7" i="4" s="1"/>
  <c r="X30" i="4"/>
  <c r="X8" i="4"/>
  <c r="X31" i="4"/>
  <c r="X9" i="4"/>
  <c r="AA9" i="4" s="1" a="1"/>
  <c r="AA9" i="4" s="1"/>
  <c r="AA8" i="4" l="1" a="1"/>
  <c r="AA8" i="4" s="1"/>
  <c r="AC8" i="4" s="1"/>
  <c r="AA37" i="4" a="1"/>
  <c r="AA37" i="4" s="1"/>
  <c r="AA42" i="4" a="1"/>
  <c r="AA42" i="4" s="1"/>
  <c r="AC42" i="4" s="1"/>
  <c r="AA25" i="4" a="1"/>
  <c r="AA25" i="4" s="1"/>
  <c r="AC25" i="4" s="1"/>
  <c r="AA45" i="4" a="1"/>
  <c r="AA45" i="4" s="1"/>
  <c r="AA30" i="4" a="1"/>
  <c r="AA30" i="4" s="1"/>
  <c r="AC30" i="4" s="1"/>
  <c r="AA21" i="4" a="1"/>
  <c r="AA21" i="4" s="1"/>
  <c r="AC21" i="4" s="1"/>
  <c r="AA18" i="4" a="1"/>
  <c r="AA18" i="4" s="1"/>
  <c r="AC18" i="4" s="1"/>
  <c r="AA27" i="4" a="1"/>
  <c r="AA27" i="4" s="1"/>
  <c r="AA47" i="4" a="1"/>
  <c r="AA47" i="4" s="1"/>
  <c r="AC47" i="4" s="1"/>
  <c r="AA41" i="4" a="1"/>
  <c r="AA41" i="4" s="1"/>
  <c r="AC41" i="4" s="1"/>
  <c r="AA24" i="4" a="1"/>
  <c r="AA24" i="4" s="1"/>
  <c r="AC24" i="4" s="1"/>
  <c r="AA44" i="4" a="1"/>
  <c r="AA44" i="4" s="1"/>
  <c r="AC44" i="4" s="1"/>
  <c r="AA29" i="4" a="1"/>
  <c r="AA29" i="4" s="1"/>
  <c r="AA17" i="4" a="1"/>
  <c r="AA17" i="4" s="1"/>
  <c r="AC17" i="4" s="1"/>
  <c r="AA43" i="4" a="1"/>
  <c r="AA43" i="4" s="1"/>
  <c r="AC43" i="4" s="1"/>
  <c r="AA26" i="4" a="1"/>
  <c r="AA26" i="4" s="1"/>
  <c r="AA31" i="4" a="1"/>
  <c r="AA31" i="4" s="1"/>
  <c r="AC31" i="4" s="1"/>
  <c r="AA40" i="4" a="1"/>
  <c r="AA40" i="4" s="1"/>
  <c r="AA19" i="4" a="1"/>
  <c r="AA19" i="4" s="1"/>
  <c r="AC19" i="4" s="1"/>
  <c r="AA28" i="4" a="1"/>
  <c r="AA28" i="4" s="1"/>
  <c r="AA48" i="4" a="1"/>
  <c r="AA48" i="4" s="1"/>
  <c r="AC48" i="4" s="1"/>
  <c r="AA22" i="4" a="1"/>
  <c r="AA22" i="4" s="1"/>
  <c r="AC22" i="4" s="1"/>
  <c r="AC7" i="4"/>
  <c r="AC15" i="4"/>
  <c r="AC6" i="4"/>
  <c r="AC16" i="4"/>
  <c r="AC9" i="4"/>
  <c r="AC14" i="4"/>
  <c r="AC5" i="4"/>
  <c r="AC13" i="4"/>
  <c r="AC10" i="4"/>
  <c r="AC35" i="4"/>
  <c r="AC32" i="4"/>
  <c r="AC34" i="4"/>
  <c r="AC33" i="4"/>
  <c r="AC26" i="4" l="1"/>
  <c r="AC29" i="4"/>
  <c r="AC27" i="4"/>
  <c r="AC40" i="4"/>
  <c r="AH4" i="4"/>
  <c r="AA20" i="4" a="1"/>
  <c r="AA20" i="4" s="1"/>
  <c r="X12" i="4"/>
  <c r="AA12" i="4" s="1" a="1"/>
  <c r="AA12" i="4" s="1"/>
  <c r="AA23" i="4" a="1"/>
  <c r="AA23" i="4" s="1"/>
  <c r="X11" i="4"/>
  <c r="AA11" i="4" s="1" a="1"/>
  <c r="AA11" i="4" s="1"/>
  <c r="AA36" i="4" a="1"/>
  <c r="AA36" i="4" s="1"/>
  <c r="AC28" i="4"/>
  <c r="AC45" i="4"/>
  <c r="AC37" i="4"/>
  <c r="AC20" i="4" l="1"/>
  <c r="AC12" i="4"/>
  <c r="AC23" i="4"/>
  <c r="AC11" i="4"/>
  <c r="AC36" i="4"/>
  <c r="X4" i="4" l="1"/>
  <c r="AA4" i="4" l="1" a="1"/>
  <c r="AA4" i="4" s="1"/>
  <c r="AC4" i="4" l="1"/>
  <c r="H44" i="7" l="1"/>
  <c r="D45" i="7"/>
  <c r="G39" i="7"/>
  <c r="G42" i="7"/>
  <c r="D9" i="7"/>
  <c r="F47" i="7"/>
  <c r="H43" i="7"/>
  <c r="F45" i="7"/>
  <c r="K14" i="7"/>
  <c r="D44" i="7"/>
  <c r="D42" i="7"/>
  <c r="K11" i="7"/>
  <c r="D38" i="7"/>
  <c r="K13" i="7"/>
  <c r="D41" i="7"/>
  <c r="K17" i="7"/>
  <c r="D40" i="7"/>
  <c r="L14" i="7"/>
  <c r="D39" i="7"/>
  <c r="H42" i="7"/>
  <c r="K9" i="7"/>
  <c r="L11" i="7"/>
  <c r="D37" i="7"/>
  <c r="L13" i="7"/>
  <c r="D43" i="7"/>
  <c r="L17" i="7"/>
  <c r="E43" i="7"/>
  <c r="K12" i="7"/>
  <c r="L9" i="7"/>
  <c r="D48" i="7"/>
  <c r="D36" i="7"/>
  <c r="L12" i="7"/>
  <c r="D17" i="7"/>
  <c r="D14" i="7"/>
  <c r="D16" i="7"/>
  <c r="P16" i="7" s="1"/>
  <c r="D12" i="7"/>
  <c r="P12" i="7" s="1"/>
  <c r="D15" i="7"/>
  <c r="P15" i="7" s="1"/>
  <c r="H46" i="7"/>
  <c r="H47" i="7"/>
  <c r="H41" i="7"/>
  <c r="E14" i="7"/>
  <c r="F14" i="7"/>
  <c r="G36" i="7"/>
  <c r="F12" i="7"/>
  <c r="E39" i="7"/>
  <c r="E15" i="7"/>
  <c r="F36" i="7"/>
  <c r="F39" i="7"/>
  <c r="E36" i="7"/>
  <c r="E12" i="7"/>
  <c r="G43" i="7"/>
  <c r="F43" i="7"/>
  <c r="M13" i="7" l="1"/>
  <c r="N13" i="7" s="1"/>
  <c r="M11" i="7"/>
  <c r="N11" i="7" s="1"/>
  <c r="M14" i="7"/>
  <c r="M12" i="7"/>
  <c r="N12" i="7" s="1"/>
  <c r="M17" i="7"/>
  <c r="G12" i="7"/>
  <c r="G14" i="7"/>
  <c r="F40" i="7"/>
  <c r="G44" i="7"/>
  <c r="G46" i="7"/>
  <c r="H40" i="7"/>
  <c r="E37" i="7"/>
  <c r="E47" i="7"/>
  <c r="H48" i="7"/>
  <c r="D11" i="7"/>
  <c r="P11" i="7" s="1"/>
  <c r="E48" i="7"/>
  <c r="F48" i="7"/>
  <c r="D47" i="7"/>
  <c r="F42" i="7"/>
  <c r="E45" i="7"/>
  <c r="G37" i="7"/>
  <c r="E44" i="7"/>
  <c r="E40" i="7"/>
  <c r="F37" i="7"/>
  <c r="H37" i="7"/>
  <c r="D46" i="7"/>
  <c r="E46" i="7"/>
  <c r="D13" i="7"/>
  <c r="P13" i="7" s="1"/>
  <c r="F13" i="7"/>
  <c r="R13" i="7" s="1"/>
  <c r="F10" i="7"/>
  <c r="D10" i="7"/>
  <c r="P10" i="7" s="1"/>
  <c r="G47" i="7"/>
  <c r="E10" i="7"/>
  <c r="E13" i="7"/>
  <c r="F46" i="7"/>
  <c r="F15" i="7"/>
  <c r="G15" i="7" s="1"/>
  <c r="E38" i="7"/>
  <c r="H45" i="7"/>
  <c r="H36" i="7"/>
  <c r="G38" i="7"/>
  <c r="F41" i="7"/>
  <c r="G48" i="7"/>
  <c r="H39" i="7"/>
  <c r="J39" i="7" s="1"/>
  <c r="E11" i="7"/>
  <c r="H38" i="7"/>
  <c r="P17" i="7"/>
  <c r="G40" i="7"/>
  <c r="G45" i="7"/>
  <c r="F44" i="7"/>
  <c r="G41" i="7"/>
  <c r="F11" i="7"/>
  <c r="R11" i="7" s="1"/>
  <c r="F38" i="7"/>
  <c r="E41" i="7"/>
  <c r="M9" i="7"/>
  <c r="P9" i="7"/>
  <c r="R14" i="7"/>
  <c r="Q12" i="7"/>
  <c r="Q14" i="7"/>
  <c r="J43" i="7"/>
  <c r="R12" i="7"/>
  <c r="D49" i="7" l="1"/>
  <c r="F49" i="7"/>
  <c r="G49" i="7"/>
  <c r="J36" i="7"/>
  <c r="H49" i="7"/>
  <c r="N14" i="7"/>
  <c r="G10" i="7"/>
  <c r="H10" i="7" s="1"/>
  <c r="Q11" i="7"/>
  <c r="G11" i="7"/>
  <c r="S11" i="7" s="1"/>
  <c r="T11" i="7" s="1"/>
  <c r="Q13" i="7"/>
  <c r="G13" i="7"/>
  <c r="H13" i="7" s="1"/>
  <c r="S14" i="7"/>
  <c r="J37" i="7"/>
  <c r="J48" i="7"/>
  <c r="S12" i="7"/>
  <c r="T12" i="7" s="1"/>
  <c r="J40" i="7"/>
  <c r="J46" i="7"/>
  <c r="J47" i="7"/>
  <c r="P14" i="7"/>
  <c r="J45" i="7"/>
  <c r="J18" i="7"/>
  <c r="J38" i="7"/>
  <c r="D18" i="7"/>
  <c r="N17" i="7"/>
  <c r="J44" i="7"/>
  <c r="J41" i="7"/>
  <c r="H12" i="7"/>
  <c r="N9" i="7"/>
  <c r="H15" i="7"/>
  <c r="H14" i="7"/>
  <c r="S13" i="7" l="1"/>
  <c r="T13" i="7" s="1"/>
  <c r="T14" i="7"/>
  <c r="P18" i="7"/>
  <c r="H11" i="7"/>
  <c r="Y63" i="4" l="1"/>
  <c r="X63" i="4"/>
  <c r="AA63" i="4" s="1" a="1"/>
  <c r="AA63" i="4" s="1"/>
  <c r="V2" i="4"/>
  <c r="Y38" i="4"/>
  <c r="X38" i="4"/>
  <c r="Y51" i="4"/>
  <c r="X51" i="4"/>
  <c r="AA51" i="4" s="1" a="1"/>
  <c r="AA51" i="4" s="1"/>
  <c r="Y49" i="4"/>
  <c r="X49" i="4"/>
  <c r="AA49" i="4" s="1" a="1"/>
  <c r="AA49" i="4" s="1"/>
  <c r="F17" i="7" s="1"/>
  <c r="R17" i="7" s="1"/>
  <c r="X52" i="4"/>
  <c r="AA52" i="4" s="1" a="1"/>
  <c r="AA52" i="4" s="1"/>
  <c r="Y52" i="4"/>
  <c r="Y54" i="4"/>
  <c r="X54" i="4"/>
  <c r="AA54" i="4" s="1" a="1"/>
  <c r="AA54" i="4" s="1"/>
  <c r="Y53" i="4"/>
  <c r="X53" i="4"/>
  <c r="AA53" i="4" s="1" a="1"/>
  <c r="AA53" i="4" s="1"/>
  <c r="X39" i="4"/>
  <c r="AA39" i="4" s="1" a="1"/>
  <c r="AA39" i="4" s="1"/>
  <c r="Y39" i="4"/>
  <c r="X83" i="4"/>
  <c r="AA83" i="4" s="1" a="1"/>
  <c r="AA83" i="4" s="1"/>
  <c r="Y83" i="4"/>
  <c r="X84" i="4"/>
  <c r="AA84" i="4" s="1" a="1"/>
  <c r="AA84" i="4" s="1"/>
  <c r="Y84" i="4"/>
  <c r="Y60" i="4"/>
  <c r="X60" i="4"/>
  <c r="AA60" i="4" s="1" a="1"/>
  <c r="AA60" i="4" s="1"/>
  <c r="Y50" i="4"/>
  <c r="X50" i="4"/>
  <c r="AA50" i="4" s="1" a="1"/>
  <c r="AA50" i="4" s="1"/>
  <c r="Y55" i="4"/>
  <c r="X55" i="4"/>
  <c r="AA55" i="4" s="1" a="1"/>
  <c r="AA55" i="4" s="1"/>
  <c r="X2" i="4" l="1"/>
  <c r="Y2" i="4"/>
  <c r="AC84" i="4"/>
  <c r="AC52" i="4"/>
  <c r="AC83" i="4"/>
  <c r="K15" i="7"/>
  <c r="AA38" i="4" a="1"/>
  <c r="AA38" i="4" s="1"/>
  <c r="AC55" i="4"/>
  <c r="AC50" i="4"/>
  <c r="F9" i="7"/>
  <c r="E9" i="7"/>
  <c r="AC49" i="4"/>
  <c r="E17" i="7"/>
  <c r="L15" i="7"/>
  <c r="R15" i="7" s="1"/>
  <c r="E16" i="7"/>
  <c r="AC39" i="4"/>
  <c r="AC60" i="4"/>
  <c r="L10" i="7"/>
  <c r="E42" i="7"/>
  <c r="K10" i="7"/>
  <c r="AC53" i="4"/>
  <c r="AC54" i="4"/>
  <c r="F57" i="7"/>
  <c r="E57" i="7"/>
  <c r="K26" i="7"/>
  <c r="D25" i="7"/>
  <c r="F58" i="7"/>
  <c r="G56" i="7"/>
  <c r="F24" i="7"/>
  <c r="D57" i="7"/>
  <c r="F28" i="7"/>
  <c r="E59" i="7"/>
  <c r="F56" i="7"/>
  <c r="K27" i="7"/>
  <c r="J24" i="7"/>
  <c r="L25" i="7"/>
  <c r="E25" i="7"/>
  <c r="L24" i="7"/>
  <c r="L26" i="7"/>
  <c r="G58" i="7"/>
  <c r="J26" i="7"/>
  <c r="D28" i="7"/>
  <c r="D59" i="7"/>
  <c r="H59" i="7"/>
  <c r="E27" i="7"/>
  <c r="E26" i="7"/>
  <c r="K25" i="7"/>
  <c r="G55" i="7"/>
  <c r="K24" i="7"/>
  <c r="E56" i="7"/>
  <c r="F55" i="7"/>
  <c r="H56" i="7"/>
  <c r="E24" i="7"/>
  <c r="D58" i="7"/>
  <c r="D24" i="7"/>
  <c r="G59" i="7"/>
  <c r="K28" i="7"/>
  <c r="F25" i="7"/>
  <c r="E55" i="7"/>
  <c r="H57" i="7"/>
  <c r="H55" i="7"/>
  <c r="G57" i="7"/>
  <c r="J25" i="7"/>
  <c r="F27" i="7"/>
  <c r="L27" i="7"/>
  <c r="L28" i="7"/>
  <c r="F26" i="7"/>
  <c r="D27" i="7"/>
  <c r="J28" i="7"/>
  <c r="D56" i="7"/>
  <c r="E28" i="7"/>
  <c r="H58" i="7"/>
  <c r="D26" i="7"/>
  <c r="E58" i="7"/>
  <c r="F59" i="7"/>
  <c r="D55" i="7"/>
  <c r="J27" i="7"/>
  <c r="AC51" i="4"/>
  <c r="AC63" i="4"/>
  <c r="L16" i="7"/>
  <c r="K16" i="7"/>
  <c r="AC38" i="4" l="1"/>
  <c r="AC2" i="4" s="1"/>
  <c r="AD2" i="4" s="1"/>
  <c r="AA2" i="4"/>
  <c r="R26" i="7"/>
  <c r="M16" i="7"/>
  <c r="N16" i="7" s="1"/>
  <c r="J56" i="7"/>
  <c r="M25" i="7"/>
  <c r="N25" i="7" s="1"/>
  <c r="R25" i="7"/>
  <c r="G60" i="7"/>
  <c r="J59" i="7"/>
  <c r="R27" i="7"/>
  <c r="F60" i="7"/>
  <c r="Q27" i="7"/>
  <c r="G27" i="7"/>
  <c r="H27" i="7" s="1"/>
  <c r="P26" i="7"/>
  <c r="G9" i="7"/>
  <c r="E18" i="7"/>
  <c r="Q9" i="7"/>
  <c r="D60" i="7"/>
  <c r="J55" i="7"/>
  <c r="M28" i="7"/>
  <c r="N28" i="7" s="1"/>
  <c r="Q16" i="7"/>
  <c r="G28" i="7"/>
  <c r="Q28" i="7"/>
  <c r="G26" i="7"/>
  <c r="H26" i="7" s="1"/>
  <c r="Q26" i="7"/>
  <c r="M24" i="7"/>
  <c r="K30" i="7"/>
  <c r="P24" i="7"/>
  <c r="D30" i="7"/>
  <c r="M27" i="7"/>
  <c r="N27" i="7" s="1"/>
  <c r="R9" i="7"/>
  <c r="J58" i="7"/>
  <c r="P25" i="7"/>
  <c r="M10" i="7"/>
  <c r="K18" i="7"/>
  <c r="Q10" i="7"/>
  <c r="P27" i="7"/>
  <c r="H60" i="7"/>
  <c r="M26" i="7"/>
  <c r="N26" i="7" s="1"/>
  <c r="L30" i="7"/>
  <c r="R28" i="7"/>
  <c r="E60" i="7"/>
  <c r="G25" i="7"/>
  <c r="Q25" i="7"/>
  <c r="J57" i="7"/>
  <c r="F16" i="7"/>
  <c r="R16" i="7" s="1"/>
  <c r="R24" i="7"/>
  <c r="F30" i="7"/>
  <c r="J42" i="7"/>
  <c r="J49" i="7" s="1"/>
  <c r="E49" i="7"/>
  <c r="Q17" i="7"/>
  <c r="G17" i="7"/>
  <c r="P28" i="7"/>
  <c r="J30" i="7"/>
  <c r="L18" i="7"/>
  <c r="R10" i="7"/>
  <c r="Q15" i="7"/>
  <c r="M15" i="7"/>
  <c r="E30" i="7"/>
  <c r="G24" i="7"/>
  <c r="H24" i="7" s="1"/>
  <c r="Q24" i="7"/>
  <c r="S25" i="7" l="1"/>
  <c r="T25" i="7" s="1"/>
  <c r="R30" i="7"/>
  <c r="Q18" i="7"/>
  <c r="S28" i="7"/>
  <c r="T28" i="7" s="1"/>
  <c r="N15" i="7"/>
  <c r="S15" i="7"/>
  <c r="T15" i="7" s="1"/>
  <c r="R18" i="7"/>
  <c r="M30" i="7"/>
  <c r="Q30" i="7"/>
  <c r="N24" i="7"/>
  <c r="N30" i="7" s="1"/>
  <c r="N10" i="7"/>
  <c r="S10" i="7"/>
  <c r="T10" i="7" s="1"/>
  <c r="M18" i="7"/>
  <c r="S27" i="7"/>
  <c r="T27" i="7" s="1"/>
  <c r="S9" i="7"/>
  <c r="H9" i="7"/>
  <c r="S24" i="7"/>
  <c r="G30" i="7"/>
  <c r="H25" i="7"/>
  <c r="S26" i="7"/>
  <c r="T26" i="7" s="1"/>
  <c r="J60" i="7"/>
  <c r="F18" i="7"/>
  <c r="H28" i="7"/>
  <c r="P30" i="7"/>
  <c r="G16" i="7"/>
  <c r="G18" i="7" s="1"/>
  <c r="H17" i="7"/>
  <c r="S17" i="7"/>
  <c r="T17" i="7" s="1"/>
  <c r="H30" i="7" l="1"/>
  <c r="H16" i="7"/>
  <c r="H18" i="7" s="1"/>
  <c r="S16" i="7"/>
  <c r="T16" i="7" s="1"/>
  <c r="T24" i="7"/>
  <c r="T30" i="7" s="1"/>
  <c r="S30" i="7"/>
  <c r="T9" i="7"/>
  <c r="N18" i="7"/>
  <c r="S18" i="7" l="1"/>
  <c r="T18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<sst xmlns="http://schemas.openxmlformats.org/spreadsheetml/2006/main" count="973" uniqueCount="175">
  <si>
    <t>PR Number</t>
  </si>
  <si>
    <t>PR Description</t>
  </si>
  <si>
    <t>Carryforward</t>
  </si>
  <si>
    <t>Total</t>
  </si>
  <si>
    <t>Project</t>
  </si>
  <si>
    <t>Relex</t>
  </si>
  <si>
    <t>F&amp;R Part2 Implementation (Relex Promo Optimization) Travel Expenses</t>
  </si>
  <si>
    <t>Business Intelligence</t>
  </si>
  <si>
    <t>PO Number</t>
  </si>
  <si>
    <t>PR Line</t>
  </si>
  <si>
    <t>PO Line</t>
  </si>
  <si>
    <t>Implementation</t>
  </si>
  <si>
    <t>Hardware</t>
  </si>
  <si>
    <t>1st Year of Revionics contract (Implementation &amp; SaaS License fees and Travel)</t>
  </si>
  <si>
    <t>Revionics</t>
  </si>
  <si>
    <t>Software License</t>
  </si>
  <si>
    <t>PR Amount</t>
  </si>
  <si>
    <t>PO Amount</t>
  </si>
  <si>
    <t>Received Amount</t>
  </si>
  <si>
    <t>Code</t>
  </si>
  <si>
    <t>Customer Data Platform (CDP) Implementation and Subscription</t>
  </si>
  <si>
    <t>COA</t>
  </si>
  <si>
    <t>Line Description</t>
  </si>
  <si>
    <t xml:space="preserve">Promotions Implementation Professional Services Fee (Relex Promo Optimization)  </t>
  </si>
  <si>
    <t xml:space="preserve">F&amp;R Part2 Implementation Professional Services Fee (Relex Fresh)  </t>
  </si>
  <si>
    <t xml:space="preserve">RELEX - Cheapest Item for Free &amp; Buy More Save More </t>
  </si>
  <si>
    <t xml:space="preserve">Consultancy services Katarina Guberinic - New Joiner  ( Duration 3 months and total working days 90 engagement period from 3rd Oct 2022 till 06 Jan 2023 </t>
  </si>
  <si>
    <t>01.01.000.8511.00000.55542.00.0000</t>
  </si>
  <si>
    <t>01.01.000.8450.00000.55542.00.0000</t>
  </si>
  <si>
    <t>01.01.000.8450.00000.55540.00.0000</t>
  </si>
  <si>
    <t>01.01.000.8452.00000.55542.00.0000</t>
  </si>
  <si>
    <t>01.01.000.8501.00000.55540.00.0000</t>
  </si>
  <si>
    <t>01.01.000.8513.00000.55540.00.0000</t>
  </si>
  <si>
    <t>01.01.000.8511.00000.55540.00.0000</t>
  </si>
  <si>
    <t>Status</t>
  </si>
  <si>
    <t>Open</t>
  </si>
  <si>
    <t>Cancelled</t>
  </si>
  <si>
    <t>Closed</t>
  </si>
  <si>
    <t>Project Name</t>
  </si>
  <si>
    <t>Activity Item</t>
  </si>
  <si>
    <t>Year</t>
  </si>
  <si>
    <t>PR Not Converted to PO</t>
  </si>
  <si>
    <t>Outstanding PO's</t>
  </si>
  <si>
    <t>Spend</t>
  </si>
  <si>
    <t>Reversal PR</t>
  </si>
  <si>
    <t>Committed</t>
  </si>
  <si>
    <t xml:space="preserve">Total Committed </t>
  </si>
  <si>
    <t>01.01.000.8484.00000.55542.00.0000</t>
  </si>
  <si>
    <t>Exhibit #1 Core HR  CRID070 - Oracle OD-SAL-12433535 Core HR, Talent Management, Workforce Comp &amp; E-Invoicing</t>
  </si>
  <si>
    <t>01.01.000.8484.00000.55540.00.0000</t>
  </si>
  <si>
    <t>HCM Core</t>
  </si>
  <si>
    <t>Consultancy</t>
  </si>
  <si>
    <t>Integration</t>
  </si>
  <si>
    <t>Relex Promo</t>
  </si>
  <si>
    <t>Relex Fresh</t>
  </si>
  <si>
    <t>Business Continuity - IT Infrastructure</t>
  </si>
  <si>
    <t>Current Date</t>
  </si>
  <si>
    <t>Aged Months</t>
  </si>
  <si>
    <t>Intervals</t>
  </si>
  <si>
    <t>Count Code</t>
  </si>
  <si>
    <t>Summary by Projects</t>
  </si>
  <si>
    <t>Y2023</t>
  </si>
  <si>
    <t>CarryForward</t>
  </si>
  <si>
    <t>Total Commitment</t>
  </si>
  <si>
    <t>Remaining</t>
  </si>
  <si>
    <t>Budget</t>
  </si>
  <si>
    <t>IT CAPEX Summary by Project</t>
  </si>
  <si>
    <t>Summary by Activity Items</t>
  </si>
  <si>
    <t>Ageing by Projects</t>
  </si>
  <si>
    <t>Ageing of Commitment</t>
  </si>
  <si>
    <t>3 Months</t>
  </si>
  <si>
    <t>6 Months</t>
  </si>
  <si>
    <t>9 Months</t>
  </si>
  <si>
    <t>12 Months</t>
  </si>
  <si>
    <t>&gt; 12 Months</t>
  </si>
  <si>
    <t>Ageing by Activity Items</t>
  </si>
  <si>
    <t>Y2024</t>
  </si>
  <si>
    <t>Y2024 Budget</t>
  </si>
  <si>
    <t>Date</t>
  </si>
  <si>
    <t>Relex Promo Optimization_Implementation_Extension_PO</t>
  </si>
  <si>
    <t>Surface Pro9 &amp; 999X5ET for SRD Team (Faisal Al Harbi)</t>
  </si>
  <si>
    <t>Panda Gift Cards Program</t>
  </si>
  <si>
    <t>01.01.000.8482.00000.55542.00.0000</t>
  </si>
  <si>
    <t>Finance Re-Engineering</t>
  </si>
  <si>
    <t>Ocado Smart Platform</t>
  </si>
  <si>
    <t>F&amp;R Part2 Implementation Professional Services Fee (Relex Fresh) Additional Cost - CMDB Ref: 13022718</t>
  </si>
  <si>
    <t>Etqan V1</t>
  </si>
  <si>
    <t>RMFCS Upgrade ( Analysis Phase)</t>
  </si>
  <si>
    <t>CC Name</t>
  </si>
  <si>
    <t xml:space="preserve">IT - Merchandise Operations </t>
  </si>
  <si>
    <t>IT - Point Of Sales</t>
  </si>
  <si>
    <t>IT - Business Intelligence and Data Management</t>
  </si>
  <si>
    <t>IT - End User Services</t>
  </si>
  <si>
    <t>IT - Infrastructure Operations</t>
  </si>
  <si>
    <t>IT - Human Resources</t>
  </si>
  <si>
    <t xml:space="preserve">IT - Finance </t>
  </si>
  <si>
    <t>Customer Data Platform</t>
  </si>
  <si>
    <t>RMFCS Upgrade</t>
  </si>
  <si>
    <t>DC 993, Riyadh - (Cabling installation)</t>
  </si>
  <si>
    <t>Memory</t>
  </si>
  <si>
    <t>Point of Sales</t>
  </si>
  <si>
    <t>Others</t>
  </si>
  <si>
    <t>Project Name - Budget</t>
  </si>
  <si>
    <t>Ocado</t>
  </si>
  <si>
    <t>Memory Project – CATMAN 2.0 Setup of management rules and the creation of segmentation tables</t>
  </si>
  <si>
    <t>01.01.000.8513.00000.55542.00.0000</t>
  </si>
  <si>
    <t xml:space="preserve">HCM Transformation Assessment - Consultancy Services - Duration ten months - 01 Mar- 2024 till 31- Dec- 2024 CMDB ref: (13034380) </t>
  </si>
  <si>
    <t>Memory Project – CATMAN 2.0 : Integrating the Market Share into the Dashboard Performance Module and into the Quickview section</t>
  </si>
  <si>
    <t xml:space="preserve">RMFCS Upgrade Phase 2 - Building Digital Core. (Activities and Deliverables: Design, Build, Test, Deployment, Transition &amp; Hyper Care) </t>
  </si>
  <si>
    <t>Relex Forecast and Replenishment (F&amp;R) Development</t>
  </si>
  <si>
    <t>Fusion HCM ODA 5 - Hyper Care Extension 1 month + 2 Custom Integration Extensions - ( SAL - 17457497 )</t>
  </si>
  <si>
    <t>Integrate POS with Unifonic for SMS service</t>
  </si>
  <si>
    <t>Ocado Smart Platform - ( Desktop )</t>
  </si>
  <si>
    <t>Ocado Smart Platform - ( Printer )</t>
  </si>
  <si>
    <t>Framework Agreement (FA) Cost for Ocado Smart Platform Period -  For RTE (Retail Test Environment for the period September-November-October-December)</t>
  </si>
  <si>
    <t>01.01.000.8511.00000.55520.00.0000</t>
  </si>
  <si>
    <t>Exhibit #2 HCM New Scope - Talent Mgmt (Performance, Goals &amp; Profile Mgmt), Workforce Comp, HR Helpdesk &amp; FAW HCM Analytics</t>
  </si>
  <si>
    <t xml:space="preserve">Exhibit #3 Property Billing  &amp; e-Invoicing 2nd Phase  </t>
  </si>
  <si>
    <t xml:space="preserve">Finance Re-Engineering - Consultancy Services - Duration nine  months - 01 April 2024 to 31 Dec 2024 </t>
  </si>
  <si>
    <t>CM1000 - Etqan 2.0 - Suppliers Hub - UI and UX Development Extra Efforts - Period : 126 working days ( CMDB Ref # 13035835 )</t>
  </si>
  <si>
    <t>DS1700 - IT Assets &amp; Accessories - Business Continuity - Laptops &amp; Desktops Ticket # SR-1097682</t>
  </si>
  <si>
    <t>DS1700 - IT Assets &amp; Accessories - Business Continuity - Accessories</t>
  </si>
  <si>
    <t>POS Integration with you Got A Gift System</t>
  </si>
  <si>
    <t>Etiqan - Design and Development of Interface</t>
  </si>
  <si>
    <t>DS1700 - IT Assets &amp; Accessories - Business Continuity - Mac Studio</t>
  </si>
  <si>
    <t>DS1700 - IT Assets &amp; Accessories - Business Continuity - Monitors</t>
  </si>
  <si>
    <t>Budget Date</t>
  </si>
  <si>
    <t>PR Approved Date</t>
  </si>
  <si>
    <t>01.01.000.8482.00000.55540.00.0000</t>
  </si>
  <si>
    <t>01.01.000.4650.00000.55542.00.0000</t>
  </si>
  <si>
    <t>01.01.000.4880.00000.55542.00.0000</t>
  </si>
  <si>
    <t>01.01.000.4010.00000.55542.00.0000</t>
  </si>
  <si>
    <t>Commercial - IT</t>
  </si>
  <si>
    <t>Stores - IT</t>
  </si>
  <si>
    <t>Relex Project</t>
  </si>
  <si>
    <t>Fusion Re-Engineering</t>
  </si>
  <si>
    <t>RMS</t>
  </si>
  <si>
    <t>Memory Project</t>
  </si>
  <si>
    <t>Etqan</t>
  </si>
  <si>
    <t>Var</t>
  </si>
  <si>
    <t>Price &amp; Information Web Scraping software</t>
  </si>
  <si>
    <t>Enhancement and reporting for Oracle Fusion Implemented HCM</t>
  </si>
  <si>
    <t>Relex Promo Optimization - Implementation 2nd Extension - Period : 01 Sep 2024 till 31 Jan 2025</t>
  </si>
  <si>
    <t>DS2278 Demo Scanner for IT use</t>
  </si>
  <si>
    <t>01.01.000.4510.00000.55542.00.0000</t>
  </si>
  <si>
    <t>Supply Chain - IT</t>
  </si>
  <si>
    <t>Y2025</t>
  </si>
  <si>
    <t>Etqan 2.0</t>
  </si>
  <si>
    <t>Etqan 1.0</t>
  </si>
  <si>
    <t>01.01.000.4772.00000.55542.00.0000</t>
  </si>
  <si>
    <t>Marketing - Pricing </t>
  </si>
  <si>
    <t>CM1000 - Etqan 2.0 - Suppliers Hub - Security Consultant</t>
  </si>
  <si>
    <t>OP1000 - POS Transformation Program - Phase 1</t>
  </si>
  <si>
    <t>01.01.000.4010.00000.55540.00.0000</t>
  </si>
  <si>
    <t>SN1100 - Panda Network Development All in One Platform</t>
  </si>
  <si>
    <t>01.01.000.8532.00000.55542.00.0000</t>
  </si>
  <si>
    <t>IT - Shared</t>
  </si>
  <si>
    <t>DS1700 - IT Assets &amp; Accessories - Business Continuity - UPS Battery Refresh – Savola Tower</t>
  </si>
  <si>
    <t>CM1000 - Etqan 2.0 - Suppliers Hub - Period: Apr 2025 till Jun 2025 (91 Days)</t>
  </si>
  <si>
    <t>MK1300 - Payment Methods Integration - Tamara</t>
  </si>
  <si>
    <t>Marketing – IT</t>
  </si>
  <si>
    <t>POS Transporformation Program</t>
  </si>
  <si>
    <t>IT Assets &amp; Accessories - Business Continuity</t>
  </si>
  <si>
    <t>Payment Methods Integration</t>
  </si>
  <si>
    <t>Panda Network Development All in One Platform</t>
  </si>
  <si>
    <t>Software</t>
  </si>
  <si>
    <t>IT - Finance</t>
  </si>
  <si>
    <t xml:space="preserve">MK1000 - Ocado - Ocado Passion Fruit - E Commerce Smart Platform </t>
  </si>
  <si>
    <t>FN1200 - Fixed Asset Tagging System</t>
  </si>
  <si>
    <t>New screen purchase for two users</t>
  </si>
  <si>
    <t>DS1700 - IT Assets &amp; Accessories - Business Continuity - UPS Battery Refresh – DC KAEC</t>
  </si>
  <si>
    <t>CM1000 - Etqan 2.0 - Suppliers Hub - Front-end Developer - Period:  Apr 2025 till Jun 2025</t>
  </si>
  <si>
    <t>Property Management System</t>
  </si>
  <si>
    <t>POS Enhancement for Aggregator Refund</t>
  </si>
  <si>
    <t>01.01.000.4510.00000.55540.00.0000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</si>
</sst>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[$-409]d\-mmm\-yyyy;@"/>
    <numFmt numFmtId="167" formatCode="_(* #,##0.0_);_(* \(#,##0.0\);_(* &quot;-&quot;?_);_(@_)"/>
  </numFmts>
  <fonts count="17" x14ac:knownFonts="1">
    <font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2"/>
      <color theme="1"/>
      <name val="Times New Roman"/>
      <family val="1"/>
    </font>
    <font>
      <b/>
      <sz val="16"/>
      <name val="Sakkal Majalla"/>
    </font>
    <font>
      <sz val="12"/>
      <name val="Sakkal Majalla"/>
    </font>
    <font>
      <b/>
      <sz val="12"/>
      <name val="Sakkal Majalla"/>
    </font>
    <font>
      <b/>
      <sz val="20"/>
      <name val="Sakkal Majalla"/>
    </font>
    <font>
      <b/>
      <i/>
      <sz val="15"/>
      <color theme="1"/>
      <name val="Sakkal Majalla"/>
    </font>
    <font>
      <sz val="12"/>
      <color theme="0"/>
      <name val="Sakkal Majalla"/>
    </font>
    <font>
      <b/>
      <sz val="11"/>
      <color theme="9" tint="0.59999389629810485"/>
      <name val="Sakkal Majalla"/>
    </font>
    <font>
      <b/>
      <sz val="12"/>
      <color theme="1"/>
      <name val="Sakkal Majalla"/>
    </font>
    <font>
      <sz val="12"/>
      <color theme="1"/>
      <name val="Sakkal Majalla"/>
    </font>
    <font>
      <sz val="12"/>
      <name val="Calibri"/>
      <family val="2"/>
    </font>
    <font>
      <b/>
      <sz val="1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 style="thin">
        <color theme="0" tint="-0.249977111117893"/>
      </left>
      <right/>
      <top style="thick">
        <color rgb="FFC00000"/>
      </top>
      <bottom/>
      <diagonal/>
    </border>
    <border>
      <left/>
      <right style="thin">
        <color theme="0" tint="-0.249977111117893"/>
      </right>
      <top style="thick">
        <color rgb="FFC00000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99">
    <xf numFmtId="0" fontId="0" fillId="0" borderId="0" xfId="0"/>
    <xf numFmtId="0" fontId="0" fillId="0" borderId="0" xfId="0" applyAlignment="1">
      <alignment horizontal="center"/>
    </xf>
    <xf numFmtId="165" fontId="0" fillId="0" borderId="0" xfId="2" applyNumberFormat="1" applyFont="1"/>
    <xf numFmtId="166" fontId="0" fillId="0" borderId="0" xfId="0" applyNumberFormat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166" fontId="3" fillId="4" borderId="0" xfId="0" applyNumberFormat="1" applyFont="1" applyFill="1" applyAlignment="1">
      <alignment horizontal="center" vertical="center" wrapText="1"/>
    </xf>
    <xf numFmtId="165" fontId="3" fillId="5" borderId="0" xfId="2" applyNumberFormat="1" applyFont="1" applyFill="1" applyAlignment="1">
      <alignment horizontal="center" vertical="center" wrapText="1"/>
    </xf>
    <xf numFmtId="165" fontId="3" fillId="6" borderId="0" xfId="2" applyNumberFormat="1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165" fontId="3" fillId="9" borderId="0" xfId="2" applyNumberFormat="1" applyFont="1" applyFill="1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horizontal="center"/>
    </xf>
    <xf numFmtId="166" fontId="0" fillId="4" borderId="0" xfId="0" applyNumberFormat="1" applyFill="1" applyAlignment="1">
      <alignment horizontal="center"/>
    </xf>
    <xf numFmtId="166" fontId="0" fillId="4" borderId="0" xfId="0" applyNumberFormat="1" applyFill="1" applyAlignment="1">
      <alignment horizontal="left"/>
    </xf>
    <xf numFmtId="165" fontId="0" fillId="4" borderId="0" xfId="2" applyNumberFormat="1" applyFont="1" applyFill="1"/>
    <xf numFmtId="165" fontId="0" fillId="4" borderId="0" xfId="2" applyNumberFormat="1" applyFont="1" applyFill="1" applyAlignment="1"/>
    <xf numFmtId="0" fontId="0" fillId="5" borderId="0" xfId="0" applyFill="1"/>
    <xf numFmtId="0" fontId="0" fillId="5" borderId="0" xfId="0" applyFill="1" applyAlignment="1">
      <alignment horizontal="center"/>
    </xf>
    <xf numFmtId="166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left"/>
    </xf>
    <xf numFmtId="165" fontId="0" fillId="5" borderId="0" xfId="2" applyNumberFormat="1" applyFont="1" applyFill="1" applyAlignment="1"/>
    <xf numFmtId="165" fontId="0" fillId="5" borderId="0" xfId="2" applyNumberFormat="1" applyFont="1" applyFill="1"/>
    <xf numFmtId="0" fontId="0" fillId="4" borderId="0" xfId="2" applyNumberFormat="1" applyFont="1" applyFill="1" applyAlignment="1">
      <alignment horizontal="center"/>
    </xf>
    <xf numFmtId="0" fontId="3" fillId="7" borderId="0" xfId="2" applyNumberFormat="1" applyFont="1" applyFill="1" applyAlignment="1">
      <alignment horizontal="center" vertical="center" wrapText="1"/>
    </xf>
    <xf numFmtId="0" fontId="0" fillId="5" borderId="0" xfId="2" applyNumberFormat="1" applyFont="1" applyFill="1" applyAlignment="1">
      <alignment horizontal="center"/>
    </xf>
    <xf numFmtId="0" fontId="0" fillId="0" borderId="0" xfId="2" applyNumberFormat="1" applyFont="1" applyAlignment="1">
      <alignment horizontal="center"/>
    </xf>
    <xf numFmtId="165" fontId="2" fillId="8" borderId="0" xfId="2" applyNumberFormat="1" applyFont="1" applyFill="1" applyAlignment="1">
      <alignment horizontal="center" vertical="center" wrapText="1"/>
    </xf>
    <xf numFmtId="165" fontId="0" fillId="4" borderId="0" xfId="2" applyNumberFormat="1" applyFont="1" applyFill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NumberFormat="1" applyFont="1" applyFill="1" applyBorder="1" applyAlignment="1">
      <alignment vertical="center" wrapText="1"/>
    </xf>
    <xf numFmtId="166" fontId="5" fillId="7" borderId="0" xfId="2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65" fontId="5" fillId="7" borderId="0" xfId="2" applyNumberFormat="1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2" xfId="0" applyFont="1" applyBorder="1"/>
    <xf numFmtId="0" fontId="7" fillId="0" borderId="2" xfId="0" applyFont="1" applyBorder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7" fillId="0" borderId="5" xfId="0" applyFont="1" applyBorder="1"/>
    <xf numFmtId="164" fontId="7" fillId="0" borderId="0" xfId="2" applyNumberFormat="1" applyFont="1" applyBorder="1" applyAlignment="1">
      <alignment horizontal="center"/>
    </xf>
    <xf numFmtId="0" fontId="8" fillId="2" borderId="8" xfId="0" applyFont="1" applyFill="1" applyBorder="1"/>
    <xf numFmtId="0" fontId="9" fillId="0" borderId="0" xfId="0" applyFont="1"/>
    <xf numFmtId="166" fontId="10" fillId="0" borderId="0" xfId="0" quotePrefix="1" applyNumberFormat="1" applyFont="1" applyAlignment="1">
      <alignment horizontal="left"/>
    </xf>
    <xf numFmtId="164" fontId="7" fillId="0" borderId="0" xfId="2" applyNumberFormat="1" applyFont="1" applyAlignment="1">
      <alignment horizontal="center"/>
    </xf>
    <xf numFmtId="165" fontId="7" fillId="0" borderId="0" xfId="2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7" fillId="0" borderId="0" xfId="0" applyNumberFormat="1" applyFont="1" applyAlignment="1">
      <alignment horizontal="center"/>
    </xf>
    <xf numFmtId="165" fontId="7" fillId="0" borderId="6" xfId="2" applyNumberFormat="1" applyFont="1" applyBorder="1" applyAlignment="1">
      <alignment horizontal="center"/>
    </xf>
    <xf numFmtId="165" fontId="7" fillId="0" borderId="0" xfId="2" applyNumberFormat="1" applyFont="1" applyBorder="1" applyAlignment="1">
      <alignment horizontal="center"/>
    </xf>
    <xf numFmtId="165" fontId="7" fillId="0" borderId="7" xfId="2" applyNumberFormat="1" applyFont="1" applyBorder="1" applyAlignment="1">
      <alignment horizontal="center"/>
    </xf>
    <xf numFmtId="165" fontId="7" fillId="0" borderId="0" xfId="0" applyNumberFormat="1" applyFont="1"/>
    <xf numFmtId="165" fontId="8" fillId="2" borderId="9" xfId="2" applyNumberFormat="1" applyFont="1" applyFill="1" applyBorder="1" applyAlignment="1">
      <alignment horizontal="center"/>
    </xf>
    <xf numFmtId="165" fontId="8" fillId="2" borderId="10" xfId="2" applyNumberFormat="1" applyFont="1" applyFill="1" applyBorder="1" applyAlignment="1">
      <alignment horizontal="center"/>
    </xf>
    <xf numFmtId="165" fontId="8" fillId="2" borderId="11" xfId="2" applyNumberFormat="1" applyFont="1" applyFill="1" applyBorder="1" applyAlignment="1">
      <alignment horizontal="center"/>
    </xf>
    <xf numFmtId="165" fontId="14" fillId="0" borderId="6" xfId="2" applyNumberFormat="1" applyFont="1" applyBorder="1" applyAlignment="1">
      <alignment horizontal="center" vertical="center"/>
    </xf>
    <xf numFmtId="165" fontId="14" fillId="0" borderId="0" xfId="2" applyNumberFormat="1" applyFont="1" applyBorder="1" applyAlignment="1">
      <alignment horizontal="center" vertical="center"/>
    </xf>
    <xf numFmtId="165" fontId="14" fillId="0" borderId="7" xfId="2" applyNumberFormat="1" applyFont="1" applyBorder="1" applyAlignment="1">
      <alignment horizontal="center" vertical="center"/>
    </xf>
    <xf numFmtId="165" fontId="14" fillId="0" borderId="5" xfId="2" applyNumberFormat="1" applyFont="1" applyBorder="1" applyAlignment="1">
      <alignment horizontal="center" vertical="center"/>
    </xf>
    <xf numFmtId="165" fontId="7" fillId="0" borderId="5" xfId="2" applyNumberFormat="1" applyFont="1" applyBorder="1" applyAlignment="1">
      <alignment horizontal="center"/>
    </xf>
    <xf numFmtId="165" fontId="8" fillId="2" borderId="8" xfId="2" applyNumberFormat="1" applyFont="1" applyFill="1" applyBorder="1" applyAlignment="1">
      <alignment horizontal="center"/>
    </xf>
    <xf numFmtId="165" fontId="7" fillId="0" borderId="6" xfId="2" applyNumberFormat="1" applyFont="1" applyBorder="1"/>
    <xf numFmtId="165" fontId="7" fillId="0" borderId="0" xfId="2" applyNumberFormat="1" applyFont="1" applyBorder="1"/>
    <xf numFmtId="165" fontId="7" fillId="0" borderId="7" xfId="2" applyNumberFormat="1" applyFont="1" applyBorder="1"/>
    <xf numFmtId="165" fontId="8" fillId="2" borderId="9" xfId="2" applyNumberFormat="1" applyFont="1" applyFill="1" applyBorder="1"/>
    <xf numFmtId="165" fontId="8" fillId="2" borderId="10" xfId="2" applyNumberFormat="1" applyFont="1" applyFill="1" applyBorder="1"/>
    <xf numFmtId="165" fontId="8" fillId="2" borderId="11" xfId="2" applyNumberFormat="1" applyFont="1" applyFill="1" applyBorder="1"/>
    <xf numFmtId="165" fontId="8" fillId="2" borderId="8" xfId="2" applyNumberFormat="1" applyFont="1" applyFill="1" applyBorder="1"/>
    <xf numFmtId="0" fontId="15" fillId="0" borderId="0" xfId="0" applyFont="1"/>
    <xf numFmtId="0" fontId="16" fillId="4" borderId="0" xfId="0" applyFont="1" applyFill="1"/>
    <xf numFmtId="166" fontId="16" fillId="5" borderId="0" xfId="0" applyNumberFormat="1" applyFont="1" applyFill="1" applyAlignment="1">
      <alignment horizontal="center"/>
    </xf>
    <xf numFmtId="43" fontId="7" fillId="0" borderId="0" xfId="2" applyFont="1" applyAlignment="1">
      <alignment horizontal="center"/>
    </xf>
    <xf numFmtId="165" fontId="0" fillId="4" borderId="0" xfId="0" applyNumberFormat="1" applyFill="1"/>
    <xf numFmtId="165" fontId="0" fillId="0" borderId="0" xfId="0" applyNumberFormat="1"/>
    <xf numFmtId="0" fontId="8" fillId="4" borderId="1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2" fontId="8" fillId="4" borderId="3" xfId="0" applyNumberFormat="1" applyFont="1" applyFill="1" applyBorder="1" applyAlignment="1">
      <alignment horizontal="centerContinuous"/>
    </xf>
    <xf numFmtId="2" fontId="8" fillId="4" borderId="2" xfId="0" applyNumberFormat="1" applyFont="1" applyFill="1" applyBorder="1" applyAlignment="1">
      <alignment horizontal="centerContinuous"/>
    </xf>
    <xf numFmtId="2" fontId="8" fillId="4" borderId="4" xfId="0" applyNumberFormat="1" applyFont="1" applyFill="1" applyBorder="1" applyAlignment="1">
      <alignment horizontal="centerContinuous"/>
    </xf>
    <xf numFmtId="0" fontId="8" fillId="5" borderId="6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Continuous"/>
    </xf>
    <xf numFmtId="0" fontId="13" fillId="4" borderId="5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4" borderId="0" xfId="0" applyFont="1" applyFill="1" applyAlignment="1">
      <alignment horizontal="left" vertical="center" wrapText="1"/>
    </xf>
    <xf numFmtId="165" fontId="0" fillId="4" borderId="0" xfId="0" applyNumberFormat="1" applyFill="1" applyAlignment="1">
      <alignment horizontal="left"/>
    </xf>
    <xf numFmtId="0" fontId="0" fillId="5" borderId="0" xfId="0" applyFill="1" applyAlignment="1">
      <alignment horizontal="left"/>
    </xf>
    <xf numFmtId="165" fontId="7" fillId="0" borderId="0" xfId="0" applyNumberFormat="1" applyFont="1" applyAlignment="1">
      <alignment horizontal="center"/>
    </xf>
    <xf numFmtId="43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left"/>
    </xf>
    <xf numFmtId="166" fontId="3" fillId="4" borderId="0" xfId="0" applyNumberFormat="1" applyFont="1" applyFill="1" applyAlignment="1">
      <alignment horizontal="left" vertical="center" wrapText="1"/>
    </xf>
    <xf numFmtId="0" fontId="3" fillId="6" borderId="0" xfId="0" applyFont="1" applyFill="1" applyAlignment="1">
      <alignment horizontal="center" vertical="center"/>
    </xf>
    <xf numFmtId="165" fontId="0" fillId="5" borderId="0" xfId="2" applyNumberFormat="1" applyFont="1" applyFill="1" applyBorder="1" applyAlignment="1"/>
    <xf numFmtId="0" fontId="0" fillId="5" borderId="0" xfId="2" applyNumberFormat="1" applyFont="1" applyFill="1" applyBorder="1" applyAlignment="1">
      <alignment horizontal="center"/>
    </xf>
    <xf numFmtId="165" fontId="0" fillId="5" borderId="0" xfId="2" applyNumberFormat="1" applyFont="1" applyFill="1" applyBorder="1"/>
    <xf numFmtId="165" fontId="0" fillId="0" borderId="0" xfId="2" applyNumberFormat="1" applyFont="1" applyAlignment="1">
      <alignment horizontal="center"/>
    </xf>
  </cellXfs>
  <cellStyles count="3">
    <cellStyle name="Comma" xfId="2" builtinId="3"/>
    <cellStyle name="Comma 2" xfId="1" xr:uid="{35655A65-ABE7-4451-A833-A6BA28F4D49B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8394-DAEF-406E-A047-ADF8D5F78183}">
  <sheetPr>
    <tabColor theme="9" tint="0.79998168889431442"/>
  </sheetPr>
  <dimension ref="B1:T80"/>
  <sheetViews>
    <sheetView showGridLines="0" tabSelected="1" zoomScale="90" zoomScaleNormal="90" workbookViewId="0">
      <pane xSplit="2" ySplit="8" topLeftCell="D9" activePane="bottomRight" state="frozen"/>
      <selection pane="topRight" activeCell="C1" sqref="C1"/>
      <selection pane="bottomLeft" activeCell="A9" sqref="A9"/>
      <selection pane="bottomRight" activeCell="G89" sqref="G89"/>
    </sheetView>
  </sheetViews>
  <sheetFormatPr defaultColWidth="8.73046875" defaultRowHeight="18.399999999999999" x14ac:dyDescent="0.85"/>
  <cols>
    <col min="1" max="1" width="1.53125" style="35" customWidth="1"/>
    <col min="2" max="2" width="34.265625" style="35" customWidth="1"/>
    <col min="3" max="3" width="0.46484375" style="35" customWidth="1"/>
    <col min="4" max="6" width="12.59765625" style="36" customWidth="1"/>
    <col min="7" max="7" width="14.59765625" style="36" customWidth="1"/>
    <col min="8" max="8" width="12.59765625" style="36" customWidth="1"/>
    <col min="9" max="9" width="0.46484375" style="35" customWidth="1"/>
    <col min="10" max="12" width="12.59765625" style="36" customWidth="1"/>
    <col min="13" max="13" width="14.59765625" style="36" customWidth="1"/>
    <col min="14" max="14" width="12.59765625" style="36" customWidth="1"/>
    <col min="15" max="15" width="0.46484375" style="35" customWidth="1"/>
    <col min="16" max="18" width="12.59765625" style="36" customWidth="1"/>
    <col min="19" max="19" width="14.59765625" style="36" customWidth="1"/>
    <col min="20" max="20" width="12.59765625" style="36" customWidth="1"/>
    <col min="21" max="16384" width="8.73046875" style="35"/>
  </cols>
  <sheetData>
    <row r="1" spans="2:20" ht="9" customHeight="1" x14ac:dyDescent="0.85"/>
    <row r="2" spans="2:20" ht="29.25" x14ac:dyDescent="1.25">
      <c r="B2" s="44" t="s">
        <v>66</v>
      </c>
    </row>
    <row r="3" spans="2:20" ht="22.15" x14ac:dyDescent="0.95">
      <c r="B3" s="45">
        <f>Month!C4</f>
        <v>45777</v>
      </c>
    </row>
    <row r="4" spans="2:20" ht="10.5" customHeight="1" x14ac:dyDescent="0.85"/>
    <row r="5" spans="2:20" ht="24" x14ac:dyDescent="1.05">
      <c r="B5" s="34" t="s">
        <v>60</v>
      </c>
    </row>
    <row r="6" spans="2:20" ht="4.5" customHeight="1" thickBot="1" x14ac:dyDescent="0.9"/>
    <row r="7" spans="2:20" ht="18.75" thickTop="1" x14ac:dyDescent="0.85">
      <c r="B7" s="76"/>
      <c r="C7" s="37"/>
      <c r="D7" s="78" t="s">
        <v>76</v>
      </c>
      <c r="E7" s="79"/>
      <c r="F7" s="79"/>
      <c r="G7" s="79"/>
      <c r="H7" s="80"/>
      <c r="I7" s="37"/>
      <c r="J7" s="78" t="s">
        <v>146</v>
      </c>
      <c r="K7" s="79"/>
      <c r="L7" s="79"/>
      <c r="M7" s="79"/>
      <c r="N7" s="80"/>
      <c r="O7" s="37"/>
      <c r="P7" s="78" t="s">
        <v>3</v>
      </c>
      <c r="Q7" s="79"/>
      <c r="R7" s="79"/>
      <c r="S7" s="79"/>
      <c r="T7" s="80"/>
    </row>
    <row r="8" spans="2:20" x14ac:dyDescent="0.85">
      <c r="B8" s="77" t="s">
        <v>4</v>
      </c>
      <c r="C8" s="39"/>
      <c r="D8" s="81" t="s">
        <v>62</v>
      </c>
      <c r="E8" s="82" t="s">
        <v>43</v>
      </c>
      <c r="F8" s="82" t="s">
        <v>45</v>
      </c>
      <c r="G8" s="82" t="s">
        <v>63</v>
      </c>
      <c r="H8" s="83" t="s">
        <v>64</v>
      </c>
      <c r="I8" s="40"/>
      <c r="J8" s="81" t="s">
        <v>65</v>
      </c>
      <c r="K8" s="82" t="s">
        <v>43</v>
      </c>
      <c r="L8" s="82" t="s">
        <v>45</v>
      </c>
      <c r="M8" s="82" t="s">
        <v>63</v>
      </c>
      <c r="N8" s="83" t="s">
        <v>64</v>
      </c>
      <c r="O8" s="40"/>
      <c r="P8" s="81" t="s">
        <v>65</v>
      </c>
      <c r="Q8" s="82" t="s">
        <v>43</v>
      </c>
      <c r="R8" s="82" t="s">
        <v>45</v>
      </c>
      <c r="S8" s="82" t="s">
        <v>63</v>
      </c>
      <c r="T8" s="83" t="s">
        <v>64</v>
      </c>
    </row>
    <row r="9" spans="2:20" x14ac:dyDescent="0.85">
      <c r="B9" s="41" t="s">
        <v>101</v>
      </c>
      <c r="D9" s="50">
        <f>SUMIFS('PR Data'!$R:$R,'PR Data'!$U:$U,$B9,'PR Data'!$S:$S,$D$7)</f>
        <v>3935274.5088939071</v>
      </c>
      <c r="E9" s="51">
        <f>SUMIFS('PR Data'!$Y:$Y,'PR Data'!$U:$U,$B9,'PR Data'!$S:$S,$D$7)</f>
        <v>1707933.6588930788</v>
      </c>
      <c r="F9" s="51">
        <f>SUMIFS('PR Data'!$AA:$AA,'PR Data'!$U:$U,$B9,'PR Data'!$S:$S,$D$7)</f>
        <v>1996100.850000828</v>
      </c>
      <c r="G9" s="51">
        <f>SUM(E9:F9)</f>
        <v>3704034.5088939071</v>
      </c>
      <c r="H9" s="52">
        <f t="shared" ref="H9:H17" si="0">D9-G9</f>
        <v>231240</v>
      </c>
      <c r="I9" s="53"/>
      <c r="J9" s="50">
        <v>0</v>
      </c>
      <c r="K9" s="51">
        <f>SUMIFS('PR Data'!$Y:$Y,'PR Data'!$U:$U,$B9,'PR Data'!$S:$S,$J$7)</f>
        <v>0</v>
      </c>
      <c r="L9" s="51">
        <f>SUMIFS('PR Data'!$AA:$AA,'PR Data'!$U:$U,$B9,'PR Data'!$S:$S,$J$7)</f>
        <v>249480</v>
      </c>
      <c r="M9" s="51">
        <f>SUM(K9:L9)</f>
        <v>249480</v>
      </c>
      <c r="N9" s="52">
        <f t="shared" ref="N9:N17" si="1">J9-M9</f>
        <v>-249480</v>
      </c>
      <c r="O9" s="53"/>
      <c r="P9" s="50">
        <f t="shared" ref="P9:P17" si="2">D9+J9</f>
        <v>3935274.5088939071</v>
      </c>
      <c r="Q9" s="51">
        <f t="shared" ref="Q9:Q17" si="3">E9+K9</f>
        <v>1707933.6588930788</v>
      </c>
      <c r="R9" s="51">
        <f t="shared" ref="R9:R17" si="4">F9+L9</f>
        <v>2245580.850000828</v>
      </c>
      <c r="S9" s="51">
        <f t="shared" ref="S9:S17" si="5">G9+M9</f>
        <v>3953514.5088939071</v>
      </c>
      <c r="T9" s="52">
        <f t="shared" ref="T9:T17" si="6">P9-S9</f>
        <v>-18240</v>
      </c>
    </row>
    <row r="10" spans="2:20" x14ac:dyDescent="0.85">
      <c r="B10" s="41" t="s">
        <v>50</v>
      </c>
      <c r="D10" s="50">
        <f>SUMIFS('PR Data'!$R:$R,'PR Data'!$U:$U,$B10,'PR Data'!$S:$S,$D$7)</f>
        <v>1550460</v>
      </c>
      <c r="E10" s="51">
        <f>SUMIFS('PR Data'!$Y:$Y,'PR Data'!$U:$U,$B10,'PR Data'!$S:$S,$D$7)</f>
        <v>898290</v>
      </c>
      <c r="F10" s="51">
        <f>SUMIFS('PR Data'!$AA:$AA,'PR Data'!$U:$U,$B10,'PR Data'!$S:$S,$D$7)</f>
        <v>0</v>
      </c>
      <c r="G10" s="51">
        <f t="shared" ref="G10:G17" si="7">SUM(E10:F10)</f>
        <v>898290</v>
      </c>
      <c r="H10" s="52">
        <f t="shared" si="0"/>
        <v>652170</v>
      </c>
      <c r="I10" s="53"/>
      <c r="J10" s="50">
        <v>0</v>
      </c>
      <c r="K10" s="51">
        <f>SUMIFS('PR Data'!$Y:$Y,'PR Data'!$U:$U,$B10,'PR Data'!$S:$S,$J$7)</f>
        <v>337762</v>
      </c>
      <c r="L10" s="51">
        <f>SUMIFS('PR Data'!$AA:$AA,'PR Data'!$U:$U,$B10,'PR Data'!$S:$S,$J$7)</f>
        <v>285938</v>
      </c>
      <c r="M10" s="51">
        <f t="shared" ref="M10:M17" si="8">SUM(K10:L10)</f>
        <v>623700</v>
      </c>
      <c r="N10" s="52">
        <f t="shared" si="1"/>
        <v>-623700</v>
      </c>
      <c r="O10" s="53"/>
      <c r="P10" s="50">
        <f t="shared" si="2"/>
        <v>1550460</v>
      </c>
      <c r="Q10" s="51">
        <f t="shared" si="3"/>
        <v>1236052</v>
      </c>
      <c r="R10" s="51">
        <f t="shared" si="4"/>
        <v>285938</v>
      </c>
      <c r="S10" s="51">
        <f t="shared" si="5"/>
        <v>1521990</v>
      </c>
      <c r="T10" s="52">
        <f t="shared" si="6"/>
        <v>28470</v>
      </c>
    </row>
    <row r="11" spans="2:20" x14ac:dyDescent="0.85">
      <c r="B11" s="41" t="s">
        <v>134</v>
      </c>
      <c r="D11" s="50">
        <f>SUMIFS('PR Data'!$R:$R,'PR Data'!$U:$U,$B11,'PR Data'!$S:$S,$D$7)</f>
        <v>152435.88785237999</v>
      </c>
      <c r="E11" s="51">
        <f>SUMIFS('PR Data'!$Y:$Y,'PR Data'!$U:$U,$B11,'PR Data'!$S:$S,$D$7)</f>
        <v>77435.887852379979</v>
      </c>
      <c r="F11" s="51">
        <f>SUMIFS('PR Data'!$AA:$AA,'PR Data'!$U:$U,$B11,'PR Data'!$S:$S,$D$7)</f>
        <v>75000</v>
      </c>
      <c r="G11" s="51">
        <f t="shared" si="7"/>
        <v>152435.88785237999</v>
      </c>
      <c r="H11" s="52">
        <f t="shared" si="0"/>
        <v>0</v>
      </c>
      <c r="I11" s="53"/>
      <c r="J11" s="50">
        <v>0</v>
      </c>
      <c r="K11" s="51">
        <f>SUMIFS('PR Data'!$Y:$Y,'PR Data'!$U:$U,$B11,'PR Data'!$S:$S,$J$7)</f>
        <v>58125</v>
      </c>
      <c r="L11" s="51">
        <f>SUMIFS('PR Data'!$AA:$AA,'PR Data'!$U:$U,$B11,'PR Data'!$S:$S,$J$7)</f>
        <v>0</v>
      </c>
      <c r="M11" s="51">
        <f t="shared" si="8"/>
        <v>58125</v>
      </c>
      <c r="N11" s="52">
        <f t="shared" si="1"/>
        <v>-58125</v>
      </c>
      <c r="O11" s="53"/>
      <c r="P11" s="50">
        <f t="shared" si="2"/>
        <v>152435.88785237999</v>
      </c>
      <c r="Q11" s="51">
        <f t="shared" si="3"/>
        <v>135560.88785237999</v>
      </c>
      <c r="R11" s="51">
        <f t="shared" si="4"/>
        <v>75000</v>
      </c>
      <c r="S11" s="51">
        <f t="shared" si="5"/>
        <v>210560.88785237999</v>
      </c>
      <c r="T11" s="52">
        <f t="shared" si="6"/>
        <v>-58125</v>
      </c>
    </row>
    <row r="12" spans="2:20" x14ac:dyDescent="0.85">
      <c r="B12" s="41" t="s">
        <v>83</v>
      </c>
      <c r="D12" s="50">
        <f>SUMIFS('PR Data'!$R:$R,'PR Data'!$U:$U,$B12,'PR Data'!$S:$S,$D$7)</f>
        <v>2197500</v>
      </c>
      <c r="E12" s="51">
        <f>SUMIFS('PR Data'!$Y:$Y,'PR Data'!$U:$U,$B12,'PR Data'!$S:$S,$D$7)</f>
        <v>281250</v>
      </c>
      <c r="F12" s="51">
        <f>SUMIFS('PR Data'!$AA:$AA,'PR Data'!$U:$U,$B12,'PR Data'!$S:$S,$D$7)</f>
        <v>1916250</v>
      </c>
      <c r="G12" s="51">
        <f t="shared" si="7"/>
        <v>2197500</v>
      </c>
      <c r="H12" s="52">
        <f t="shared" si="0"/>
        <v>0</v>
      </c>
      <c r="I12" s="53"/>
      <c r="J12" s="50">
        <v>0</v>
      </c>
      <c r="K12" s="51">
        <f>SUMIFS('PR Data'!$Y:$Y,'PR Data'!$U:$U,$B12,'PR Data'!$S:$S,$J$7)</f>
        <v>0</v>
      </c>
      <c r="L12" s="51">
        <f>SUMIFS('PR Data'!$AA:$AA,'PR Data'!$U:$U,$B12,'PR Data'!$S:$S,$J$7)</f>
        <v>1083662</v>
      </c>
      <c r="M12" s="51">
        <f t="shared" si="8"/>
        <v>1083662</v>
      </c>
      <c r="N12" s="52">
        <f t="shared" si="1"/>
        <v>-1083662</v>
      </c>
      <c r="O12" s="53"/>
      <c r="P12" s="50">
        <f t="shared" si="2"/>
        <v>2197500</v>
      </c>
      <c r="Q12" s="51">
        <f t="shared" si="3"/>
        <v>281250</v>
      </c>
      <c r="R12" s="51">
        <f t="shared" si="4"/>
        <v>2999912</v>
      </c>
      <c r="S12" s="51">
        <f t="shared" si="5"/>
        <v>3281162</v>
      </c>
      <c r="T12" s="52">
        <f t="shared" si="6"/>
        <v>-1083662</v>
      </c>
    </row>
    <row r="13" spans="2:20" x14ac:dyDescent="0.85">
      <c r="B13" s="41" t="s">
        <v>136</v>
      </c>
      <c r="D13" s="50">
        <f>SUMIFS('PR Data'!$R:$R,'PR Data'!$U:$U,$B13,'PR Data'!$S:$S,$D$7)</f>
        <v>3576375</v>
      </c>
      <c r="E13" s="51">
        <f>SUMIFS('PR Data'!$Y:$Y,'PR Data'!$U:$U,$B13,'PR Data'!$S:$S,$D$7)</f>
        <v>0</v>
      </c>
      <c r="F13" s="51">
        <f>SUMIFS('PR Data'!$AA:$AA,'PR Data'!$U:$U,$B13,'PR Data'!$S:$S,$D$7)</f>
        <v>3576375</v>
      </c>
      <c r="G13" s="51">
        <f t="shared" si="7"/>
        <v>3576375</v>
      </c>
      <c r="H13" s="52">
        <f t="shared" si="0"/>
        <v>0</v>
      </c>
      <c r="I13" s="53"/>
      <c r="J13" s="50">
        <v>0</v>
      </c>
      <c r="K13" s="51">
        <f>SUMIFS('PR Data'!$Y:$Y,'PR Data'!$U:$U,$B13,'PR Data'!$S:$S,$J$7)</f>
        <v>0</v>
      </c>
      <c r="L13" s="51">
        <f>SUMIFS('PR Data'!$AA:$AA,'PR Data'!$U:$U,$B13,'PR Data'!$S:$S,$J$7)</f>
        <v>0</v>
      </c>
      <c r="M13" s="51">
        <f t="shared" si="8"/>
        <v>0</v>
      </c>
      <c r="N13" s="52">
        <f t="shared" si="1"/>
        <v>0</v>
      </c>
      <c r="O13" s="53"/>
      <c r="P13" s="50">
        <f t="shared" si="2"/>
        <v>3576375</v>
      </c>
      <c r="Q13" s="51">
        <f t="shared" si="3"/>
        <v>0</v>
      </c>
      <c r="R13" s="51">
        <f t="shared" si="4"/>
        <v>3576375</v>
      </c>
      <c r="S13" s="51">
        <f t="shared" si="5"/>
        <v>3576375</v>
      </c>
      <c r="T13" s="52">
        <f t="shared" si="6"/>
        <v>0</v>
      </c>
    </row>
    <row r="14" spans="2:20" x14ac:dyDescent="0.85">
      <c r="B14" s="41" t="s">
        <v>99</v>
      </c>
      <c r="D14" s="50">
        <f>SUMIFS('PR Data'!$R:$R,'PR Data'!$U:$U,$B14,'PR Data'!$S:$S,$D$7)</f>
        <v>75930.648381000006</v>
      </c>
      <c r="E14" s="51">
        <f>SUMIFS('PR Data'!$Y:$Y,'PR Data'!$U:$U,$B14,'PR Data'!$S:$S,$D$7)</f>
        <v>75930.648381000006</v>
      </c>
      <c r="F14" s="51">
        <f>SUMIFS('PR Data'!$AA:$AA,'PR Data'!$U:$U,$B14,'PR Data'!$S:$S,$D$7)</f>
        <v>0</v>
      </c>
      <c r="G14" s="51">
        <f t="shared" si="7"/>
        <v>75930.648381000006</v>
      </c>
      <c r="H14" s="52">
        <f t="shared" si="0"/>
        <v>0</v>
      </c>
      <c r="I14" s="53"/>
      <c r="J14" s="50">
        <v>0</v>
      </c>
      <c r="K14" s="51">
        <f>SUMIFS('PR Data'!$Y:$Y,'PR Data'!$U:$U,$B14,'PR Data'!$S:$S,$J$7)</f>
        <v>0</v>
      </c>
      <c r="L14" s="51">
        <f>SUMIFS('PR Data'!$AA:$AA,'PR Data'!$U:$U,$B14,'PR Data'!$S:$S,$J$7)</f>
        <v>0</v>
      </c>
      <c r="M14" s="51">
        <f t="shared" si="8"/>
        <v>0</v>
      </c>
      <c r="N14" s="52">
        <f t="shared" si="1"/>
        <v>0</v>
      </c>
      <c r="O14" s="53"/>
      <c r="P14" s="50">
        <f t="shared" si="2"/>
        <v>75930.648381000006</v>
      </c>
      <c r="Q14" s="51">
        <f t="shared" si="3"/>
        <v>75930.648381000006</v>
      </c>
      <c r="R14" s="51">
        <f t="shared" si="4"/>
        <v>0</v>
      </c>
      <c r="S14" s="51">
        <f t="shared" si="5"/>
        <v>75930.648381000006</v>
      </c>
      <c r="T14" s="52">
        <f t="shared" si="6"/>
        <v>0</v>
      </c>
    </row>
    <row r="15" spans="2:20" x14ac:dyDescent="0.85">
      <c r="B15" s="41" t="s">
        <v>103</v>
      </c>
      <c r="D15" s="50">
        <f>SUMIFS('PR Data'!$R:$R,'PR Data'!$U:$U,$B15,'PR Data'!$S:$S,$D$7)</f>
        <v>503234.14</v>
      </c>
      <c r="E15" s="51">
        <f>SUMIFS('PR Data'!$Y:$Y,'PR Data'!$U:$U,$B15,'PR Data'!$S:$S,$D$7)</f>
        <v>388922.85588971101</v>
      </c>
      <c r="F15" s="51">
        <f>SUMIFS('PR Data'!$AA:$AA,'PR Data'!$U:$U,$B15,'PR Data'!$S:$S,$D$7)</f>
        <v>108900</v>
      </c>
      <c r="G15" s="51">
        <f t="shared" si="7"/>
        <v>497822.85588971101</v>
      </c>
      <c r="H15" s="52">
        <f t="shared" si="0"/>
        <v>5411.2841102890088</v>
      </c>
      <c r="I15" s="53"/>
      <c r="J15" s="50">
        <v>0</v>
      </c>
      <c r="K15" s="51">
        <f>SUMIFS('PR Data'!$Y:$Y,'PR Data'!$U:$U,$B15,'PR Data'!$S:$S,$J$7)</f>
        <v>206037.35709954001</v>
      </c>
      <c r="L15" s="51">
        <f>SUMIFS('PR Data'!$AA:$AA,'PR Data'!$U:$U,$B15,'PR Data'!$S:$S,$J$7)</f>
        <v>618112.07129862008</v>
      </c>
      <c r="M15" s="51">
        <f t="shared" si="8"/>
        <v>824149.42839816003</v>
      </c>
      <c r="N15" s="52">
        <f t="shared" si="1"/>
        <v>-824149.42839816003</v>
      </c>
      <c r="O15" s="53"/>
      <c r="P15" s="50">
        <f t="shared" si="2"/>
        <v>503234.14</v>
      </c>
      <c r="Q15" s="51">
        <f t="shared" si="3"/>
        <v>594960.21298925101</v>
      </c>
      <c r="R15" s="51">
        <f t="shared" si="4"/>
        <v>727012.07129862008</v>
      </c>
      <c r="S15" s="51">
        <f t="shared" si="5"/>
        <v>1321972.2842878711</v>
      </c>
      <c r="T15" s="52">
        <f t="shared" si="6"/>
        <v>-818738.14428787108</v>
      </c>
    </row>
    <row r="16" spans="2:20" x14ac:dyDescent="0.85">
      <c r="B16" s="41" t="s">
        <v>147</v>
      </c>
      <c r="D16" s="50">
        <f>SUMIFS('PR Data'!$R:$R,'PR Data'!$U:$U,$B16,'PR Data'!$S:$S,$D$7)</f>
        <v>132300</v>
      </c>
      <c r="E16" s="51">
        <f>SUMIFS('PR Data'!$Y:$Y,'PR Data'!$U:$U,$B16,'PR Data'!$S:$S,$D$7)</f>
        <v>126195</v>
      </c>
      <c r="F16" s="51">
        <f>SUMIFS('PR Data'!$AA:$AA,'PR Data'!$U:$U,$B16,'PR Data'!$S:$S,$D$7)</f>
        <v>6105</v>
      </c>
      <c r="G16" s="51">
        <f t="shared" si="7"/>
        <v>132300</v>
      </c>
      <c r="H16" s="52">
        <f t="shared" si="0"/>
        <v>0</v>
      </c>
      <c r="I16" s="53"/>
      <c r="J16" s="50">
        <v>0</v>
      </c>
      <c r="K16" s="51">
        <f>SUMIFS('PR Data'!$Y:$Y,'PR Data'!$U:$U,$B16,'PR Data'!$S:$S,$J$7)</f>
        <v>3361.68</v>
      </c>
      <c r="L16" s="51">
        <f>SUMIFS('PR Data'!$AA:$AA,'PR Data'!$U:$U,$B16,'PR Data'!$S:$S,$J$7)</f>
        <v>245015.82</v>
      </c>
      <c r="M16" s="51">
        <f t="shared" si="8"/>
        <v>248377.5</v>
      </c>
      <c r="N16" s="52">
        <f t="shared" si="1"/>
        <v>-248377.5</v>
      </c>
      <c r="O16" s="53"/>
      <c r="P16" s="50">
        <f t="shared" si="2"/>
        <v>132300</v>
      </c>
      <c r="Q16" s="51">
        <f t="shared" si="3"/>
        <v>129556.68</v>
      </c>
      <c r="R16" s="51">
        <f t="shared" si="4"/>
        <v>251120.82</v>
      </c>
      <c r="S16" s="51">
        <f t="shared" si="5"/>
        <v>380677.5</v>
      </c>
      <c r="T16" s="52">
        <f t="shared" si="6"/>
        <v>-248377.5</v>
      </c>
    </row>
    <row r="17" spans="2:20" x14ac:dyDescent="0.85">
      <c r="B17" s="41" t="s">
        <v>148</v>
      </c>
      <c r="D17" s="50">
        <f>SUMIFS('PR Data'!$R:$R,'PR Data'!$U:$U,$B17,'PR Data'!$S:$S,$D$7)</f>
        <v>30000</v>
      </c>
      <c r="E17" s="51">
        <f>SUMIFS('PR Data'!$Y:$Y,'PR Data'!$U:$U,$B17,'PR Data'!$S:$S,$D$7)</f>
        <v>0</v>
      </c>
      <c r="F17" s="51">
        <f>SUMIFS('PR Data'!$AA:$AA,'PR Data'!$U:$U,$B17,'PR Data'!$S:$S,$D$7)</f>
        <v>30000</v>
      </c>
      <c r="G17" s="51">
        <f t="shared" si="7"/>
        <v>30000</v>
      </c>
      <c r="H17" s="52">
        <f t="shared" si="0"/>
        <v>0</v>
      </c>
      <c r="I17" s="53"/>
      <c r="J17" s="50">
        <v>0</v>
      </c>
      <c r="K17" s="51">
        <f>SUMIFS('PR Data'!$Y:$Y,'PR Data'!$U:$U,$B17,'PR Data'!$S:$S,$J$7)</f>
        <v>0</v>
      </c>
      <c r="L17" s="51">
        <f>SUMIFS('PR Data'!$AA:$AA,'PR Data'!$U:$U,$B17,'PR Data'!$S:$S,$J$7)</f>
        <v>0</v>
      </c>
      <c r="M17" s="51">
        <f t="shared" si="8"/>
        <v>0</v>
      </c>
      <c r="N17" s="52">
        <f t="shared" si="1"/>
        <v>0</v>
      </c>
      <c r="O17" s="53"/>
      <c r="P17" s="50">
        <f t="shared" si="2"/>
        <v>30000</v>
      </c>
      <c r="Q17" s="51">
        <f t="shared" si="3"/>
        <v>0</v>
      </c>
      <c r="R17" s="51">
        <f t="shared" si="4"/>
        <v>30000</v>
      </c>
      <c r="S17" s="51">
        <f t="shared" si="5"/>
        <v>30000</v>
      </c>
      <c r="T17" s="52">
        <f t="shared" si="6"/>
        <v>0</v>
      </c>
    </row>
    <row r="18" spans="2:20" x14ac:dyDescent="0.85">
      <c r="B18" s="43"/>
      <c r="D18" s="54">
        <f>SUBTOTAL(9,D9:D17)</f>
        <v>12153510.185127288</v>
      </c>
      <c r="E18" s="55">
        <f>SUBTOTAL(9,E9:E17)</f>
        <v>3555958.0510161696</v>
      </c>
      <c r="F18" s="55">
        <f>SUBTOTAL(9,F9:F17)</f>
        <v>7708730.8500008285</v>
      </c>
      <c r="G18" s="55">
        <f>SUBTOTAL(9,G9:G17)</f>
        <v>11264688.901016999</v>
      </c>
      <c r="H18" s="56">
        <f>SUBTOTAL(9,H9:H17)</f>
        <v>888821.28411028907</v>
      </c>
      <c r="I18" s="53"/>
      <c r="J18" s="54">
        <f>SUBTOTAL(9,J9:J17)</f>
        <v>0</v>
      </c>
      <c r="K18" s="55">
        <f>SUBTOTAL(9,K9:K17)</f>
        <v>605286.03709954012</v>
      </c>
      <c r="L18" s="55">
        <f>SUBTOTAL(9,L9:L17)</f>
        <v>2482207.89129862</v>
      </c>
      <c r="M18" s="55">
        <f>SUBTOTAL(9,M9:M17)</f>
        <v>3087493.9283981603</v>
      </c>
      <c r="N18" s="56">
        <f>SUBTOTAL(9,N9:N17)</f>
        <v>-3087493.9283981603</v>
      </c>
      <c r="O18" s="53"/>
      <c r="P18" s="54">
        <f>SUBTOTAL(9,P9:P17)</f>
        <v>12153510.185127288</v>
      </c>
      <c r="Q18" s="55">
        <f>SUBTOTAL(9,Q9:Q17)</f>
        <v>4161244.0881157098</v>
      </c>
      <c r="R18" s="55">
        <f>SUBTOTAL(9,R9:R17)</f>
        <v>10190938.741299449</v>
      </c>
      <c r="S18" s="55">
        <f>SUBTOTAL(9,S9:S17)</f>
        <v>14352182.829415159</v>
      </c>
      <c r="T18" s="56">
        <f>SUBTOTAL(9,T9:T17)</f>
        <v>-2198672.6442878712</v>
      </c>
    </row>
    <row r="19" spans="2:20" x14ac:dyDescent="0.85">
      <c r="D19" s="46"/>
      <c r="E19" s="46"/>
      <c r="F19" s="46"/>
      <c r="G19" s="42"/>
      <c r="H19" s="46"/>
      <c r="J19" s="46"/>
      <c r="K19" s="46"/>
      <c r="L19" s="46"/>
      <c r="M19" s="46"/>
      <c r="N19" s="46"/>
      <c r="P19" s="46"/>
      <c r="Q19" s="46"/>
      <c r="R19" s="46"/>
      <c r="S19" s="46"/>
      <c r="T19" s="46"/>
    </row>
    <row r="20" spans="2:20" ht="24" x14ac:dyDescent="1.05">
      <c r="B20" s="34" t="s">
        <v>67</v>
      </c>
      <c r="L20" s="47"/>
      <c r="M20" s="47"/>
      <c r="N20" s="47"/>
      <c r="R20" s="47"/>
      <c r="S20" s="47"/>
      <c r="T20" s="47"/>
    </row>
    <row r="21" spans="2:20" ht="4.5" customHeight="1" thickBot="1" x14ac:dyDescent="0.9">
      <c r="L21" s="47"/>
      <c r="M21" s="47"/>
      <c r="N21" s="47"/>
      <c r="R21" s="47"/>
      <c r="S21" s="47"/>
      <c r="T21" s="47"/>
    </row>
    <row r="22" spans="2:20" ht="18.75" thickTop="1" x14ac:dyDescent="0.85">
      <c r="B22" s="76"/>
      <c r="C22" s="37"/>
      <c r="D22" s="78" t="s">
        <v>61</v>
      </c>
      <c r="E22" s="79"/>
      <c r="F22" s="79"/>
      <c r="G22" s="79"/>
      <c r="H22" s="80"/>
      <c r="I22" s="37"/>
      <c r="J22" s="78" t="s">
        <v>76</v>
      </c>
      <c r="K22" s="79"/>
      <c r="L22" s="79"/>
      <c r="M22" s="79"/>
      <c r="N22" s="80"/>
      <c r="O22" s="37"/>
      <c r="P22" s="78" t="s">
        <v>3</v>
      </c>
      <c r="Q22" s="79"/>
      <c r="R22" s="79"/>
      <c r="S22" s="79"/>
      <c r="T22" s="80"/>
    </row>
    <row r="23" spans="2:20" x14ac:dyDescent="0.85">
      <c r="B23" s="77" t="s">
        <v>39</v>
      </c>
      <c r="C23" s="39"/>
      <c r="D23" s="81" t="s">
        <v>62</v>
      </c>
      <c r="E23" s="82" t="s">
        <v>43</v>
      </c>
      <c r="F23" s="82" t="s">
        <v>45</v>
      </c>
      <c r="G23" s="82" t="s">
        <v>63</v>
      </c>
      <c r="H23" s="83" t="s">
        <v>64</v>
      </c>
      <c r="I23" s="40"/>
      <c r="J23" s="81" t="s">
        <v>65</v>
      </c>
      <c r="K23" s="82" t="s">
        <v>43</v>
      </c>
      <c r="L23" s="82" t="s">
        <v>45</v>
      </c>
      <c r="M23" s="82" t="s">
        <v>63</v>
      </c>
      <c r="N23" s="83" t="s">
        <v>64</v>
      </c>
      <c r="O23" s="40"/>
      <c r="P23" s="81" t="s">
        <v>65</v>
      </c>
      <c r="Q23" s="82" t="s">
        <v>43</v>
      </c>
      <c r="R23" s="82" t="s">
        <v>45</v>
      </c>
      <c r="S23" s="82" t="s">
        <v>63</v>
      </c>
      <c r="T23" s="83" t="s">
        <v>64</v>
      </c>
    </row>
    <row r="24" spans="2:20" x14ac:dyDescent="0.85">
      <c r="B24" s="41" t="s">
        <v>11</v>
      </c>
      <c r="D24" s="50">
        <f>SUMIFS('PR Data'!$R:$R,'PR Data'!$V:$V,$B24,'PR Data'!$S:$S,$D$22)</f>
        <v>0</v>
      </c>
      <c r="E24" s="51">
        <f>SUMIFS('PR Data'!$Y:$Y,'PR Data'!$V:$V,$B24,'PR Data'!$S:$S,$D$22)</f>
        <v>0</v>
      </c>
      <c r="F24" s="51">
        <f>SUMIFS('PR Data'!$AA:$AA,'PR Data'!$V:$V,$B24,'PR Data'!$S:$S,$D$22)</f>
        <v>0</v>
      </c>
      <c r="G24" s="51">
        <f>SUM(E24:F24)</f>
        <v>0</v>
      </c>
      <c r="H24" s="52">
        <f>D24-G24</f>
        <v>0</v>
      </c>
      <c r="I24" s="53"/>
      <c r="J24" s="50">
        <f>SUMIFS('PR Data'!$R:$R,'PR Data'!$V:$V,$B24,'PR Data'!$S:$S,$J$22)</f>
        <v>9772915.1851272881</v>
      </c>
      <c r="K24" s="51">
        <f>SUMIFS('PR Data'!$Y:$Y,'PR Data'!$V:$V,$B24,'PR Data'!$S:$S,$J$22)</f>
        <v>3191633.0510161701</v>
      </c>
      <c r="L24" s="51">
        <f>SUMIFS('PR Data'!$AA:$AA,'PR Data'!$V:$V,$B24,'PR Data'!$S:$S,$J$22)</f>
        <v>5698700.8500008285</v>
      </c>
      <c r="M24" s="51">
        <f>SUM(K24:L24)</f>
        <v>8890333.901016999</v>
      </c>
      <c r="N24" s="52">
        <f>J24-M24</f>
        <v>882581.28411028907</v>
      </c>
      <c r="O24" s="53"/>
      <c r="P24" s="50">
        <f>D24+J24</f>
        <v>9772915.1851272881</v>
      </c>
      <c r="Q24" s="51">
        <f t="shared" ref="Q24:S29" si="9">E24+K24</f>
        <v>3191633.0510161701</v>
      </c>
      <c r="R24" s="51">
        <f t="shared" si="9"/>
        <v>5698700.8500008285</v>
      </c>
      <c r="S24" s="51">
        <f t="shared" si="9"/>
        <v>8890333.901016999</v>
      </c>
      <c r="T24" s="52">
        <f t="shared" ref="T24:T29" si="10">P24-S24</f>
        <v>882581.28411028907</v>
      </c>
    </row>
    <row r="25" spans="2:20" x14ac:dyDescent="0.85">
      <c r="B25" s="41" t="s">
        <v>52</v>
      </c>
      <c r="D25" s="50">
        <f>SUMIFS('PR Data'!$R:$R,'PR Data'!$V:$V,$B25,'PR Data'!$S:$S,$D$22)</f>
        <v>0</v>
      </c>
      <c r="E25" s="51">
        <f>SUMIFS('PR Data'!$Y:$Y,'PR Data'!$V:$V,$B25,'PR Data'!$S:$S,$D$22)</f>
        <v>0</v>
      </c>
      <c r="F25" s="51">
        <f>SUMIFS('PR Data'!$AA:$AA,'PR Data'!$V:$V,$B25,'PR Data'!$S:$S,$D$22)</f>
        <v>0</v>
      </c>
      <c r="G25" s="51">
        <f t="shared" ref="G25:G28" si="11">SUM(E25:F25)</f>
        <v>0</v>
      </c>
      <c r="H25" s="52">
        <f t="shared" ref="H25:H28" si="12">D25-G25</f>
        <v>0</v>
      </c>
      <c r="I25" s="53"/>
      <c r="J25" s="50">
        <f>SUMIFS('PR Data'!$R:$R,'PR Data'!$V:$V,$B25,'PR Data'!$S:$S,$J$22)</f>
        <v>0</v>
      </c>
      <c r="K25" s="51">
        <f>SUMIFS('PR Data'!$Y:$Y,'PR Data'!$V:$V,$B25,'PR Data'!$S:$S,$J$22)</f>
        <v>0</v>
      </c>
      <c r="L25" s="51">
        <f>SUMIFS('PR Data'!$AA:$AA,'PR Data'!$V:$V,$B25,'PR Data'!$S:$S,$J$22)</f>
        <v>0</v>
      </c>
      <c r="M25" s="51">
        <f t="shared" ref="M25:M29" si="13">SUM(K25:L25)</f>
        <v>0</v>
      </c>
      <c r="N25" s="52">
        <f t="shared" ref="N25:N29" si="14">J25-M25</f>
        <v>0</v>
      </c>
      <c r="O25" s="53"/>
      <c r="P25" s="50">
        <f t="shared" ref="P25:P29" si="15">D25+J25</f>
        <v>0</v>
      </c>
      <c r="Q25" s="51">
        <f t="shared" si="9"/>
        <v>0</v>
      </c>
      <c r="R25" s="51">
        <f t="shared" si="9"/>
        <v>0</v>
      </c>
      <c r="S25" s="51">
        <f t="shared" si="9"/>
        <v>0</v>
      </c>
      <c r="T25" s="52">
        <f t="shared" si="10"/>
        <v>0</v>
      </c>
    </row>
    <row r="26" spans="2:20" x14ac:dyDescent="0.85">
      <c r="B26" s="41" t="s">
        <v>51</v>
      </c>
      <c r="D26" s="50">
        <f>SUMIFS('PR Data'!$R:$R,'PR Data'!$V:$V,$B26,'PR Data'!$S:$S,$D$22)</f>
        <v>0</v>
      </c>
      <c r="E26" s="51">
        <f>SUMIFS('PR Data'!$Y:$Y,'PR Data'!$V:$V,$B26,'PR Data'!$S:$S,$D$22)</f>
        <v>0</v>
      </c>
      <c r="F26" s="51">
        <f>SUMIFS('PR Data'!$AA:$AA,'PR Data'!$V:$V,$B26,'PR Data'!$S:$S,$D$22)</f>
        <v>0</v>
      </c>
      <c r="G26" s="51">
        <f t="shared" si="11"/>
        <v>0</v>
      </c>
      <c r="H26" s="52">
        <f t="shared" si="12"/>
        <v>0</v>
      </c>
      <c r="I26" s="53"/>
      <c r="J26" s="50">
        <f>SUMIFS('PR Data'!$R:$R,'PR Data'!$V:$V,$B26,'PR Data'!$S:$S,$J$22)</f>
        <v>310750</v>
      </c>
      <c r="K26" s="51">
        <f>SUMIFS('PR Data'!$Y:$Y,'PR Data'!$V:$V,$B26,'PR Data'!$S:$S,$J$22)</f>
        <v>3750</v>
      </c>
      <c r="L26" s="51">
        <f>SUMIFS('PR Data'!$AA:$AA,'PR Data'!$V:$V,$B26,'PR Data'!$S:$S,$J$22)</f>
        <v>307000</v>
      </c>
      <c r="M26" s="51">
        <f t="shared" si="13"/>
        <v>310750</v>
      </c>
      <c r="N26" s="52">
        <f t="shared" si="14"/>
        <v>0</v>
      </c>
      <c r="O26" s="53"/>
      <c r="P26" s="50">
        <f t="shared" si="15"/>
        <v>310750</v>
      </c>
      <c r="Q26" s="51">
        <f t="shared" si="9"/>
        <v>3750</v>
      </c>
      <c r="R26" s="51">
        <f t="shared" si="9"/>
        <v>307000</v>
      </c>
      <c r="S26" s="51">
        <f t="shared" si="9"/>
        <v>310750</v>
      </c>
      <c r="T26" s="52">
        <f t="shared" si="10"/>
        <v>0</v>
      </c>
    </row>
    <row r="27" spans="2:20" x14ac:dyDescent="0.85">
      <c r="B27" s="41" t="s">
        <v>12</v>
      </c>
      <c r="D27" s="50">
        <f>SUMIFS('PR Data'!$R:$R,'PR Data'!$V:$V,$B27,'PR Data'!$S:$S,$D$22)</f>
        <v>0</v>
      </c>
      <c r="E27" s="51">
        <f>SUMIFS('PR Data'!$Y:$Y,'PR Data'!$V:$V,$B27,'PR Data'!$S:$S,$D$22)</f>
        <v>0</v>
      </c>
      <c r="F27" s="51">
        <f>SUMIFS('PR Data'!$AA:$AA,'PR Data'!$V:$V,$B27,'PR Data'!$S:$S,$D$22)</f>
        <v>0</v>
      </c>
      <c r="G27" s="51">
        <f t="shared" si="11"/>
        <v>0</v>
      </c>
      <c r="H27" s="52">
        <f t="shared" si="12"/>
        <v>0</v>
      </c>
      <c r="I27" s="53"/>
      <c r="J27" s="50">
        <f>SUMIFS('PR Data'!$R:$R,'PR Data'!$V:$V,$B27,'PR Data'!$S:$S,$J$22)</f>
        <v>2069845</v>
      </c>
      <c r="K27" s="51">
        <f>SUMIFS('PR Data'!$Y:$Y,'PR Data'!$V:$V,$B27,'PR Data'!$S:$S,$J$22)</f>
        <v>360575</v>
      </c>
      <c r="L27" s="51">
        <f>SUMIFS('PR Data'!$AA:$AA,'PR Data'!$V:$V,$B27,'PR Data'!$S:$S,$J$22)</f>
        <v>1703030</v>
      </c>
      <c r="M27" s="51">
        <f t="shared" si="13"/>
        <v>2063605</v>
      </c>
      <c r="N27" s="52">
        <f t="shared" si="14"/>
        <v>6240</v>
      </c>
      <c r="O27" s="53"/>
      <c r="P27" s="50">
        <f t="shared" si="15"/>
        <v>2069845</v>
      </c>
      <c r="Q27" s="51">
        <f t="shared" si="9"/>
        <v>360575</v>
      </c>
      <c r="R27" s="51">
        <f t="shared" si="9"/>
        <v>1703030</v>
      </c>
      <c r="S27" s="51">
        <f t="shared" si="9"/>
        <v>2063605</v>
      </c>
      <c r="T27" s="52">
        <f t="shared" si="10"/>
        <v>6240</v>
      </c>
    </row>
    <row r="28" spans="2:20" x14ac:dyDescent="0.85">
      <c r="B28" s="41" t="s">
        <v>15</v>
      </c>
      <c r="D28" s="50">
        <f>SUMIFS('PR Data'!$R:$R,'PR Data'!$V:$V,$B28,'PR Data'!$S:$S,$D$22)</f>
        <v>0</v>
      </c>
      <c r="E28" s="51">
        <f>SUMIFS('PR Data'!$Y:$Y,'PR Data'!$V:$V,$B28,'PR Data'!$S:$S,$D$22)</f>
        <v>0</v>
      </c>
      <c r="F28" s="51">
        <f>SUMIFS('PR Data'!$AA:$AA,'PR Data'!$V:$V,$B28,'PR Data'!$S:$S,$D$22)</f>
        <v>0</v>
      </c>
      <c r="G28" s="51">
        <f t="shared" si="11"/>
        <v>0</v>
      </c>
      <c r="H28" s="52">
        <f t="shared" si="12"/>
        <v>0</v>
      </c>
      <c r="I28" s="53"/>
      <c r="J28" s="50">
        <f>SUMIFS('PR Data'!$R:$R,'PR Data'!$V:$V,$B28,'PR Data'!$S:$S,$J$22)</f>
        <v>0</v>
      </c>
      <c r="K28" s="51">
        <f>SUMIFS('PR Data'!$Y:$Y,'PR Data'!$V:$V,$B28,'PR Data'!$S:$S,$J$22)</f>
        <v>0</v>
      </c>
      <c r="L28" s="51">
        <f>SUMIFS('PR Data'!$AA:$AA,'PR Data'!$V:$V,$B28,'PR Data'!$S:$S,$J$22)</f>
        <v>0</v>
      </c>
      <c r="M28" s="51">
        <f t="shared" si="13"/>
        <v>0</v>
      </c>
      <c r="N28" s="52">
        <f t="shared" si="14"/>
        <v>0</v>
      </c>
      <c r="O28" s="53"/>
      <c r="P28" s="50">
        <f t="shared" si="15"/>
        <v>0</v>
      </c>
      <c r="Q28" s="51">
        <f t="shared" si="9"/>
        <v>0</v>
      </c>
      <c r="R28" s="51">
        <f t="shared" si="9"/>
        <v>0</v>
      </c>
      <c r="S28" s="51">
        <f t="shared" si="9"/>
        <v>0</v>
      </c>
      <c r="T28" s="52">
        <f t="shared" si="10"/>
        <v>0</v>
      </c>
    </row>
    <row r="29" spans="2:20" x14ac:dyDescent="0.85">
      <c r="B29" s="41" t="s">
        <v>77</v>
      </c>
      <c r="D29" s="50">
        <v>0</v>
      </c>
      <c r="E29" s="51">
        <v>0</v>
      </c>
      <c r="F29" s="51">
        <v>0</v>
      </c>
      <c r="G29" s="51">
        <f t="shared" ref="G29" si="16">SUM(E29:F29)</f>
        <v>0</v>
      </c>
      <c r="H29" s="52">
        <f t="shared" ref="H29" si="17">D29-G29</f>
        <v>0</v>
      </c>
      <c r="I29" s="53"/>
      <c r="J29" s="50">
        <v>34824100</v>
      </c>
      <c r="K29" s="51">
        <v>0</v>
      </c>
      <c r="L29" s="51">
        <v>0</v>
      </c>
      <c r="M29" s="51">
        <f t="shared" si="13"/>
        <v>0</v>
      </c>
      <c r="N29" s="52">
        <f t="shared" si="14"/>
        <v>34824100</v>
      </c>
      <c r="O29" s="53"/>
      <c r="P29" s="50">
        <f t="shared" si="15"/>
        <v>34824100</v>
      </c>
      <c r="Q29" s="51">
        <f t="shared" si="9"/>
        <v>0</v>
      </c>
      <c r="R29" s="51">
        <f t="shared" si="9"/>
        <v>0</v>
      </c>
      <c r="S29" s="51">
        <f t="shared" si="9"/>
        <v>0</v>
      </c>
      <c r="T29" s="52">
        <f t="shared" si="10"/>
        <v>34824100</v>
      </c>
    </row>
    <row r="30" spans="2:20" x14ac:dyDescent="0.85">
      <c r="B30" s="43"/>
      <c r="D30" s="54">
        <f>SUBTOTAL(9,D24:D29)</f>
        <v>0</v>
      </c>
      <c r="E30" s="55">
        <f t="shared" ref="E30:H30" si="18">SUBTOTAL(9,E24:E29)</f>
        <v>0</v>
      </c>
      <c r="F30" s="55">
        <f t="shared" si="18"/>
        <v>0</v>
      </c>
      <c r="G30" s="55">
        <f t="shared" si="18"/>
        <v>0</v>
      </c>
      <c r="H30" s="56">
        <f t="shared" si="18"/>
        <v>0</v>
      </c>
      <c r="I30" s="53"/>
      <c r="J30" s="54">
        <f t="shared" ref="J30:N30" si="19">SUBTOTAL(9,J24:J29)</f>
        <v>46977610.185127288</v>
      </c>
      <c r="K30" s="55">
        <f t="shared" si="19"/>
        <v>3555958.0510161701</v>
      </c>
      <c r="L30" s="55">
        <f t="shared" si="19"/>
        <v>7708730.8500008285</v>
      </c>
      <c r="M30" s="55">
        <f t="shared" si="19"/>
        <v>11264688.901016999</v>
      </c>
      <c r="N30" s="56">
        <f t="shared" si="19"/>
        <v>35712921.284110293</v>
      </c>
      <c r="O30" s="53"/>
      <c r="P30" s="54">
        <f t="shared" ref="P30:T30" si="20">SUBTOTAL(9,P24:P29)</f>
        <v>46977610.185127288</v>
      </c>
      <c r="Q30" s="55">
        <f t="shared" si="20"/>
        <v>3555958.0510161701</v>
      </c>
      <c r="R30" s="55">
        <f t="shared" si="20"/>
        <v>7708730.8500008285</v>
      </c>
      <c r="S30" s="55">
        <f t="shared" si="20"/>
        <v>11264688.901016999</v>
      </c>
      <c r="T30" s="56">
        <f t="shared" si="20"/>
        <v>35712921.284110293</v>
      </c>
    </row>
    <row r="32" spans="2:20" ht="24" x14ac:dyDescent="1.05">
      <c r="B32" s="34" t="s">
        <v>68</v>
      </c>
      <c r="R32" s="46"/>
    </row>
    <row r="33" spans="2:20" ht="4.5" customHeight="1" thickBot="1" x14ac:dyDescent="0.9">
      <c r="D33" s="48">
        <v>1</v>
      </c>
      <c r="E33" s="48">
        <v>2</v>
      </c>
      <c r="F33" s="48">
        <v>3</v>
      </c>
      <c r="G33" s="48">
        <v>4</v>
      </c>
      <c r="H33" s="48">
        <v>5</v>
      </c>
      <c r="I33" s="48"/>
      <c r="L33" s="47"/>
      <c r="M33" s="47"/>
      <c r="N33" s="47"/>
      <c r="R33" s="46"/>
      <c r="S33" s="47"/>
      <c r="T33" s="47"/>
    </row>
    <row r="34" spans="2:20" ht="18.75" thickTop="1" x14ac:dyDescent="0.85">
      <c r="B34" s="76"/>
      <c r="C34" s="37"/>
      <c r="D34" s="78" t="s">
        <v>69</v>
      </c>
      <c r="E34" s="79"/>
      <c r="F34" s="79"/>
      <c r="G34" s="79"/>
      <c r="H34" s="80"/>
      <c r="I34" s="38"/>
      <c r="J34" s="84"/>
      <c r="R34" s="46"/>
    </row>
    <row r="35" spans="2:20" x14ac:dyDescent="0.85">
      <c r="B35" s="77" t="s">
        <v>4</v>
      </c>
      <c r="C35" s="39"/>
      <c r="D35" s="81" t="s">
        <v>70</v>
      </c>
      <c r="E35" s="82" t="s">
        <v>71</v>
      </c>
      <c r="F35" s="82" t="s">
        <v>72</v>
      </c>
      <c r="G35" s="82" t="s">
        <v>73</v>
      </c>
      <c r="H35" s="83" t="s">
        <v>74</v>
      </c>
      <c r="J35" s="85" t="s">
        <v>3</v>
      </c>
      <c r="M35" s="73"/>
      <c r="R35" s="46"/>
    </row>
    <row r="36" spans="2:20" x14ac:dyDescent="0.85">
      <c r="B36" s="41" t="s">
        <v>55</v>
      </c>
      <c r="D36" s="57">
        <f>SUMIFS('PR Data'!$AA:$AA,'PR Data'!$U:$U,$B36,'PR Data'!$AF:$AF,D$33)</f>
        <v>0</v>
      </c>
      <c r="E36" s="58">
        <f>SUMIFS('PR Data'!$AA:$AA,'PR Data'!$U:$U,$B36,'PR Data'!$AF:$AF,E$33)</f>
        <v>0</v>
      </c>
      <c r="F36" s="58">
        <f>SUMIFS('PR Data'!$AA:$AA,'PR Data'!$U:$U,$B36,'PR Data'!$AF:$AF,F$33)</f>
        <v>0</v>
      </c>
      <c r="G36" s="58">
        <f>SUMIFS('PR Data'!$AA:$AA,'PR Data'!$U:$U,$B36,'PR Data'!$AF:$AF,G$33)</f>
        <v>0</v>
      </c>
      <c r="H36" s="59">
        <f>SUMIFS('PR Data'!$AA:$AA,'PR Data'!$U:$U,$B36,'PR Data'!$AF:$AF,H$33)</f>
        <v>0</v>
      </c>
      <c r="I36" s="53"/>
      <c r="J36" s="60">
        <f>SUM(D36:H36)</f>
        <v>0</v>
      </c>
    </row>
    <row r="37" spans="2:20" x14ac:dyDescent="0.85">
      <c r="B37" s="41" t="s">
        <v>83</v>
      </c>
      <c r="D37" s="50">
        <f>SUMIFS('PR Data'!$AA:$AA,'PR Data'!$U:$U,$B37,'PR Data'!$AF:$AF,D$33)</f>
        <v>1083662</v>
      </c>
      <c r="E37" s="51">
        <f>SUMIFS('PR Data'!$AA:$AA,'PR Data'!$U:$U,$B37,'PR Data'!$AF:$AF,E$33)</f>
        <v>0</v>
      </c>
      <c r="F37" s="51">
        <f>SUMIFS('PR Data'!$AA:$AA,'PR Data'!$U:$U,$B37,'PR Data'!$AF:$AF,F$33)</f>
        <v>0</v>
      </c>
      <c r="G37" s="51">
        <f>SUMIFS('PR Data'!$AA:$AA,'PR Data'!$U:$U,$B37,'PR Data'!$AF:$AF,G$33)</f>
        <v>1916250</v>
      </c>
      <c r="H37" s="52">
        <f>SUMIFS('PR Data'!$AA:$AA,'PR Data'!$U:$U,$B37,'PR Data'!$AF:$AF,H$33)</f>
        <v>0</v>
      </c>
      <c r="I37" s="53"/>
      <c r="J37" s="61">
        <f t="shared" ref="J37:J48" si="21">SUM(D37:H37)</f>
        <v>2999912</v>
      </c>
    </row>
    <row r="38" spans="2:20" x14ac:dyDescent="0.85">
      <c r="B38" s="41" t="s">
        <v>97</v>
      </c>
      <c r="D38" s="50">
        <f>SUMIFS('PR Data'!$AA:$AA,'PR Data'!$U:$U,$B38,'PR Data'!$AF:$AF,D$33)</f>
        <v>0</v>
      </c>
      <c r="E38" s="51">
        <f>SUMIFS('PR Data'!$AA:$AA,'PR Data'!$U:$U,$B38,'PR Data'!$AF:$AF,E$33)</f>
        <v>0</v>
      </c>
      <c r="F38" s="51">
        <f>SUMIFS('PR Data'!$AA:$AA,'PR Data'!$U:$U,$B38,'PR Data'!$AF:$AF,F$33)</f>
        <v>0</v>
      </c>
      <c r="G38" s="51">
        <f>SUMIFS('PR Data'!$AA:$AA,'PR Data'!$U:$U,$B38,'PR Data'!$AF:$AF,G$33)</f>
        <v>0</v>
      </c>
      <c r="H38" s="52">
        <f>SUMIFS('PR Data'!$AA:$AA,'PR Data'!$U:$U,$B38,'PR Data'!$AF:$AF,H$33)</f>
        <v>0</v>
      </c>
      <c r="I38" s="53"/>
      <c r="J38" s="61">
        <f t="shared" ref="J38" si="22">SUM(D38:H38)</f>
        <v>0</v>
      </c>
    </row>
    <row r="39" spans="2:20" x14ac:dyDescent="0.85">
      <c r="B39" s="41" t="s">
        <v>53</v>
      </c>
      <c r="D39" s="50">
        <f>SUMIFS('PR Data'!$AA:$AA,'PR Data'!$U:$U,$B39,'PR Data'!$AF:$AF,D$33)</f>
        <v>0</v>
      </c>
      <c r="E39" s="51">
        <f>SUMIFS('PR Data'!$AA:$AA,'PR Data'!$U:$U,$B39,'PR Data'!$AF:$AF,E$33)</f>
        <v>0</v>
      </c>
      <c r="F39" s="51">
        <f>SUMIFS('PR Data'!$AA:$AA,'PR Data'!$U:$U,$B39,'PR Data'!$AF:$AF,F$33)</f>
        <v>0</v>
      </c>
      <c r="G39" s="51">
        <f>SUMIFS('PR Data'!$AA:$AA,'PR Data'!$U:$U,$B39,'PR Data'!$AF:$AF,G$33)</f>
        <v>0</v>
      </c>
      <c r="H39" s="52">
        <f>SUMIFS('PR Data'!$AA:$AA,'PR Data'!$U:$U,$B39,'PR Data'!$AF:$AF,H$33)</f>
        <v>0</v>
      </c>
      <c r="I39" s="53"/>
      <c r="J39" s="61">
        <f t="shared" si="21"/>
        <v>0</v>
      </c>
    </row>
    <row r="40" spans="2:20" x14ac:dyDescent="0.85">
      <c r="B40" s="41" t="s">
        <v>96</v>
      </c>
      <c r="D40" s="50">
        <f>SUMIFS('PR Data'!$AA:$AA,'PR Data'!$U:$U,$B40,'PR Data'!$AF:$AF,D$33)</f>
        <v>0</v>
      </c>
      <c r="E40" s="51">
        <f>SUMIFS('PR Data'!$AA:$AA,'PR Data'!$U:$U,$B40,'PR Data'!$AF:$AF,E$33)</f>
        <v>0</v>
      </c>
      <c r="F40" s="51">
        <f>SUMIFS('PR Data'!$AA:$AA,'PR Data'!$U:$U,$B40,'PR Data'!$AF:$AF,F$33)</f>
        <v>0</v>
      </c>
      <c r="G40" s="51">
        <f>SUMIFS('PR Data'!$AA:$AA,'PR Data'!$U:$U,$B40,'PR Data'!$AF:$AF,G$33)</f>
        <v>0</v>
      </c>
      <c r="H40" s="52">
        <f>SUMIFS('PR Data'!$AA:$AA,'PR Data'!$U:$U,$B40,'PR Data'!$AF:$AF,H$33)</f>
        <v>0</v>
      </c>
      <c r="I40" s="53"/>
      <c r="J40" s="61">
        <f t="shared" si="21"/>
        <v>0</v>
      </c>
    </row>
    <row r="41" spans="2:20" x14ac:dyDescent="0.85">
      <c r="B41" s="41" t="s">
        <v>54</v>
      </c>
      <c r="D41" s="50">
        <f>SUMIFS('PR Data'!$AA:$AA,'PR Data'!$U:$U,$B41,'PR Data'!$AF:$AF,D$33)</f>
        <v>0</v>
      </c>
      <c r="E41" s="51">
        <f>SUMIFS('PR Data'!$AA:$AA,'PR Data'!$U:$U,$B41,'PR Data'!$AF:$AF,E$33)</f>
        <v>0</v>
      </c>
      <c r="F41" s="51">
        <f>SUMIFS('PR Data'!$AA:$AA,'PR Data'!$U:$U,$B41,'PR Data'!$AF:$AF,F$33)</f>
        <v>0</v>
      </c>
      <c r="G41" s="51">
        <f>SUMIFS('PR Data'!$AA:$AA,'PR Data'!$U:$U,$B41,'PR Data'!$AF:$AF,G$33)</f>
        <v>0</v>
      </c>
      <c r="H41" s="52">
        <f>SUMIFS('PR Data'!$AA:$AA,'PR Data'!$U:$U,$B41,'PR Data'!$AF:$AF,H$33)</f>
        <v>0</v>
      </c>
      <c r="I41" s="53"/>
      <c r="J41" s="61">
        <f t="shared" si="21"/>
        <v>0</v>
      </c>
    </row>
    <row r="42" spans="2:20" x14ac:dyDescent="0.85">
      <c r="B42" s="41" t="s">
        <v>50</v>
      </c>
      <c r="D42" s="50">
        <f>SUMIFS('PR Data'!$AA:$AA,'PR Data'!$U:$U,$B42,'PR Data'!$AF:$AF,D$33)</f>
        <v>0</v>
      </c>
      <c r="E42" s="51">
        <f>SUMIFS('PR Data'!$AA:$AA,'PR Data'!$U:$U,$B42,'PR Data'!$AF:$AF,E$33)</f>
        <v>285938</v>
      </c>
      <c r="F42" s="51">
        <f>SUMIFS('PR Data'!$AA:$AA,'PR Data'!$U:$U,$B42,'PR Data'!$AF:$AF,F$33)</f>
        <v>0</v>
      </c>
      <c r="G42" s="51">
        <f>SUMIFS('PR Data'!$AA:$AA,'PR Data'!$U:$U,$B42,'PR Data'!$AF:$AF,G$33)</f>
        <v>0</v>
      </c>
      <c r="H42" s="52">
        <f>SUMIFS('PR Data'!$AA:$AA,'PR Data'!$U:$U,$B42,'PR Data'!$AF:$AF,H$33)</f>
        <v>0</v>
      </c>
      <c r="I42" s="53"/>
      <c r="J42" s="61">
        <f t="shared" si="21"/>
        <v>285938</v>
      </c>
    </row>
    <row r="43" spans="2:20" x14ac:dyDescent="0.85">
      <c r="B43" s="41" t="s">
        <v>14</v>
      </c>
      <c r="D43" s="50">
        <f>SUMIFS('PR Data'!$AA:$AA,'PR Data'!$U:$U,$B43,'PR Data'!$AF:$AF,D$33)</f>
        <v>0</v>
      </c>
      <c r="E43" s="51">
        <f>SUMIFS('PR Data'!$AA:$AA,'PR Data'!$U:$U,$B43,'PR Data'!$AF:$AF,E$33)</f>
        <v>0</v>
      </c>
      <c r="F43" s="51">
        <f>SUMIFS('PR Data'!$AA:$AA,'PR Data'!$U:$U,$B43,'PR Data'!$AF:$AF,F$33)</f>
        <v>0</v>
      </c>
      <c r="G43" s="51">
        <f>SUMIFS('PR Data'!$AA:$AA,'PR Data'!$U:$U,$B43,'PR Data'!$AF:$AF,G$33)</f>
        <v>0</v>
      </c>
      <c r="H43" s="52">
        <f>SUMIFS('PR Data'!$AA:$AA,'PR Data'!$U:$U,$B43,'PR Data'!$AF:$AF,H$33)</f>
        <v>0</v>
      </c>
      <c r="I43" s="53"/>
      <c r="J43" s="61">
        <f t="shared" si="21"/>
        <v>0</v>
      </c>
    </row>
    <row r="44" spans="2:20" x14ac:dyDescent="0.85">
      <c r="B44" s="41" t="s">
        <v>86</v>
      </c>
      <c r="D44" s="50">
        <f>SUMIFS('PR Data'!$AA:$AA,'PR Data'!$U:$U,$B44,'PR Data'!$AF:$AF,D$33)</f>
        <v>0</v>
      </c>
      <c r="E44" s="51">
        <f>SUMIFS('PR Data'!$AA:$AA,'PR Data'!$U:$U,$B44,'PR Data'!$AF:$AF,E$33)</f>
        <v>0</v>
      </c>
      <c r="F44" s="51">
        <f>SUMIFS('PR Data'!$AA:$AA,'PR Data'!$U:$U,$B44,'PR Data'!$AF:$AF,F$33)</f>
        <v>0</v>
      </c>
      <c r="G44" s="51">
        <f>SUMIFS('PR Data'!$AA:$AA,'PR Data'!$U:$U,$B44,'PR Data'!$AF:$AF,G$33)</f>
        <v>0</v>
      </c>
      <c r="H44" s="52">
        <f>SUMIFS('PR Data'!$AA:$AA,'PR Data'!$U:$U,$B44,'PR Data'!$AF:$AF,H$33)</f>
        <v>0</v>
      </c>
      <c r="I44" s="53"/>
      <c r="J44" s="61">
        <f t="shared" si="21"/>
        <v>0</v>
      </c>
    </row>
    <row r="45" spans="2:20" x14ac:dyDescent="0.85">
      <c r="B45" s="41" t="s">
        <v>99</v>
      </c>
      <c r="D45" s="50">
        <f>SUMIFS('PR Data'!$AA:$AA,'PR Data'!$U:$U,$B45,'PR Data'!$AF:$AF,D$33)</f>
        <v>0</v>
      </c>
      <c r="E45" s="51">
        <f>SUMIFS('PR Data'!$AA:$AA,'PR Data'!$U:$U,$B45,'PR Data'!$AF:$AF,E$33)</f>
        <v>0</v>
      </c>
      <c r="F45" s="51">
        <f>SUMIFS('PR Data'!$AA:$AA,'PR Data'!$U:$U,$B45,'PR Data'!$AF:$AF,F$33)</f>
        <v>0</v>
      </c>
      <c r="G45" s="51">
        <f>SUMIFS('PR Data'!$AA:$AA,'PR Data'!$U:$U,$B45,'PR Data'!$AF:$AF,G$33)</f>
        <v>0</v>
      </c>
      <c r="H45" s="52">
        <f>SUMIFS('PR Data'!$AA:$AA,'PR Data'!$U:$U,$B45,'PR Data'!$AF:$AF,H$33)</f>
        <v>0</v>
      </c>
      <c r="I45" s="53"/>
      <c r="J45" s="61">
        <f t="shared" ref="J45" si="23">SUM(D45:H45)</f>
        <v>0</v>
      </c>
    </row>
    <row r="46" spans="2:20" x14ac:dyDescent="0.85">
      <c r="B46" s="41" t="s">
        <v>7</v>
      </c>
      <c r="D46" s="50">
        <f>SUMIFS('PR Data'!$AA:$AA,'PR Data'!$U:$U,$B46,'PR Data'!$AF:$AF,D$33)</f>
        <v>0</v>
      </c>
      <c r="E46" s="51">
        <f>SUMIFS('PR Data'!$AA:$AA,'PR Data'!$U:$U,$B46,'PR Data'!$AF:$AF,E$33)</f>
        <v>0</v>
      </c>
      <c r="F46" s="51">
        <f>SUMIFS('PR Data'!$AA:$AA,'PR Data'!$U:$U,$B46,'PR Data'!$AF:$AF,F$33)</f>
        <v>0</v>
      </c>
      <c r="G46" s="51">
        <f>SUMIFS('PR Data'!$AA:$AA,'PR Data'!$U:$U,$B46,'PR Data'!$AF:$AF,G$33)</f>
        <v>0</v>
      </c>
      <c r="H46" s="52">
        <f>SUMIFS('PR Data'!$AA:$AA,'PR Data'!$U:$U,$B46,'PR Data'!$AF:$AF,H$33)</f>
        <v>0</v>
      </c>
      <c r="I46" s="53"/>
      <c r="J46" s="61">
        <f t="shared" si="21"/>
        <v>0</v>
      </c>
    </row>
    <row r="47" spans="2:20" x14ac:dyDescent="0.85">
      <c r="B47" s="41" t="s">
        <v>5</v>
      </c>
      <c r="D47" s="50">
        <f>SUMIFS('PR Data'!$AA:$AA,'PR Data'!$U:$U,$B47,'PR Data'!$AF:$AF,D$33)</f>
        <v>0</v>
      </c>
      <c r="E47" s="51">
        <f>SUMIFS('PR Data'!$AA:$AA,'PR Data'!$U:$U,$B47,'PR Data'!$AF:$AF,E$33)</f>
        <v>0</v>
      </c>
      <c r="F47" s="51">
        <f>SUMIFS('PR Data'!$AA:$AA,'PR Data'!$U:$U,$B47,'PR Data'!$AF:$AF,F$33)</f>
        <v>0</v>
      </c>
      <c r="G47" s="51">
        <f>SUMIFS('PR Data'!$AA:$AA,'PR Data'!$U:$U,$B47,'PR Data'!$AF:$AF,G$33)</f>
        <v>0</v>
      </c>
      <c r="H47" s="52">
        <f>SUMIFS('PR Data'!$AA:$AA,'PR Data'!$U:$U,$B47,'PR Data'!$AF:$AF,H$33)</f>
        <v>0</v>
      </c>
      <c r="I47" s="53"/>
      <c r="J47" s="61">
        <f t="shared" si="21"/>
        <v>0</v>
      </c>
    </row>
    <row r="48" spans="2:20" x14ac:dyDescent="0.85">
      <c r="B48" s="41" t="s">
        <v>84</v>
      </c>
      <c r="D48" s="50">
        <f>SUMIFS('PR Data'!$AA:$AA,'PR Data'!$U:$U,$B48,'PR Data'!$AF:$AF,D$33)</f>
        <v>0</v>
      </c>
      <c r="E48" s="51">
        <f>SUMIFS('PR Data'!$AA:$AA,'PR Data'!$U:$U,$B48,'PR Data'!$AF:$AF,E$33)</f>
        <v>0</v>
      </c>
      <c r="F48" s="51">
        <f>SUMIFS('PR Data'!$AA:$AA,'PR Data'!$U:$U,$B48,'PR Data'!$AF:$AF,F$33)</f>
        <v>0</v>
      </c>
      <c r="G48" s="51">
        <f>SUMIFS('PR Data'!$AA:$AA,'PR Data'!$U:$U,$B48,'PR Data'!$AF:$AF,G$33)</f>
        <v>0</v>
      </c>
      <c r="H48" s="52">
        <f>SUMIFS('PR Data'!$AA:$AA,'PR Data'!$U:$U,$B48,'PR Data'!$AF:$AF,H$33)</f>
        <v>0</v>
      </c>
      <c r="I48" s="53"/>
      <c r="J48" s="61">
        <f t="shared" si="21"/>
        <v>0</v>
      </c>
    </row>
    <row r="49" spans="2:20" x14ac:dyDescent="0.85">
      <c r="B49" s="43"/>
      <c r="D49" s="54">
        <f>SUBTOTAL(9,D36:D48)</f>
        <v>1083662</v>
      </c>
      <c r="E49" s="55">
        <f>SUBTOTAL(9,E36:E48)</f>
        <v>285938</v>
      </c>
      <c r="F49" s="55">
        <f>SUBTOTAL(9,F36:F48)</f>
        <v>0</v>
      </c>
      <c r="G49" s="55">
        <f>SUBTOTAL(9,G36:G48)</f>
        <v>1916250</v>
      </c>
      <c r="H49" s="56">
        <f>SUBTOTAL(9,H36:H48)</f>
        <v>0</v>
      </c>
      <c r="I49" s="53"/>
      <c r="J49" s="62">
        <f>SUBTOTAL(9,J36:J48)</f>
        <v>3285850</v>
      </c>
      <c r="L49" s="90"/>
    </row>
    <row r="51" spans="2:20" ht="24" x14ac:dyDescent="1.05">
      <c r="B51" s="34" t="s">
        <v>75</v>
      </c>
    </row>
    <row r="52" spans="2:20" ht="4.5" customHeight="1" thickBot="1" x14ac:dyDescent="0.9">
      <c r="D52" s="48">
        <v>1</v>
      </c>
      <c r="E52" s="48">
        <v>2</v>
      </c>
      <c r="F52" s="48">
        <v>3</v>
      </c>
      <c r="G52" s="48">
        <v>4</v>
      </c>
      <c r="H52" s="48">
        <v>5</v>
      </c>
      <c r="L52" s="47"/>
      <c r="M52" s="47"/>
      <c r="N52" s="47"/>
      <c r="R52" s="47"/>
      <c r="S52" s="47"/>
      <c r="T52" s="47"/>
    </row>
    <row r="53" spans="2:20" ht="18.75" thickTop="1" x14ac:dyDescent="0.85">
      <c r="B53" s="76"/>
      <c r="C53" s="37"/>
      <c r="D53" s="78" t="s">
        <v>69</v>
      </c>
      <c r="E53" s="79"/>
      <c r="F53" s="79"/>
      <c r="G53" s="79"/>
      <c r="H53" s="80"/>
      <c r="I53" s="38"/>
      <c r="J53" s="84"/>
      <c r="R53" s="46"/>
    </row>
    <row r="54" spans="2:20" x14ac:dyDescent="0.85">
      <c r="B54" s="77" t="s">
        <v>39</v>
      </c>
      <c r="C54" s="39"/>
      <c r="D54" s="81" t="s">
        <v>70</v>
      </c>
      <c r="E54" s="82" t="s">
        <v>71</v>
      </c>
      <c r="F54" s="82" t="s">
        <v>72</v>
      </c>
      <c r="G54" s="82" t="s">
        <v>73</v>
      </c>
      <c r="H54" s="83" t="s">
        <v>74</v>
      </c>
      <c r="J54" s="85" t="s">
        <v>3</v>
      </c>
      <c r="M54" s="73"/>
      <c r="R54" s="46"/>
    </row>
    <row r="55" spans="2:20" x14ac:dyDescent="0.85">
      <c r="B55" s="41" t="s">
        <v>11</v>
      </c>
      <c r="D55" s="57">
        <f>SUMIFS('PR Data'!$AA:$AA,'PR Data'!$V:$V,$B55,'PR Data'!$AF:$AF,D$33)</f>
        <v>26283686.391298622</v>
      </c>
      <c r="E55" s="58">
        <f>SUMIFS('PR Data'!$AA:$AA,'PR Data'!$V:$V,$B55,'PR Data'!$AF:$AF,E$33)</f>
        <v>416543</v>
      </c>
      <c r="F55" s="58">
        <f>SUMIFS('PR Data'!$AA:$AA,'PR Data'!$V:$V,$B55,'PR Data'!$AF:$AF,F$33)</f>
        <v>3356250</v>
      </c>
      <c r="G55" s="58">
        <f>SUMIFS('PR Data'!$AA:$AA,'PR Data'!$V:$V,$B55,'PR Data'!$AF:$AF,G$33)</f>
        <v>2306345.850000828</v>
      </c>
      <c r="H55" s="59">
        <f>SUMIFS('PR Data'!$AA:$AA,'PR Data'!$V:$V,$B55,'PR Data'!$AF:$AF,H$33)</f>
        <v>0</v>
      </c>
      <c r="I55" s="53"/>
      <c r="J55" s="60">
        <f>SUM(D55:H55)</f>
        <v>32362825.24129945</v>
      </c>
    </row>
    <row r="56" spans="2:20" x14ac:dyDescent="0.85">
      <c r="B56" s="41" t="s">
        <v>15</v>
      </c>
      <c r="D56" s="63">
        <f>SUMIFS('PR Data'!$AA:$AA,'PR Data'!$V:$V,$B56,'PR Data'!$AF:$AF,D$33)</f>
        <v>0</v>
      </c>
      <c r="E56" s="64">
        <f>SUMIFS('PR Data'!$AA:$AA,'PR Data'!$V:$V,$B56,'PR Data'!$AF:$AF,E$33)</f>
        <v>0</v>
      </c>
      <c r="F56" s="64">
        <f>SUMIFS('PR Data'!$AA:$AA,'PR Data'!$V:$V,$B56,'PR Data'!$AF:$AF,F$33)</f>
        <v>0</v>
      </c>
      <c r="G56" s="64">
        <f>SUMIFS('PR Data'!$AA:$AA,'PR Data'!$V:$V,$B56,'PR Data'!$AF:$AF,G$33)</f>
        <v>0</v>
      </c>
      <c r="H56" s="65">
        <f>SUMIFS('PR Data'!$AA:$AA,'PR Data'!$V:$V,$B56,'PR Data'!$AF:$AF,H$33)</f>
        <v>0</v>
      </c>
      <c r="I56" s="53"/>
      <c r="J56" s="61">
        <f t="shared" ref="J56:J59" si="24">SUM(D56:H56)</f>
        <v>0</v>
      </c>
    </row>
    <row r="57" spans="2:20" x14ac:dyDescent="0.85">
      <c r="B57" s="41" t="s">
        <v>51</v>
      </c>
      <c r="D57" s="63">
        <f>SUMIFS('PR Data'!$AA:$AA,'PR Data'!$V:$V,$B57,'PR Data'!$AF:$AF,D$33)</f>
        <v>0</v>
      </c>
      <c r="E57" s="64">
        <f>SUMIFS('PR Data'!$AA:$AA,'PR Data'!$V:$V,$B57,'PR Data'!$AF:$AF,E$33)</f>
        <v>7000</v>
      </c>
      <c r="F57" s="64">
        <f>SUMIFS('PR Data'!$AA:$AA,'PR Data'!$V:$V,$B57,'PR Data'!$AF:$AF,F$33)</f>
        <v>0</v>
      </c>
      <c r="G57" s="64">
        <f>SUMIFS('PR Data'!$AA:$AA,'PR Data'!$V:$V,$B57,'PR Data'!$AF:$AF,G$33)</f>
        <v>0</v>
      </c>
      <c r="H57" s="65">
        <f>SUMIFS('PR Data'!$AA:$AA,'PR Data'!$V:$V,$B57,'PR Data'!$AF:$AF,H$33)</f>
        <v>300000</v>
      </c>
      <c r="I57" s="53"/>
      <c r="J57" s="61">
        <f t="shared" si="24"/>
        <v>307000</v>
      </c>
    </row>
    <row r="58" spans="2:20" x14ac:dyDescent="0.85">
      <c r="B58" s="41" t="s">
        <v>52</v>
      </c>
      <c r="D58" s="63">
        <f>SUMIFS('PR Data'!$AA:$AA,'PR Data'!$V:$V,$B58,'PR Data'!$AF:$AF,D$33)</f>
        <v>0</v>
      </c>
      <c r="E58" s="64">
        <f>SUMIFS('PR Data'!$AA:$AA,'PR Data'!$V:$V,$B58,'PR Data'!$AF:$AF,E$33)</f>
        <v>0</v>
      </c>
      <c r="F58" s="64">
        <f>SUMIFS('PR Data'!$AA:$AA,'PR Data'!$V:$V,$B58,'PR Data'!$AF:$AF,F$33)</f>
        <v>0</v>
      </c>
      <c r="G58" s="64">
        <f>SUMIFS('PR Data'!$AA:$AA,'PR Data'!$V:$V,$B58,'PR Data'!$AF:$AF,G$33)</f>
        <v>0</v>
      </c>
      <c r="H58" s="65">
        <f>SUMIFS('PR Data'!$AA:$AA,'PR Data'!$V:$V,$B58,'PR Data'!$AF:$AF,H$33)</f>
        <v>0</v>
      </c>
      <c r="I58" s="53"/>
      <c r="J58" s="61">
        <f t="shared" si="24"/>
        <v>0</v>
      </c>
    </row>
    <row r="59" spans="2:20" x14ac:dyDescent="0.85">
      <c r="B59" s="41" t="s">
        <v>12</v>
      </c>
      <c r="D59" s="63">
        <f>SUMIFS('PR Data'!$AA:$AA,'PR Data'!$V:$V,$B59,'PR Data'!$AF:$AF,D$33)</f>
        <v>16167265</v>
      </c>
      <c r="E59" s="64">
        <f>SUMIFS('PR Data'!$AA:$AA,'PR Data'!$V:$V,$B59,'PR Data'!$AF:$AF,E$33)</f>
        <v>1688530</v>
      </c>
      <c r="F59" s="64">
        <f>SUMIFS('PR Data'!$AA:$AA,'PR Data'!$V:$V,$B59,'PR Data'!$AF:$AF,F$33)</f>
        <v>0</v>
      </c>
      <c r="G59" s="64">
        <f>SUMIFS('PR Data'!$AA:$AA,'PR Data'!$V:$V,$B59,'PR Data'!$AF:$AF,G$33)</f>
        <v>14500</v>
      </c>
      <c r="H59" s="65">
        <f>SUMIFS('PR Data'!$AA:$AA,'PR Data'!$V:$V,$B59,'PR Data'!$AF:$AF,H$33)</f>
        <v>0</v>
      </c>
      <c r="I59" s="53"/>
      <c r="J59" s="61">
        <f t="shared" si="24"/>
        <v>17870295</v>
      </c>
    </row>
    <row r="60" spans="2:20" x14ac:dyDescent="0.85">
      <c r="B60" s="43"/>
      <c r="D60" s="66">
        <f>SUBTOTAL(9,D55:D59)</f>
        <v>42450951.391298622</v>
      </c>
      <c r="E60" s="67">
        <f t="shared" ref="E60:H60" si="25">SUBTOTAL(9,E55:E59)</f>
        <v>2112073</v>
      </c>
      <c r="F60" s="67">
        <f t="shared" si="25"/>
        <v>3356250</v>
      </c>
      <c r="G60" s="67">
        <f t="shared" si="25"/>
        <v>2320845.850000828</v>
      </c>
      <c r="H60" s="68">
        <f t="shared" si="25"/>
        <v>300000</v>
      </c>
      <c r="I60" s="53"/>
      <c r="J60" s="69">
        <f>SUBTOTAL(9,J55:J59)</f>
        <v>50540120.24129945</v>
      </c>
    </row>
    <row r="62" spans="2:20" x14ac:dyDescent="0.85">
      <c r="J62" s="49"/>
    </row>
    <row r="73" spans="11:11" x14ac:dyDescent="0.85">
      <c r="K73" s="47"/>
    </row>
    <row r="78" spans="11:11" x14ac:dyDescent="0.85">
      <c r="K78" s="47"/>
    </row>
    <row r="80" spans="11:11" x14ac:dyDescent="0.85">
      <c r="K80" s="91"/>
    </row>
  </sheetData>
  <sortState xmlns:xlrd2="http://schemas.microsoft.com/office/spreadsheetml/2017/richdata2" ref="A9:T17">
    <sortCondition descending="1" ref="A9:A17"/>
  </sortState>
  <pageMargins left="0.7" right="0.7" top="0.75" bottom="0.75" header="0.3" footer="0.3"/>
  <ignoredErrors>
    <ignoredError sqref="B1:XFD6 B18:M18 U15:XFD17 B50:XFD70 C46:XFD47 U9:XFD13 C36:XFD36 C37 K37:XFD37 B21:XFD27 B19:F19 H19:P19 B49:C49 M49:XFD49 C39:XFD43 C44 K44:XFD44 O18:XFD18 K7:XFD7 B72:J72 B71:J71 L71:XFD71 B75:J76 B73:J74 L73:XFD74 B79:J79 B77:J78 L77:XFD78 B95:XFD1048576 B80:J80 L80:XFD80 B20:R20 T19:XFD20 B30:XFD35 B28:F29 I28:XFD29 C48 K48:XFD48 K49 I49 B8:XFD8 B7:C7 E7:I7 L72:XFD72 L75:XFD76 L79:XFD79 B81:J94 L81:XFD9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74613-0098-4933-836E-ED3D001EB062}">
  <sheetPr>
    <tabColor rgb="FFC00000"/>
  </sheetPr>
  <dimension ref="A2:AH117"/>
  <sheetViews>
    <sheetView showGridLines="0" zoomScale="80" zoomScaleNormal="80" workbookViewId="0">
      <pane ySplit="3" topLeftCell="A4" activePane="bottomLeft" state="frozen"/>
      <selection activeCell="K4" sqref="K4:K18"/>
      <selection pane="bottomLeft" activeCell="K4" sqref="K4:K18"/>
    </sheetView>
  </sheetViews>
  <sheetFormatPr defaultRowHeight="14.25" x14ac:dyDescent="0.45"/>
  <cols>
    <col min="1" max="1" width="3.06640625" customWidth="1"/>
    <col min="2" max="2" width="10.796875" customWidth="1"/>
    <col min="3" max="3" width="25" customWidth="1"/>
    <col min="4" max="5" width="13.73046875" bestFit="1" customWidth="1"/>
    <col min="6" max="7" width="8.73046875" style="1"/>
    <col min="8" max="8" width="12.796875" style="3" customWidth="1"/>
    <col min="9" max="9" width="13" style="3" customWidth="1"/>
    <col min="10" max="10" width="12.59765625" style="86" customWidth="1"/>
    <col min="11" max="11" width="12.53125" style="92" customWidth="1"/>
    <col min="12" max="12" width="6.73046875" bestFit="1" customWidth="1"/>
    <col min="13" max="13" width="6.73046875" customWidth="1"/>
    <col min="14" max="14" width="6.73046875" style="86" customWidth="1"/>
    <col min="15" max="18" width="12.53125" style="2" bestFit="1" customWidth="1"/>
    <col min="19" max="19" width="8.73046875" style="26"/>
    <col min="20" max="21" width="16" style="2" customWidth="1"/>
    <col min="22" max="22" width="16.265625" customWidth="1"/>
    <col min="23" max="23" width="15.265625" style="2" customWidth="1"/>
    <col min="24" max="25" width="11.06640625" style="2" bestFit="1" customWidth="1"/>
    <col min="26" max="26" width="13.265625" style="2" bestFit="1" customWidth="1"/>
    <col min="27" max="27" width="11.06640625" style="2" bestFit="1" customWidth="1"/>
    <col min="28" max="28" width="11.06640625" style="2" customWidth="1"/>
    <col min="29" max="29" width="11.265625" style="2" customWidth="1"/>
    <col min="30" max="30" width="11.9296875" style="3" bestFit="1" customWidth="1"/>
    <col min="31" max="31" width="8.73046875" style="1"/>
    <col min="32" max="32" width="14.46484375" style="1" customWidth="1"/>
    <col min="34" max="34" width="10.796875" bestFit="1" customWidth="1"/>
  </cols>
  <sheetData>
    <row r="2" spans="3:34" x14ac:dyDescent="0.45">
      <c r="O2" s="2">
        <f>SUBTOTAL(9,O4:O99)</f>
        <v>74017991.657993466</v>
      </c>
      <c r="P2" s="2">
        <f t="shared" ref="P2:R2" si="0">SUBTOTAL(9,P4:P99)</f>
        <v>25842027.307668876</v>
      </c>
      <c r="Q2" s="2">
        <f t="shared" si="0"/>
        <v>12952131.019581525</v>
      </c>
      <c r="R2" s="2">
        <f t="shared" si="0"/>
        <v>12153510.185127288</v>
      </c>
      <c r="T2" s="2">
        <f>O2-P2</f>
        <v>48175964.350324586</v>
      </c>
      <c r="V2" s="75">
        <f>P2-Q2</f>
        <v>12889896.288087351</v>
      </c>
      <c r="W2" s="2">
        <f t="shared" ref="W2:AC2" si="1">SUBTOTAL(9,W4:W99)</f>
        <v>47098228</v>
      </c>
      <c r="X2" s="2">
        <f t="shared" si="1"/>
        <v>11005119.24129945</v>
      </c>
      <c r="Y2" s="2">
        <f t="shared" si="1"/>
        <v>4161244.0881157098</v>
      </c>
      <c r="Z2" s="2">
        <f t="shared" si="1"/>
        <v>-557440</v>
      </c>
      <c r="AA2" s="2">
        <f t="shared" si="1"/>
        <v>56662497.241299428</v>
      </c>
      <c r="AB2" s="2">
        <f t="shared" si="1"/>
        <v>0</v>
      </c>
      <c r="AC2" s="2">
        <f t="shared" si="1"/>
        <v>60823741.329415128</v>
      </c>
      <c r="AD2" s="98">
        <f>R2-AC2</f>
        <v>-48670231.14428784</v>
      </c>
    </row>
    <row r="3" spans="3:34" ht="42.75" x14ac:dyDescent="0.45">
      <c r="C3" s="4" t="s">
        <v>19</v>
      </c>
      <c r="D3" s="5" t="s">
        <v>0</v>
      </c>
      <c r="E3" s="5" t="s">
        <v>8</v>
      </c>
      <c r="F3" s="5" t="s">
        <v>9</v>
      </c>
      <c r="G3" s="5" t="s">
        <v>10</v>
      </c>
      <c r="H3" s="6" t="s">
        <v>126</v>
      </c>
      <c r="I3" s="6" t="s">
        <v>127</v>
      </c>
      <c r="J3" s="87" t="s">
        <v>1</v>
      </c>
      <c r="K3" s="93" t="s">
        <v>22</v>
      </c>
      <c r="L3" s="5" t="s">
        <v>21</v>
      </c>
      <c r="M3" s="5" t="s">
        <v>34</v>
      </c>
      <c r="N3" s="87" t="s">
        <v>88</v>
      </c>
      <c r="O3" s="10" t="s">
        <v>16</v>
      </c>
      <c r="P3" s="10" t="s">
        <v>17</v>
      </c>
      <c r="Q3" s="10" t="s">
        <v>18</v>
      </c>
      <c r="R3" s="7" t="s">
        <v>2</v>
      </c>
      <c r="S3" s="24" t="s">
        <v>40</v>
      </c>
      <c r="T3" s="8" t="s">
        <v>102</v>
      </c>
      <c r="U3" s="8" t="s">
        <v>38</v>
      </c>
      <c r="V3" s="9" t="s">
        <v>39</v>
      </c>
      <c r="W3" s="27" t="s">
        <v>41</v>
      </c>
      <c r="X3" s="27" t="s">
        <v>42</v>
      </c>
      <c r="Y3" s="27" t="s">
        <v>43</v>
      </c>
      <c r="Z3" s="27" t="s">
        <v>44</v>
      </c>
      <c r="AA3" s="27" t="s">
        <v>45</v>
      </c>
      <c r="AB3" s="27" t="s">
        <v>36</v>
      </c>
      <c r="AC3" s="27" t="s">
        <v>46</v>
      </c>
      <c r="AD3" s="31" t="s">
        <v>56</v>
      </c>
      <c r="AE3" s="33" t="s">
        <v>57</v>
      </c>
      <c r="AF3" s="33" t="s">
        <v>58</v>
      </c>
      <c r="AG3" s="30" t="s">
        <v>59</v>
      </c>
      <c r="AH3" s="94" t="s">
        <v>139</v>
      </c>
    </row>
    <row r="4" spans="3:34" x14ac:dyDescent="0.45">
      <c r="C4" s="11" t="str">
        <f t="shared" ref="C4:C65" si="2">D4&amp;"-"&amp;E4&amp;"-"&amp;F4&amp;"-"&amp;G4</f>
        <v>14022157-13011533-1-3</v>
      </c>
      <c r="D4" s="11">
        <v>14022157</v>
      </c>
      <c r="E4" s="11">
        <v>13011533</v>
      </c>
      <c r="F4" s="12">
        <v>1</v>
      </c>
      <c r="G4" s="12">
        <v>3</v>
      </c>
      <c r="H4" s="13">
        <v>44615</v>
      </c>
      <c r="I4" s="13">
        <v>44620.677731481483</v>
      </c>
      <c r="J4" s="14" t="s">
        <v>48</v>
      </c>
      <c r="K4" s="14" t="s">
        <v>48</v>
      </c>
      <c r="L4" s="11" t="s">
        <v>49</v>
      </c>
      <c r="M4" s="74" t="s">
        <v>37</v>
      </c>
      <c r="N4" s="29" t="s">
        <v>94</v>
      </c>
      <c r="O4" s="15">
        <v>1635903.1</v>
      </c>
      <c r="P4" s="15">
        <v>1634160</v>
      </c>
      <c r="Q4" s="15">
        <v>1563119.25</v>
      </c>
      <c r="R4" s="15">
        <v>71040.75</v>
      </c>
      <c r="S4" s="23" t="s">
        <v>76</v>
      </c>
      <c r="T4" s="28" t="s">
        <v>101</v>
      </c>
      <c r="U4" s="28" t="s">
        <v>101</v>
      </c>
      <c r="V4" s="29" t="s">
        <v>11</v>
      </c>
      <c r="W4" s="15">
        <v>0</v>
      </c>
      <c r="X4" s="15">
        <f t="shared" ref="X4:X34" si="3">IF(R4&gt;Q4,R4-Q4,0)</f>
        <v>0</v>
      </c>
      <c r="Y4" s="15">
        <f>R4</f>
        <v>71040.75</v>
      </c>
      <c r="Z4" s="15">
        <v>0</v>
      </c>
      <c r="AA4" s="15" cm="1">
        <f t="array" ref="AA4">_xlfn.IFS(M4="Closed",0,M4="Canceled",0,M4="Closed for Receiving",0,TRUE,SUM(W4:X4))+Z4</f>
        <v>0</v>
      </c>
      <c r="AB4" s="15"/>
      <c r="AC4" s="15">
        <f t="shared" ref="AC4:AC32" si="4">+Y4+AA4+AB4</f>
        <v>71040.75</v>
      </c>
      <c r="AE4" s="32">
        <v>0</v>
      </c>
      <c r="AG4" s="1">
        <f>(COUNTIF($E4:$E$4,$E4)=1)+0</f>
        <v>1</v>
      </c>
      <c r="AH4" s="75">
        <f>R4-Q4</f>
        <v>-1492078.5</v>
      </c>
    </row>
    <row r="5" spans="3:34" x14ac:dyDescent="0.45">
      <c r="C5" s="11" t="str">
        <f t="shared" si="2"/>
        <v>14022158-13011533-1-2</v>
      </c>
      <c r="D5" s="11">
        <v>14022158</v>
      </c>
      <c r="E5" s="11">
        <v>13011533</v>
      </c>
      <c r="F5" s="12">
        <v>1</v>
      </c>
      <c r="G5" s="12">
        <v>2</v>
      </c>
      <c r="H5" s="13">
        <v>44615</v>
      </c>
      <c r="I5" s="13">
        <v>44620.677997685183</v>
      </c>
      <c r="J5" s="14" t="s">
        <v>116</v>
      </c>
      <c r="K5" s="14" t="s">
        <v>116</v>
      </c>
      <c r="L5" s="11" t="s">
        <v>49</v>
      </c>
      <c r="M5" s="11" t="s">
        <v>37</v>
      </c>
      <c r="N5" s="29" t="s">
        <v>94</v>
      </c>
      <c r="O5" s="15">
        <v>2451362</v>
      </c>
      <c r="P5" s="15">
        <v>2448750</v>
      </c>
      <c r="Q5" s="15">
        <v>898290</v>
      </c>
      <c r="R5" s="15">
        <v>1550460</v>
      </c>
      <c r="S5" s="23" t="s">
        <v>76</v>
      </c>
      <c r="T5" s="15" t="s">
        <v>50</v>
      </c>
      <c r="U5" s="15" t="s">
        <v>50</v>
      </c>
      <c r="V5" s="29" t="s">
        <v>11</v>
      </c>
      <c r="W5" s="15">
        <v>0</v>
      </c>
      <c r="X5" s="15">
        <f t="shared" si="3"/>
        <v>652170</v>
      </c>
      <c r="Y5" s="15">
        <f>Q5</f>
        <v>898290</v>
      </c>
      <c r="Z5" s="15">
        <v>0</v>
      </c>
      <c r="AA5" s="15" cm="1">
        <f t="array" ref="AA5">_xlfn.IFS(M5="Closed",0,M5="Canceled",0,M5="Closed for Receiving",0,TRUE,SUM(W5:X5))+Z5</f>
        <v>0</v>
      </c>
      <c r="AB5" s="15"/>
      <c r="AC5" s="15">
        <f t="shared" si="4"/>
        <v>898290</v>
      </c>
      <c r="AE5" s="32">
        <v>0</v>
      </c>
      <c r="AG5" s="1">
        <f>(COUNTIF($E$4:$E5,$E5)=1)+0</f>
        <v>0</v>
      </c>
      <c r="AH5" s="75">
        <f t="shared" ref="AH5:AH58" si="5">R5-Q5</f>
        <v>652170</v>
      </c>
    </row>
    <row r="6" spans="3:34" x14ac:dyDescent="0.45">
      <c r="C6" s="11" t="str">
        <f t="shared" si="2"/>
        <v>14022159-13011533-1-1</v>
      </c>
      <c r="D6" s="11">
        <v>14022159</v>
      </c>
      <c r="E6" s="11">
        <v>13011533</v>
      </c>
      <c r="F6" s="12">
        <v>1</v>
      </c>
      <c r="G6" s="12">
        <v>1</v>
      </c>
      <c r="H6" s="13">
        <v>44615</v>
      </c>
      <c r="I6" s="13">
        <v>44620.677152777775</v>
      </c>
      <c r="J6" s="14" t="s">
        <v>117</v>
      </c>
      <c r="K6" s="14" t="s">
        <v>117</v>
      </c>
      <c r="L6" s="11" t="s">
        <v>128</v>
      </c>
      <c r="M6" s="11" t="s">
        <v>37</v>
      </c>
      <c r="N6" s="29" t="s">
        <v>95</v>
      </c>
      <c r="O6" s="15">
        <v>900960</v>
      </c>
      <c r="P6" s="15">
        <v>900000</v>
      </c>
      <c r="Q6" s="15">
        <v>337500</v>
      </c>
      <c r="R6" s="15">
        <v>562500</v>
      </c>
      <c r="S6" s="23" t="s">
        <v>76</v>
      </c>
      <c r="T6" s="15" t="s">
        <v>101</v>
      </c>
      <c r="U6" s="15" t="s">
        <v>101</v>
      </c>
      <c r="V6" s="29" t="s">
        <v>11</v>
      </c>
      <c r="W6" s="15">
        <v>0</v>
      </c>
      <c r="X6" s="15">
        <f t="shared" si="3"/>
        <v>225000</v>
      </c>
      <c r="Y6" s="15">
        <f>Q6</f>
        <v>337500</v>
      </c>
      <c r="Z6" s="15">
        <v>0</v>
      </c>
      <c r="AA6" s="15" cm="1">
        <f t="array" ref="AA6">_xlfn.IFS(M6="Closed",0,M6="Canceled",0,M6="Closed for Receiving",0,TRUE,SUM(W6:X6))+Z6</f>
        <v>0</v>
      </c>
      <c r="AB6" s="15"/>
      <c r="AC6" s="15">
        <f t="shared" si="4"/>
        <v>337500</v>
      </c>
      <c r="AE6" s="32">
        <v>0</v>
      </c>
      <c r="AG6" s="1">
        <f>(COUNTIF($E$4:$E6,$E6)=1)+0</f>
        <v>0</v>
      </c>
      <c r="AH6" s="75">
        <f t="shared" si="5"/>
        <v>225000</v>
      </c>
    </row>
    <row r="7" spans="3:34" x14ac:dyDescent="0.45">
      <c r="C7" s="11" t="str">
        <f t="shared" si="2"/>
        <v>14032355-13019561-2-2</v>
      </c>
      <c r="D7" s="11">
        <v>14032355</v>
      </c>
      <c r="E7" s="11">
        <v>13019561</v>
      </c>
      <c r="F7" s="12">
        <v>2</v>
      </c>
      <c r="G7" s="12">
        <v>2</v>
      </c>
      <c r="H7" s="13">
        <v>44860</v>
      </c>
      <c r="I7" s="13">
        <v>44880.540682870371</v>
      </c>
      <c r="J7" s="14" t="s">
        <v>25</v>
      </c>
      <c r="K7" s="14" t="s">
        <v>25</v>
      </c>
      <c r="L7" s="11" t="s">
        <v>29</v>
      </c>
      <c r="M7" s="11" t="s">
        <v>37</v>
      </c>
      <c r="N7" s="29" t="s">
        <v>89</v>
      </c>
      <c r="O7" s="15">
        <v>116550</v>
      </c>
      <c r="P7" s="15">
        <v>116550</v>
      </c>
      <c r="Q7" s="15">
        <v>115915.34974886999</v>
      </c>
      <c r="R7" s="15">
        <v>634.65025113000593</v>
      </c>
      <c r="S7" s="23" t="s">
        <v>76</v>
      </c>
      <c r="T7" s="15" t="s">
        <v>134</v>
      </c>
      <c r="U7" s="15" t="s">
        <v>134</v>
      </c>
      <c r="V7" s="11" t="s">
        <v>11</v>
      </c>
      <c r="W7" s="15">
        <v>0</v>
      </c>
      <c r="X7" s="15">
        <f t="shared" si="3"/>
        <v>0</v>
      </c>
      <c r="Y7" s="15">
        <f t="shared" ref="Y7:Y14" si="6">R7</f>
        <v>634.65025113000593</v>
      </c>
      <c r="Z7" s="15">
        <v>0</v>
      </c>
      <c r="AA7" s="15" cm="1">
        <f t="array" ref="AA7">_xlfn.IFS(M7="Closed",0,M7="Canceled",0,M7="Closed for Receiving",0,TRUE,SUM(W7:X7))+Z7</f>
        <v>0</v>
      </c>
      <c r="AB7" s="15"/>
      <c r="AC7" s="15">
        <f t="shared" si="4"/>
        <v>634.65025113000593</v>
      </c>
      <c r="AE7" s="32">
        <v>0</v>
      </c>
      <c r="AG7" s="1">
        <f>(COUNTIF($E$4:$E7,$E7)=1)+0</f>
        <v>1</v>
      </c>
      <c r="AH7" s="75">
        <f t="shared" si="5"/>
        <v>-115280.69949773999</v>
      </c>
    </row>
    <row r="8" spans="3:34" x14ac:dyDescent="0.45">
      <c r="C8" s="11" t="str">
        <f t="shared" si="2"/>
        <v>14033775-13019904-1-1</v>
      </c>
      <c r="D8" s="11">
        <v>14033775</v>
      </c>
      <c r="E8" s="11">
        <v>13019904</v>
      </c>
      <c r="F8" s="12">
        <v>1</v>
      </c>
      <c r="G8" s="12">
        <v>1</v>
      </c>
      <c r="H8" s="13">
        <v>44886</v>
      </c>
      <c r="I8" s="13">
        <v>44901.376134259262</v>
      </c>
      <c r="J8" s="14" t="s">
        <v>26</v>
      </c>
      <c r="K8" s="14" t="s">
        <v>26</v>
      </c>
      <c r="L8" s="11" t="s">
        <v>31</v>
      </c>
      <c r="M8" s="11" t="s">
        <v>37</v>
      </c>
      <c r="N8" s="29" t="s">
        <v>91</v>
      </c>
      <c r="O8" s="15">
        <v>112498.875</v>
      </c>
      <c r="P8" s="15">
        <v>112498.875</v>
      </c>
      <c r="Q8" s="15">
        <v>111586.384125</v>
      </c>
      <c r="R8" s="15">
        <v>912.49087500000314</v>
      </c>
      <c r="S8" s="23" t="s">
        <v>76</v>
      </c>
      <c r="T8" s="15" t="s">
        <v>101</v>
      </c>
      <c r="U8" s="15" t="s">
        <v>101</v>
      </c>
      <c r="V8" s="29" t="s">
        <v>11</v>
      </c>
      <c r="W8" s="15">
        <v>0</v>
      </c>
      <c r="X8" s="15">
        <f t="shared" si="3"/>
        <v>0</v>
      </c>
      <c r="Y8" s="15">
        <f t="shared" si="6"/>
        <v>912.49087500000314</v>
      </c>
      <c r="Z8" s="15">
        <v>0</v>
      </c>
      <c r="AA8" s="15" cm="1">
        <f t="array" ref="AA8">_xlfn.IFS(M8="Closed",0,M8="Canceled",0,M8="Closed for Receiving",0,TRUE,SUM(W8:X8))+Z8</f>
        <v>0</v>
      </c>
      <c r="AB8" s="15"/>
      <c r="AC8" s="15">
        <f t="shared" si="4"/>
        <v>912.49087500000314</v>
      </c>
      <c r="AE8" s="32">
        <v>0</v>
      </c>
      <c r="AG8" s="1">
        <f>(COUNTIF($E$4:$E8,$E8)=1)+0</f>
        <v>1</v>
      </c>
      <c r="AH8" s="75">
        <f t="shared" si="5"/>
        <v>-110673.89324999999</v>
      </c>
    </row>
    <row r="9" spans="3:34" x14ac:dyDescent="0.45">
      <c r="C9" s="11" t="str">
        <f t="shared" si="2"/>
        <v>14038250-13022718-9-4</v>
      </c>
      <c r="D9" s="11">
        <v>14038250</v>
      </c>
      <c r="E9" s="11">
        <v>13022718</v>
      </c>
      <c r="F9" s="12">
        <v>9</v>
      </c>
      <c r="G9" s="12">
        <v>4</v>
      </c>
      <c r="H9" s="13">
        <v>44977</v>
      </c>
      <c r="I9" s="13">
        <v>44978.607048611113</v>
      </c>
      <c r="J9" s="14" t="s">
        <v>24</v>
      </c>
      <c r="K9" s="14" t="s">
        <v>24</v>
      </c>
      <c r="L9" s="11" t="s">
        <v>28</v>
      </c>
      <c r="M9" s="11" t="s">
        <v>35</v>
      </c>
      <c r="N9" s="29" t="s">
        <v>89</v>
      </c>
      <c r="O9" s="15">
        <v>543750</v>
      </c>
      <c r="P9" s="15">
        <v>543750</v>
      </c>
      <c r="Q9" s="15">
        <v>543635.625</v>
      </c>
      <c r="R9" s="15">
        <v>114.375</v>
      </c>
      <c r="S9" s="23" t="s">
        <v>76</v>
      </c>
      <c r="T9" s="15" t="s">
        <v>134</v>
      </c>
      <c r="U9" s="15" t="s">
        <v>134</v>
      </c>
      <c r="V9" s="11" t="s">
        <v>11</v>
      </c>
      <c r="W9" s="15">
        <v>0</v>
      </c>
      <c r="X9" s="15">
        <f t="shared" si="3"/>
        <v>0</v>
      </c>
      <c r="Y9" s="15">
        <f t="shared" si="6"/>
        <v>114.375</v>
      </c>
      <c r="Z9" s="15">
        <v>0</v>
      </c>
      <c r="AA9" s="15" cm="1">
        <f t="array" ref="AA9">_xlfn.IFS(M9="Closed",0,M9="Canceled",0,M9="Closed for Receiving",0,TRUE,SUM(W9:X9))+Z9</f>
        <v>0</v>
      </c>
      <c r="AB9" s="15"/>
      <c r="AC9" s="15">
        <f t="shared" si="4"/>
        <v>114.375</v>
      </c>
      <c r="AD9" s="3">
        <v>45777</v>
      </c>
      <c r="AE9" s="32">
        <f>IF(I9&gt;0,_xlfn.DAYS(AD9,I9)/30,0)</f>
        <v>26.633333333333333</v>
      </c>
      <c r="AF9" s="1">
        <v>5</v>
      </c>
      <c r="AG9" s="1">
        <f>(COUNTIF($E$4:$E9,$E9)=1)+0</f>
        <v>1</v>
      </c>
      <c r="AH9" s="75">
        <f t="shared" si="5"/>
        <v>-543521.25</v>
      </c>
    </row>
    <row r="10" spans="3:34" x14ac:dyDescent="0.45">
      <c r="C10" s="11" t="str">
        <f t="shared" si="2"/>
        <v>14038251-13023234-9-1</v>
      </c>
      <c r="D10" s="11">
        <v>14038251</v>
      </c>
      <c r="E10" s="11">
        <v>13023234</v>
      </c>
      <c r="F10" s="12">
        <v>9</v>
      </c>
      <c r="G10" s="12">
        <v>1</v>
      </c>
      <c r="H10" s="13">
        <v>44977</v>
      </c>
      <c r="I10" s="13">
        <v>44992.044976851852</v>
      </c>
      <c r="J10" s="14" t="s">
        <v>23</v>
      </c>
      <c r="K10" s="14" t="s">
        <v>23</v>
      </c>
      <c r="L10" s="11" t="s">
        <v>28</v>
      </c>
      <c r="M10" s="11" t="s">
        <v>35</v>
      </c>
      <c r="N10" s="29" t="s">
        <v>89</v>
      </c>
      <c r="O10" s="15">
        <v>1246875</v>
      </c>
      <c r="P10" s="15">
        <v>1246875</v>
      </c>
      <c r="Q10" s="15">
        <v>1245631.875</v>
      </c>
      <c r="R10" s="15">
        <v>1243.125</v>
      </c>
      <c r="S10" s="23" t="s">
        <v>76</v>
      </c>
      <c r="T10" s="15" t="s">
        <v>134</v>
      </c>
      <c r="U10" s="15" t="s">
        <v>134</v>
      </c>
      <c r="V10" s="11" t="s">
        <v>11</v>
      </c>
      <c r="W10" s="15">
        <v>0</v>
      </c>
      <c r="X10" s="15">
        <f t="shared" si="3"/>
        <v>0</v>
      </c>
      <c r="Y10" s="15">
        <f t="shared" si="6"/>
        <v>1243.125</v>
      </c>
      <c r="Z10" s="15">
        <v>0</v>
      </c>
      <c r="AA10" s="15" cm="1">
        <f t="array" ref="AA10">_xlfn.IFS(M10="Closed",0,M10="Canceled",0,M10="Closed for Receiving",0,TRUE,SUM(W10:X10))+Z10</f>
        <v>0</v>
      </c>
      <c r="AB10" s="15"/>
      <c r="AC10" s="15">
        <f t="shared" si="4"/>
        <v>1243.125</v>
      </c>
      <c r="AD10" s="3">
        <v>45777</v>
      </c>
      <c r="AE10" s="32">
        <f t="shared" ref="AE10:AE28" si="7">IF(I10&gt;0,_xlfn.DAYS(AD10,I10)/30,0)</f>
        <v>26.166666666666668</v>
      </c>
      <c r="AF10" s="1">
        <v>5</v>
      </c>
      <c r="AG10" s="1">
        <f>(COUNTIF($E$4:$E10,$E10)=1)+0</f>
        <v>1</v>
      </c>
      <c r="AH10" s="75">
        <f t="shared" si="5"/>
        <v>-1244388.75</v>
      </c>
    </row>
    <row r="11" spans="3:34" x14ac:dyDescent="0.45">
      <c r="C11" s="11" t="str">
        <f t="shared" si="2"/>
        <v>14039056-13022718-1-7</v>
      </c>
      <c r="D11" s="11">
        <v>14039056</v>
      </c>
      <c r="E11" s="11">
        <v>13022718</v>
      </c>
      <c r="F11" s="12">
        <v>1</v>
      </c>
      <c r="G11" s="12">
        <v>7</v>
      </c>
      <c r="H11" s="13">
        <v>44993</v>
      </c>
      <c r="I11" s="13">
        <v>44994.412673611114</v>
      </c>
      <c r="J11" s="14" t="s">
        <v>6</v>
      </c>
      <c r="K11" s="14" t="s">
        <v>6</v>
      </c>
      <c r="L11" s="11" t="s">
        <v>28</v>
      </c>
      <c r="M11" s="74" t="s">
        <v>35</v>
      </c>
      <c r="N11" s="88" t="s">
        <v>89</v>
      </c>
      <c r="O11" s="15">
        <v>281250</v>
      </c>
      <c r="P11" s="15">
        <v>281250</v>
      </c>
      <c r="Q11" s="15">
        <v>255850.08749999999</v>
      </c>
      <c r="R11" s="15">
        <v>25399.912500000006</v>
      </c>
      <c r="S11" s="23" t="s">
        <v>76</v>
      </c>
      <c r="T11" s="15" t="s">
        <v>134</v>
      </c>
      <c r="U11" s="15" t="s">
        <v>134</v>
      </c>
      <c r="V11" s="11" t="s">
        <v>11</v>
      </c>
      <c r="W11" s="15">
        <v>0</v>
      </c>
      <c r="X11" s="15">
        <f t="shared" si="3"/>
        <v>0</v>
      </c>
      <c r="Y11" s="15">
        <f t="shared" si="6"/>
        <v>25399.912500000006</v>
      </c>
      <c r="Z11" s="15">
        <v>0</v>
      </c>
      <c r="AA11" s="15" cm="1">
        <f t="array" ref="AA11">_xlfn.IFS(M11="Closed",0,M11="Canceled",0,M11="Closed for Receiving",0,TRUE,SUM(W11:X11))+Z11</f>
        <v>0</v>
      </c>
      <c r="AB11" s="15"/>
      <c r="AC11" s="15">
        <f t="shared" si="4"/>
        <v>25399.912500000006</v>
      </c>
      <c r="AD11" s="3">
        <v>45777</v>
      </c>
      <c r="AE11" s="32">
        <f t="shared" si="7"/>
        <v>26.1</v>
      </c>
      <c r="AF11" s="1">
        <v>5</v>
      </c>
      <c r="AG11" s="1">
        <f>(COUNTIF($E$4:$E11,$E11)=1)+0</f>
        <v>0</v>
      </c>
      <c r="AH11" s="75">
        <f t="shared" si="5"/>
        <v>-230450.17499999999</v>
      </c>
    </row>
    <row r="12" spans="3:34" x14ac:dyDescent="0.45">
      <c r="C12" s="11" t="str">
        <f t="shared" si="2"/>
        <v>14053646-13036926-2-2</v>
      </c>
      <c r="D12" s="11">
        <v>14053646</v>
      </c>
      <c r="E12" s="11">
        <v>13036926</v>
      </c>
      <c r="F12" s="12">
        <v>2</v>
      </c>
      <c r="G12" s="12">
        <v>2</v>
      </c>
      <c r="H12" s="13">
        <v>45305</v>
      </c>
      <c r="I12" s="13">
        <v>45396.259675925925</v>
      </c>
      <c r="J12" s="14" t="s">
        <v>85</v>
      </c>
      <c r="K12" s="14" t="s">
        <v>85</v>
      </c>
      <c r="L12" s="11" t="s">
        <v>28</v>
      </c>
      <c r="M12" s="11" t="s">
        <v>35</v>
      </c>
      <c r="N12" s="29" t="s">
        <v>89</v>
      </c>
      <c r="O12" s="15">
        <v>63750</v>
      </c>
      <c r="P12" s="15">
        <v>63750</v>
      </c>
      <c r="Q12" s="15">
        <v>36642.1875</v>
      </c>
      <c r="R12" s="15">
        <v>27107.8125</v>
      </c>
      <c r="S12" s="23" t="s">
        <v>76</v>
      </c>
      <c r="T12" s="15" t="s">
        <v>134</v>
      </c>
      <c r="U12" s="15" t="s">
        <v>134</v>
      </c>
      <c r="V12" s="11" t="s">
        <v>11</v>
      </c>
      <c r="W12" s="15">
        <v>0</v>
      </c>
      <c r="X12" s="15">
        <f t="shared" si="3"/>
        <v>0</v>
      </c>
      <c r="Y12" s="15">
        <f t="shared" si="6"/>
        <v>27107.8125</v>
      </c>
      <c r="Z12" s="15">
        <v>0</v>
      </c>
      <c r="AA12" s="15" cm="1">
        <f t="array" ref="AA12">_xlfn.IFS(M12="Closed",0,M12="Canceled",0,M12="Closed for Receiving",0,TRUE,SUM(W12:X12))+Z12</f>
        <v>0</v>
      </c>
      <c r="AB12" s="15"/>
      <c r="AC12" s="15">
        <f t="shared" si="4"/>
        <v>27107.8125</v>
      </c>
      <c r="AD12" s="3">
        <v>45777</v>
      </c>
      <c r="AE12" s="32">
        <f t="shared" si="7"/>
        <v>12.7</v>
      </c>
      <c r="AF12" s="1">
        <v>5</v>
      </c>
      <c r="AG12" s="1">
        <f>(COUNTIF($E$4:$E12,$E12)=1)+0</f>
        <v>1</v>
      </c>
      <c r="AH12" s="75">
        <f t="shared" si="5"/>
        <v>-9534.375</v>
      </c>
    </row>
    <row r="13" spans="3:34" x14ac:dyDescent="0.45">
      <c r="C13" s="11" t="str">
        <f t="shared" si="2"/>
        <v>14056705-13034685-1-1</v>
      </c>
      <c r="D13" s="11">
        <v>14056705</v>
      </c>
      <c r="E13" s="11">
        <v>13034685</v>
      </c>
      <c r="F13" s="12">
        <v>1</v>
      </c>
      <c r="G13" s="12">
        <v>1</v>
      </c>
      <c r="H13" s="13">
        <v>45364</v>
      </c>
      <c r="I13" s="13">
        <v>45371.344583333332</v>
      </c>
      <c r="J13" s="14" t="s">
        <v>79</v>
      </c>
      <c r="K13" s="14" t="s">
        <v>79</v>
      </c>
      <c r="L13" s="11" t="s">
        <v>28</v>
      </c>
      <c r="M13" s="11" t="s">
        <v>35</v>
      </c>
      <c r="N13" s="29" t="s">
        <v>89</v>
      </c>
      <c r="O13" s="15">
        <v>761250</v>
      </c>
      <c r="P13" s="15">
        <v>761250</v>
      </c>
      <c r="Q13" s="15">
        <v>738313.98739875003</v>
      </c>
      <c r="R13" s="15">
        <v>22936.012601249968</v>
      </c>
      <c r="S13" s="23" t="s">
        <v>76</v>
      </c>
      <c r="T13" s="15" t="s">
        <v>134</v>
      </c>
      <c r="U13" s="15" t="s">
        <v>134</v>
      </c>
      <c r="V13" s="11" t="s">
        <v>11</v>
      </c>
      <c r="W13" s="15">
        <v>0</v>
      </c>
      <c r="X13" s="15">
        <f t="shared" si="3"/>
        <v>0</v>
      </c>
      <c r="Y13" s="15">
        <f t="shared" si="6"/>
        <v>22936.012601249968</v>
      </c>
      <c r="Z13" s="15">
        <v>0</v>
      </c>
      <c r="AA13" s="15" cm="1">
        <f t="array" ref="AA13">_xlfn.IFS(M13="Closed",0,M13="Canceled",0,M13="Closed for Receiving",0,TRUE,SUM(W13:X13))+Z13</f>
        <v>0</v>
      </c>
      <c r="AB13" s="15"/>
      <c r="AC13" s="15">
        <f t="shared" si="4"/>
        <v>22936.012601249968</v>
      </c>
      <c r="AD13" s="3">
        <v>45777</v>
      </c>
      <c r="AE13" s="32">
        <f t="shared" si="7"/>
        <v>13.533333333333333</v>
      </c>
      <c r="AF13" s="1">
        <v>5</v>
      </c>
      <c r="AG13" s="1">
        <f>(COUNTIF($E$4:$E13,$E13)=1)+0</f>
        <v>1</v>
      </c>
      <c r="AH13" s="75">
        <f t="shared" si="5"/>
        <v>-715377.97479750006</v>
      </c>
    </row>
    <row r="14" spans="3:34" x14ac:dyDescent="0.45">
      <c r="C14" s="11" t="str">
        <f t="shared" si="2"/>
        <v>14056907-13035845-1-1</v>
      </c>
      <c r="D14" s="11">
        <v>14056907</v>
      </c>
      <c r="E14" s="11">
        <v>13035845</v>
      </c>
      <c r="F14" s="12">
        <v>1</v>
      </c>
      <c r="G14" s="12">
        <v>1</v>
      </c>
      <c r="H14" s="13">
        <v>45370</v>
      </c>
      <c r="I14" s="13">
        <v>45371.412488425929</v>
      </c>
      <c r="J14" s="14" t="s">
        <v>80</v>
      </c>
      <c r="K14" s="14" t="s">
        <v>80</v>
      </c>
      <c r="L14" s="11" t="s">
        <v>33</v>
      </c>
      <c r="M14" s="11" t="s">
        <v>35</v>
      </c>
      <c r="N14" s="29" t="s">
        <v>92</v>
      </c>
      <c r="O14" s="15">
        <v>30080</v>
      </c>
      <c r="P14" s="15">
        <v>28098</v>
      </c>
      <c r="Q14" s="15">
        <v>25307.999997487201</v>
      </c>
      <c r="R14" s="15">
        <v>2790.0000025127993</v>
      </c>
      <c r="S14" s="23" t="s">
        <v>76</v>
      </c>
      <c r="T14" s="15" t="s">
        <v>101</v>
      </c>
      <c r="U14" s="15" t="s">
        <v>101</v>
      </c>
      <c r="V14" s="11" t="s">
        <v>11</v>
      </c>
      <c r="W14" s="15">
        <v>0</v>
      </c>
      <c r="X14" s="15">
        <f t="shared" si="3"/>
        <v>0</v>
      </c>
      <c r="Y14" s="15">
        <f t="shared" si="6"/>
        <v>2790.0000025127993</v>
      </c>
      <c r="Z14" s="15">
        <v>0</v>
      </c>
      <c r="AA14" s="15" cm="1">
        <f t="array" ref="AA14">_xlfn.IFS(M14="Closed",0,M14="Canceled",0,M14="Closed for Receiving",0,TRUE,SUM(W14:X14))+Z14</f>
        <v>0</v>
      </c>
      <c r="AB14" s="15"/>
      <c r="AC14" s="15">
        <f t="shared" si="4"/>
        <v>2790.0000025127993</v>
      </c>
      <c r="AD14" s="3">
        <v>45777</v>
      </c>
      <c r="AE14" s="32">
        <f t="shared" si="7"/>
        <v>13.533333333333333</v>
      </c>
      <c r="AF14" s="1">
        <v>5</v>
      </c>
      <c r="AG14" s="1">
        <f>(COUNTIF($E$4:$E14,$E14)=1)+0</f>
        <v>1</v>
      </c>
      <c r="AH14" s="75">
        <f t="shared" si="5"/>
        <v>-22517.999994974401</v>
      </c>
    </row>
    <row r="15" spans="3:34" x14ac:dyDescent="0.45">
      <c r="C15" s="11" t="str">
        <f t="shared" si="2"/>
        <v>14057082-13037619-2-1</v>
      </c>
      <c r="D15" s="11">
        <v>14057082</v>
      </c>
      <c r="E15" s="11">
        <v>13037619</v>
      </c>
      <c r="F15" s="12">
        <v>2</v>
      </c>
      <c r="G15" s="12">
        <v>1</v>
      </c>
      <c r="H15" s="13">
        <v>45375</v>
      </c>
      <c r="I15" s="13">
        <v>45375.403356481482</v>
      </c>
      <c r="J15" s="14" t="s">
        <v>81</v>
      </c>
      <c r="K15" s="14" t="s">
        <v>81</v>
      </c>
      <c r="L15" s="11" t="s">
        <v>27</v>
      </c>
      <c r="M15" s="11" t="s">
        <v>35</v>
      </c>
      <c r="N15" s="29" t="s">
        <v>92</v>
      </c>
      <c r="O15" s="15">
        <v>300000</v>
      </c>
      <c r="P15" s="15">
        <v>300000</v>
      </c>
      <c r="Q15" s="15">
        <v>0</v>
      </c>
      <c r="R15" s="15">
        <v>300000</v>
      </c>
      <c r="S15" s="23" t="s">
        <v>76</v>
      </c>
      <c r="T15" s="15" t="s">
        <v>101</v>
      </c>
      <c r="U15" s="15" t="s">
        <v>101</v>
      </c>
      <c r="V15" s="11" t="s">
        <v>51</v>
      </c>
      <c r="W15" s="15">
        <v>0</v>
      </c>
      <c r="X15" s="15">
        <f t="shared" si="3"/>
        <v>300000</v>
      </c>
      <c r="Y15" s="15">
        <f>Q15</f>
        <v>0</v>
      </c>
      <c r="Z15" s="15">
        <v>0</v>
      </c>
      <c r="AA15" s="15" cm="1">
        <f t="array" ref="AA15">_xlfn.IFS(M15="Closed",0,M15="Canceled",0,M15="Closed for Receiving",0,TRUE,SUM(W15:X15))+Z15</f>
        <v>300000</v>
      </c>
      <c r="AB15" s="15"/>
      <c r="AC15" s="15">
        <f t="shared" si="4"/>
        <v>300000</v>
      </c>
      <c r="AD15" s="3">
        <v>45777</v>
      </c>
      <c r="AE15" s="32">
        <f t="shared" si="7"/>
        <v>13.4</v>
      </c>
      <c r="AF15" s="1">
        <v>5</v>
      </c>
      <c r="AG15" s="1">
        <f>(COUNTIF($E$4:$E15,$E15)=1)+0</f>
        <v>1</v>
      </c>
      <c r="AH15" s="75">
        <f t="shared" si="5"/>
        <v>300000</v>
      </c>
    </row>
    <row r="16" spans="3:34" x14ac:dyDescent="0.45">
      <c r="C16" s="11" t="str">
        <f t="shared" si="2"/>
        <v>14057104-13039072-1-1</v>
      </c>
      <c r="D16" s="11">
        <v>14057104</v>
      </c>
      <c r="E16" s="11">
        <v>13039072</v>
      </c>
      <c r="F16" s="12">
        <v>1</v>
      </c>
      <c r="G16" s="12">
        <v>1</v>
      </c>
      <c r="H16" s="13">
        <v>45375</v>
      </c>
      <c r="I16" s="13">
        <v>45426.569374999999</v>
      </c>
      <c r="J16" s="14" t="s">
        <v>118</v>
      </c>
      <c r="K16" s="14" t="s">
        <v>118</v>
      </c>
      <c r="L16" s="11" t="s">
        <v>82</v>
      </c>
      <c r="M16" s="11" t="s">
        <v>35</v>
      </c>
      <c r="N16" s="29" t="s">
        <v>95</v>
      </c>
      <c r="O16" s="15">
        <v>562500</v>
      </c>
      <c r="P16" s="15">
        <v>375000</v>
      </c>
      <c r="Q16" s="15">
        <v>243750</v>
      </c>
      <c r="R16" s="15">
        <v>63750</v>
      </c>
      <c r="S16" s="23" t="s">
        <v>76</v>
      </c>
      <c r="T16" s="15" t="s">
        <v>135</v>
      </c>
      <c r="U16" s="15" t="s">
        <v>83</v>
      </c>
      <c r="V16" s="11" t="s">
        <v>11</v>
      </c>
      <c r="W16" s="15">
        <v>0</v>
      </c>
      <c r="X16" s="15">
        <f t="shared" si="3"/>
        <v>0</v>
      </c>
      <c r="Y16" s="15">
        <f>R16</f>
        <v>63750</v>
      </c>
      <c r="Z16" s="15">
        <v>0</v>
      </c>
      <c r="AA16" s="15" cm="1">
        <f t="array" ref="AA16">_xlfn.IFS(M16="Closed",0,M16="Canceled",0,M16="Closed for Receiving",0,TRUE,SUM(W16:X16))+Z16</f>
        <v>0</v>
      </c>
      <c r="AB16" s="15"/>
      <c r="AC16" s="15">
        <f t="shared" si="4"/>
        <v>63750</v>
      </c>
      <c r="AD16" s="3">
        <v>45777</v>
      </c>
      <c r="AE16" s="32">
        <f t="shared" si="7"/>
        <v>11.7</v>
      </c>
      <c r="AF16" s="1">
        <v>4</v>
      </c>
      <c r="AG16" s="1">
        <f>(COUNTIF($E$4:$E16,$E16)=1)+0</f>
        <v>1</v>
      </c>
      <c r="AH16" s="75">
        <f t="shared" si="5"/>
        <v>-180000</v>
      </c>
    </row>
    <row r="17" spans="3:34" x14ac:dyDescent="0.45">
      <c r="C17" s="11" t="str">
        <f t="shared" si="2"/>
        <v>14057104-13039072-2-2</v>
      </c>
      <c r="D17" s="11">
        <v>14057104</v>
      </c>
      <c r="E17" s="11">
        <v>13039072</v>
      </c>
      <c r="F17" s="12">
        <v>2</v>
      </c>
      <c r="G17" s="12">
        <v>2</v>
      </c>
      <c r="H17" s="13">
        <v>45375</v>
      </c>
      <c r="I17" s="13">
        <v>45426.569374999999</v>
      </c>
      <c r="J17" s="14" t="s">
        <v>118</v>
      </c>
      <c r="K17" s="14" t="s">
        <v>118</v>
      </c>
      <c r="L17" s="11" t="s">
        <v>82</v>
      </c>
      <c r="M17" s="11" t="s">
        <v>35</v>
      </c>
      <c r="N17" s="29" t="s">
        <v>95</v>
      </c>
      <c r="O17" s="15">
        <v>131250</v>
      </c>
      <c r="P17" s="15">
        <v>93750</v>
      </c>
      <c r="Q17" s="15">
        <v>0</v>
      </c>
      <c r="R17" s="15">
        <v>93750</v>
      </c>
      <c r="S17" s="23" t="s">
        <v>76</v>
      </c>
      <c r="T17" s="15" t="s">
        <v>135</v>
      </c>
      <c r="U17" s="15" t="s">
        <v>83</v>
      </c>
      <c r="V17" s="11" t="s">
        <v>11</v>
      </c>
      <c r="W17" s="15">
        <v>0</v>
      </c>
      <c r="X17" s="15">
        <f t="shared" si="3"/>
        <v>93750</v>
      </c>
      <c r="Y17" s="15">
        <f t="shared" ref="Y17:Y29" si="8">Q17</f>
        <v>0</v>
      </c>
      <c r="Z17" s="15">
        <v>0</v>
      </c>
      <c r="AA17" s="15" cm="1">
        <f t="array" ref="AA17">_xlfn.IFS(M17="Closed",0,M17="Canceled",0,M17="Closed for Receiving",0,TRUE,SUM(W17:X17))+Z17</f>
        <v>93750</v>
      </c>
      <c r="AB17" s="15"/>
      <c r="AC17" s="15">
        <f t="shared" si="4"/>
        <v>93750</v>
      </c>
      <c r="AD17" s="3">
        <v>45777</v>
      </c>
      <c r="AE17" s="32">
        <f t="shared" si="7"/>
        <v>11.7</v>
      </c>
      <c r="AF17" s="1">
        <v>4</v>
      </c>
      <c r="AG17" s="1">
        <f>(COUNTIF($E$4:$E17,$E17)=1)+0</f>
        <v>0</v>
      </c>
      <c r="AH17" s="75">
        <f t="shared" si="5"/>
        <v>93750</v>
      </c>
    </row>
    <row r="18" spans="3:34" x14ac:dyDescent="0.45">
      <c r="C18" s="11" t="str">
        <f t="shared" si="2"/>
        <v>14057104-13039072-3-3</v>
      </c>
      <c r="D18" s="11">
        <v>14057104</v>
      </c>
      <c r="E18" s="11">
        <v>13039072</v>
      </c>
      <c r="F18" s="12">
        <v>3</v>
      </c>
      <c r="G18" s="12">
        <v>3</v>
      </c>
      <c r="H18" s="13">
        <v>45375</v>
      </c>
      <c r="I18" s="13">
        <v>45426.569374999999</v>
      </c>
      <c r="J18" s="14" t="s">
        <v>118</v>
      </c>
      <c r="K18" s="14" t="s">
        <v>118</v>
      </c>
      <c r="L18" s="11" t="s">
        <v>82</v>
      </c>
      <c r="M18" s="11" t="s">
        <v>35</v>
      </c>
      <c r="N18" s="29" t="s">
        <v>95</v>
      </c>
      <c r="O18" s="15">
        <v>187500</v>
      </c>
      <c r="P18" s="15">
        <v>150000</v>
      </c>
      <c r="Q18" s="15">
        <v>0</v>
      </c>
      <c r="R18" s="15">
        <v>150000</v>
      </c>
      <c r="S18" s="23" t="s">
        <v>76</v>
      </c>
      <c r="T18" s="15" t="s">
        <v>135</v>
      </c>
      <c r="U18" s="15" t="s">
        <v>83</v>
      </c>
      <c r="V18" s="11" t="s">
        <v>11</v>
      </c>
      <c r="W18" s="15">
        <v>0</v>
      </c>
      <c r="X18" s="15">
        <f t="shared" si="3"/>
        <v>150000</v>
      </c>
      <c r="Y18" s="15">
        <f t="shared" si="8"/>
        <v>0</v>
      </c>
      <c r="Z18" s="15">
        <v>0</v>
      </c>
      <c r="AA18" s="15" cm="1">
        <f t="array" ref="AA18">_xlfn.IFS(M18="Closed",0,M18="Canceled",0,M18="Closed for Receiving",0,TRUE,SUM(W18:X18))+Z18</f>
        <v>150000</v>
      </c>
      <c r="AB18" s="15"/>
      <c r="AC18" s="15">
        <f t="shared" si="4"/>
        <v>150000</v>
      </c>
      <c r="AD18" s="3">
        <v>45777</v>
      </c>
      <c r="AE18" s="32">
        <f t="shared" si="7"/>
        <v>11.7</v>
      </c>
      <c r="AF18" s="1">
        <v>4</v>
      </c>
      <c r="AG18" s="1">
        <f>(COUNTIF($E$4:$E18,$E18)=1)+0</f>
        <v>0</v>
      </c>
      <c r="AH18" s="75">
        <f t="shared" si="5"/>
        <v>150000</v>
      </c>
    </row>
    <row r="19" spans="3:34" x14ac:dyDescent="0.45">
      <c r="C19" s="11" t="str">
        <f t="shared" si="2"/>
        <v>14057104-13039072-4-4</v>
      </c>
      <c r="D19" s="11">
        <v>14057104</v>
      </c>
      <c r="E19" s="11">
        <v>13039072</v>
      </c>
      <c r="F19" s="12">
        <v>4</v>
      </c>
      <c r="G19" s="12">
        <v>4</v>
      </c>
      <c r="H19" s="13">
        <v>45375</v>
      </c>
      <c r="I19" s="13">
        <v>45426.569374999999</v>
      </c>
      <c r="J19" s="14" t="s">
        <v>118</v>
      </c>
      <c r="K19" s="14" t="s">
        <v>118</v>
      </c>
      <c r="L19" s="11" t="s">
        <v>82</v>
      </c>
      <c r="M19" s="11" t="s">
        <v>35</v>
      </c>
      <c r="N19" s="29" t="s">
        <v>95</v>
      </c>
      <c r="O19" s="15">
        <v>281250</v>
      </c>
      <c r="P19" s="15">
        <v>206250</v>
      </c>
      <c r="Q19" s="15">
        <v>0</v>
      </c>
      <c r="R19" s="15">
        <v>206250</v>
      </c>
      <c r="S19" s="23" t="s">
        <v>76</v>
      </c>
      <c r="T19" s="15" t="s">
        <v>135</v>
      </c>
      <c r="U19" s="15" t="s">
        <v>83</v>
      </c>
      <c r="V19" s="11" t="s">
        <v>11</v>
      </c>
      <c r="W19" s="15">
        <v>0</v>
      </c>
      <c r="X19" s="15">
        <f t="shared" si="3"/>
        <v>206250</v>
      </c>
      <c r="Y19" s="15">
        <f t="shared" si="8"/>
        <v>0</v>
      </c>
      <c r="Z19" s="15">
        <v>0</v>
      </c>
      <c r="AA19" s="15" cm="1">
        <f t="array" ref="AA19">_xlfn.IFS(M19="Closed",0,M19="Canceled",0,M19="Closed for Receiving",0,TRUE,SUM(W19:X19))+Z19</f>
        <v>206250</v>
      </c>
      <c r="AB19" s="15"/>
      <c r="AC19" s="15">
        <f t="shared" si="4"/>
        <v>206250</v>
      </c>
      <c r="AD19" s="3">
        <v>45777</v>
      </c>
      <c r="AE19" s="32">
        <f t="shared" si="7"/>
        <v>11.7</v>
      </c>
      <c r="AF19" s="1">
        <v>4</v>
      </c>
      <c r="AG19" s="1">
        <f>(COUNTIF($E$4:$E19,$E19)=1)+0</f>
        <v>0</v>
      </c>
      <c r="AH19" s="75">
        <f t="shared" si="5"/>
        <v>206250</v>
      </c>
    </row>
    <row r="20" spans="3:34" x14ac:dyDescent="0.45">
      <c r="C20" s="11" t="str">
        <f t="shared" si="2"/>
        <v>14057104-13039072-5-5</v>
      </c>
      <c r="D20" s="11">
        <v>14057104</v>
      </c>
      <c r="E20" s="11">
        <v>13039072</v>
      </c>
      <c r="F20" s="12">
        <v>5</v>
      </c>
      <c r="G20" s="12">
        <v>5</v>
      </c>
      <c r="H20" s="13">
        <v>45375</v>
      </c>
      <c r="I20" s="13">
        <v>45426.569374999999</v>
      </c>
      <c r="J20" s="14" t="s">
        <v>118</v>
      </c>
      <c r="K20" s="14" t="s">
        <v>118</v>
      </c>
      <c r="L20" s="11" t="s">
        <v>82</v>
      </c>
      <c r="M20" s="11" t="s">
        <v>35</v>
      </c>
      <c r="N20" s="29" t="s">
        <v>95</v>
      </c>
      <c r="O20" s="15">
        <v>468750</v>
      </c>
      <c r="P20" s="15">
        <v>450000</v>
      </c>
      <c r="Q20" s="15">
        <v>67500</v>
      </c>
      <c r="R20" s="15">
        <v>450000</v>
      </c>
      <c r="S20" s="23" t="s">
        <v>76</v>
      </c>
      <c r="T20" s="15" t="s">
        <v>135</v>
      </c>
      <c r="U20" s="15" t="s">
        <v>83</v>
      </c>
      <c r="V20" s="11" t="s">
        <v>11</v>
      </c>
      <c r="W20" s="15">
        <v>0</v>
      </c>
      <c r="X20" s="15">
        <f t="shared" si="3"/>
        <v>382500</v>
      </c>
      <c r="Y20" s="15">
        <f t="shared" si="8"/>
        <v>67500</v>
      </c>
      <c r="Z20" s="15">
        <v>0</v>
      </c>
      <c r="AA20" s="15" cm="1">
        <f t="array" ref="AA20">_xlfn.IFS(M20="Closed",0,M20="Canceled",0,M20="Closed for Receiving",0,TRUE,SUM(W20:X20))+Z20</f>
        <v>382500</v>
      </c>
      <c r="AB20" s="15"/>
      <c r="AC20" s="15">
        <f t="shared" si="4"/>
        <v>450000</v>
      </c>
      <c r="AD20" s="3">
        <v>45777</v>
      </c>
      <c r="AE20" s="32">
        <f t="shared" si="7"/>
        <v>11.7</v>
      </c>
      <c r="AF20" s="1">
        <v>4</v>
      </c>
      <c r="AG20" s="1">
        <f>(COUNTIF($E$4:$E20,$E20)=1)+0</f>
        <v>0</v>
      </c>
      <c r="AH20" s="75">
        <f t="shared" si="5"/>
        <v>382500</v>
      </c>
    </row>
    <row r="21" spans="3:34" x14ac:dyDescent="0.45">
      <c r="C21" s="11" t="str">
        <f t="shared" si="2"/>
        <v>14057104-13039072-6-6</v>
      </c>
      <c r="D21" s="11">
        <v>14057104</v>
      </c>
      <c r="E21" s="11">
        <v>13039072</v>
      </c>
      <c r="F21" s="12">
        <v>6</v>
      </c>
      <c r="G21" s="12">
        <v>6</v>
      </c>
      <c r="H21" s="13">
        <v>45375</v>
      </c>
      <c r="I21" s="13">
        <v>45426.569374999999</v>
      </c>
      <c r="J21" s="14" t="s">
        <v>118</v>
      </c>
      <c r="K21" s="14" t="s">
        <v>118</v>
      </c>
      <c r="L21" s="11" t="s">
        <v>82</v>
      </c>
      <c r="M21" s="11" t="s">
        <v>35</v>
      </c>
      <c r="N21" s="29" t="s">
        <v>95</v>
      </c>
      <c r="O21" s="15">
        <v>450000</v>
      </c>
      <c r="P21" s="15">
        <v>450000</v>
      </c>
      <c r="Q21" s="15">
        <v>0</v>
      </c>
      <c r="R21" s="15">
        <v>450000</v>
      </c>
      <c r="S21" s="23" t="s">
        <v>76</v>
      </c>
      <c r="T21" s="15" t="s">
        <v>135</v>
      </c>
      <c r="U21" s="15" t="s">
        <v>83</v>
      </c>
      <c r="V21" s="11" t="s">
        <v>11</v>
      </c>
      <c r="W21" s="15">
        <v>0</v>
      </c>
      <c r="X21" s="15">
        <f t="shared" si="3"/>
        <v>450000</v>
      </c>
      <c r="Y21" s="15">
        <f t="shared" si="8"/>
        <v>0</v>
      </c>
      <c r="Z21" s="15">
        <v>0</v>
      </c>
      <c r="AA21" s="15" cm="1">
        <f t="array" ref="AA21">_xlfn.IFS(M21="Closed",0,M21="Canceled",0,M21="Closed for Receiving",0,TRUE,SUM(W21:X21))+Z21</f>
        <v>450000</v>
      </c>
      <c r="AB21" s="15"/>
      <c r="AC21" s="15">
        <f t="shared" si="4"/>
        <v>450000</v>
      </c>
      <c r="AD21" s="3">
        <v>45777</v>
      </c>
      <c r="AE21" s="32">
        <f t="shared" si="7"/>
        <v>11.7</v>
      </c>
      <c r="AF21" s="1">
        <v>4</v>
      </c>
      <c r="AG21" s="1">
        <f>(COUNTIF($E$4:$E21,$E21)=1)+0</f>
        <v>0</v>
      </c>
      <c r="AH21" s="75">
        <f t="shared" si="5"/>
        <v>450000</v>
      </c>
    </row>
    <row r="22" spans="3:34" x14ac:dyDescent="0.45">
      <c r="C22" s="11" t="str">
        <f t="shared" si="2"/>
        <v>14057104-13039072-7-7</v>
      </c>
      <c r="D22" s="11">
        <v>14057104</v>
      </c>
      <c r="E22" s="11">
        <v>13039072</v>
      </c>
      <c r="F22" s="12">
        <v>7</v>
      </c>
      <c r="G22" s="12">
        <v>7</v>
      </c>
      <c r="H22" s="13">
        <v>45375</v>
      </c>
      <c r="I22" s="13">
        <v>45426.569374999999</v>
      </c>
      <c r="J22" s="14" t="s">
        <v>118</v>
      </c>
      <c r="K22" s="14" t="s">
        <v>118</v>
      </c>
      <c r="L22" s="11" t="s">
        <v>82</v>
      </c>
      <c r="M22" s="11" t="s">
        <v>35</v>
      </c>
      <c r="N22" s="29" t="s">
        <v>95</v>
      </c>
      <c r="O22" s="15">
        <v>337500</v>
      </c>
      <c r="P22" s="15">
        <v>337500</v>
      </c>
      <c r="Q22" s="15">
        <v>0</v>
      </c>
      <c r="R22" s="15">
        <v>337500</v>
      </c>
      <c r="S22" s="23" t="s">
        <v>76</v>
      </c>
      <c r="T22" s="15" t="s">
        <v>135</v>
      </c>
      <c r="U22" s="15" t="s">
        <v>83</v>
      </c>
      <c r="V22" s="11" t="s">
        <v>11</v>
      </c>
      <c r="W22" s="15">
        <v>0</v>
      </c>
      <c r="X22" s="15">
        <f t="shared" si="3"/>
        <v>337500</v>
      </c>
      <c r="Y22" s="15">
        <f t="shared" si="8"/>
        <v>0</v>
      </c>
      <c r="Z22" s="15">
        <v>0</v>
      </c>
      <c r="AA22" s="15" cm="1">
        <f t="array" ref="AA22">_xlfn.IFS(M22="Closed",0,M22="Canceled",0,M22="Closed for Receiving",0,TRUE,SUM(W22:X22))+Z22</f>
        <v>337500</v>
      </c>
      <c r="AB22" s="15"/>
      <c r="AC22" s="15">
        <f t="shared" si="4"/>
        <v>337500</v>
      </c>
      <c r="AD22" s="3">
        <v>45777</v>
      </c>
      <c r="AE22" s="32">
        <f t="shared" si="7"/>
        <v>11.7</v>
      </c>
      <c r="AF22" s="1">
        <v>4</v>
      </c>
      <c r="AG22" s="1">
        <f>(COUNTIF($E$4:$E22,$E22)=1)+0</f>
        <v>0</v>
      </c>
      <c r="AH22" s="75">
        <f t="shared" si="5"/>
        <v>337500</v>
      </c>
    </row>
    <row r="23" spans="3:34" x14ac:dyDescent="0.45">
      <c r="C23" s="11" t="str">
        <f t="shared" si="2"/>
        <v>14057104-13039072-8-8</v>
      </c>
      <c r="D23" s="11">
        <v>14057104</v>
      </c>
      <c r="E23" s="11">
        <v>13039072</v>
      </c>
      <c r="F23" s="12">
        <v>8</v>
      </c>
      <c r="G23" s="12">
        <v>8</v>
      </c>
      <c r="H23" s="13">
        <v>45375</v>
      </c>
      <c r="I23" s="13">
        <v>45426.569374999999</v>
      </c>
      <c r="J23" s="14" t="s">
        <v>118</v>
      </c>
      <c r="K23" s="14" t="s">
        <v>118</v>
      </c>
      <c r="L23" s="11" t="s">
        <v>82</v>
      </c>
      <c r="M23" s="11" t="s">
        <v>35</v>
      </c>
      <c r="N23" s="29" t="s">
        <v>95</v>
      </c>
      <c r="O23" s="15">
        <v>296250</v>
      </c>
      <c r="P23" s="15">
        <v>296250</v>
      </c>
      <c r="Q23" s="15">
        <v>0</v>
      </c>
      <c r="R23" s="15">
        <v>296250</v>
      </c>
      <c r="S23" s="23" t="s">
        <v>76</v>
      </c>
      <c r="T23" s="15" t="s">
        <v>135</v>
      </c>
      <c r="U23" s="15" t="s">
        <v>83</v>
      </c>
      <c r="V23" s="11" t="s">
        <v>11</v>
      </c>
      <c r="W23" s="15">
        <v>0</v>
      </c>
      <c r="X23" s="15">
        <f t="shared" si="3"/>
        <v>296250</v>
      </c>
      <c r="Y23" s="15">
        <f t="shared" si="8"/>
        <v>0</v>
      </c>
      <c r="Z23" s="15">
        <v>0</v>
      </c>
      <c r="AA23" s="15" cm="1">
        <f t="array" ref="AA23">_xlfn.IFS(M23="Closed",0,M23="Canceled",0,M23="Closed for Receiving",0,TRUE,SUM(W23:X23))+Z23</f>
        <v>296250</v>
      </c>
      <c r="AB23" s="15"/>
      <c r="AC23" s="15">
        <f t="shared" si="4"/>
        <v>296250</v>
      </c>
      <c r="AD23" s="3">
        <v>45777</v>
      </c>
      <c r="AE23" s="32">
        <f t="shared" si="7"/>
        <v>11.7</v>
      </c>
      <c r="AF23" s="1">
        <v>4</v>
      </c>
      <c r="AG23" s="1">
        <f>(COUNTIF($E$4:$E23,$E23)=1)+0</f>
        <v>0</v>
      </c>
      <c r="AH23" s="75">
        <f t="shared" si="5"/>
        <v>296250</v>
      </c>
    </row>
    <row r="24" spans="3:34" x14ac:dyDescent="0.45">
      <c r="C24" s="11" t="str">
        <f t="shared" si="2"/>
        <v>14057104-13039072-9-9</v>
      </c>
      <c r="D24" s="11">
        <v>14057104</v>
      </c>
      <c r="E24" s="11">
        <v>13039072</v>
      </c>
      <c r="F24" s="12">
        <v>9</v>
      </c>
      <c r="G24" s="12">
        <v>9</v>
      </c>
      <c r="H24" s="13">
        <v>45375</v>
      </c>
      <c r="I24" s="13">
        <v>45426.569374999999</v>
      </c>
      <c r="J24" s="14" t="s">
        <v>118</v>
      </c>
      <c r="K24" s="14" t="s">
        <v>118</v>
      </c>
      <c r="L24" s="11" t="s">
        <v>82</v>
      </c>
      <c r="M24" s="11" t="s">
        <v>35</v>
      </c>
      <c r="N24" s="29" t="s">
        <v>95</v>
      </c>
      <c r="O24" s="15">
        <v>243750</v>
      </c>
      <c r="P24" s="15">
        <v>56250</v>
      </c>
      <c r="Q24" s="15">
        <v>56250</v>
      </c>
      <c r="R24" s="15">
        <v>56250</v>
      </c>
      <c r="S24" s="23" t="s">
        <v>76</v>
      </c>
      <c r="T24" s="15" t="s">
        <v>135</v>
      </c>
      <c r="U24" s="15" t="s">
        <v>83</v>
      </c>
      <c r="V24" s="11" t="s">
        <v>11</v>
      </c>
      <c r="W24" s="15">
        <v>0</v>
      </c>
      <c r="X24" s="15">
        <f t="shared" si="3"/>
        <v>0</v>
      </c>
      <c r="Y24" s="15">
        <f t="shared" si="8"/>
        <v>56250</v>
      </c>
      <c r="Z24" s="15">
        <v>0</v>
      </c>
      <c r="AA24" s="15" cm="1">
        <f t="array" ref="AA24">_xlfn.IFS(M24="Closed",0,M24="Canceled",0,M24="Closed for Receiving",0,TRUE,SUM(W24:X24))+Z24</f>
        <v>0</v>
      </c>
      <c r="AB24" s="15"/>
      <c r="AC24" s="15">
        <f t="shared" si="4"/>
        <v>56250</v>
      </c>
      <c r="AD24" s="3">
        <v>45777</v>
      </c>
      <c r="AE24" s="32">
        <f t="shared" si="7"/>
        <v>11.7</v>
      </c>
      <c r="AF24" s="1">
        <v>4</v>
      </c>
      <c r="AG24" s="1">
        <f>(COUNTIF($E$4:$E24,$E24)=1)+0</f>
        <v>0</v>
      </c>
      <c r="AH24" s="75">
        <f t="shared" si="5"/>
        <v>0</v>
      </c>
    </row>
    <row r="25" spans="3:34" x14ac:dyDescent="0.45">
      <c r="C25" s="11" t="str">
        <f t="shared" si="2"/>
        <v>14057104-13039072-10-10</v>
      </c>
      <c r="D25" s="11">
        <v>14057104</v>
      </c>
      <c r="E25" s="11">
        <v>13039072</v>
      </c>
      <c r="F25" s="12">
        <v>10</v>
      </c>
      <c r="G25" s="12">
        <v>10</v>
      </c>
      <c r="H25" s="13">
        <v>45375</v>
      </c>
      <c r="I25" s="13">
        <v>45426.569374999999</v>
      </c>
      <c r="J25" s="14" t="s">
        <v>118</v>
      </c>
      <c r="K25" s="14" t="s">
        <v>118</v>
      </c>
      <c r="L25" s="11" t="s">
        <v>82</v>
      </c>
      <c r="M25" s="11" t="s">
        <v>35</v>
      </c>
      <c r="N25" s="29" t="s">
        <v>95</v>
      </c>
      <c r="O25" s="15">
        <v>93750</v>
      </c>
      <c r="P25" s="15">
        <v>93750</v>
      </c>
      <c r="Q25" s="15">
        <v>93750</v>
      </c>
      <c r="R25" s="15">
        <v>93750</v>
      </c>
      <c r="S25" s="23" t="s">
        <v>76</v>
      </c>
      <c r="T25" s="15" t="s">
        <v>135</v>
      </c>
      <c r="U25" s="15" t="s">
        <v>83</v>
      </c>
      <c r="V25" s="11" t="s">
        <v>11</v>
      </c>
      <c r="W25" s="15">
        <v>0</v>
      </c>
      <c r="X25" s="15">
        <f t="shared" si="3"/>
        <v>0</v>
      </c>
      <c r="Y25" s="15">
        <f t="shared" si="8"/>
        <v>93750</v>
      </c>
      <c r="Z25" s="15">
        <v>0</v>
      </c>
      <c r="AA25" s="15" cm="1">
        <f t="array" ref="AA25">_xlfn.IFS(M25="Closed",0,M25="Canceled",0,M25="Closed for Receiving",0,TRUE,SUM(W25:X25))+Z25</f>
        <v>0</v>
      </c>
      <c r="AB25" s="15"/>
      <c r="AC25" s="15">
        <f t="shared" si="4"/>
        <v>93750</v>
      </c>
      <c r="AD25" s="3">
        <v>45777</v>
      </c>
      <c r="AE25" s="32">
        <f t="shared" si="7"/>
        <v>11.7</v>
      </c>
      <c r="AF25" s="1">
        <v>4</v>
      </c>
      <c r="AG25" s="1">
        <f>(COUNTIF($E$4:$E25,$E25)=1)+0</f>
        <v>0</v>
      </c>
      <c r="AH25" s="75">
        <f t="shared" si="5"/>
        <v>0</v>
      </c>
    </row>
    <row r="26" spans="3:34" x14ac:dyDescent="0.45">
      <c r="C26" s="11" t="str">
        <f t="shared" si="2"/>
        <v>14058538-13038193-1-1</v>
      </c>
      <c r="D26" s="11">
        <v>14058538</v>
      </c>
      <c r="E26" s="11">
        <v>13038193</v>
      </c>
      <c r="F26" s="12">
        <v>1</v>
      </c>
      <c r="G26" s="12">
        <v>1</v>
      </c>
      <c r="H26" s="13">
        <v>45414</v>
      </c>
      <c r="I26" s="13">
        <v>45418.228750000002</v>
      </c>
      <c r="J26" s="14" t="s">
        <v>87</v>
      </c>
      <c r="K26" s="14" t="s">
        <v>87</v>
      </c>
      <c r="L26" s="11" t="s">
        <v>28</v>
      </c>
      <c r="M26" s="11" t="s">
        <v>35</v>
      </c>
      <c r="N26" s="29" t="s">
        <v>89</v>
      </c>
      <c r="O26" s="15">
        <v>423750</v>
      </c>
      <c r="P26" s="15">
        <v>295125</v>
      </c>
      <c r="Q26" s="15">
        <v>0</v>
      </c>
      <c r="R26" s="15">
        <v>295125</v>
      </c>
      <c r="S26" s="23" t="s">
        <v>76</v>
      </c>
      <c r="T26" s="15" t="s">
        <v>136</v>
      </c>
      <c r="U26" s="15" t="s">
        <v>136</v>
      </c>
      <c r="V26" s="11" t="s">
        <v>11</v>
      </c>
      <c r="W26" s="15">
        <v>0</v>
      </c>
      <c r="X26" s="15">
        <f t="shared" si="3"/>
        <v>295125</v>
      </c>
      <c r="Y26" s="15">
        <f t="shared" si="8"/>
        <v>0</v>
      </c>
      <c r="Z26" s="15">
        <v>0</v>
      </c>
      <c r="AA26" s="15" cm="1">
        <f t="array" ref="AA26">_xlfn.IFS(M26="Closed",0,M26="Canceled",0,M26="Closed for Receiving",0,TRUE,SUM(W26:X26))+Z26</f>
        <v>295125</v>
      </c>
      <c r="AB26" s="15"/>
      <c r="AC26" s="15">
        <f t="shared" si="4"/>
        <v>295125</v>
      </c>
      <c r="AD26" s="3">
        <v>45777</v>
      </c>
      <c r="AE26" s="32">
        <f t="shared" si="7"/>
        <v>11.966666666666667</v>
      </c>
      <c r="AF26" s="1">
        <v>4</v>
      </c>
      <c r="AG26" s="1">
        <f>(COUNTIF($E$4:$E26,$E26)=1)+0</f>
        <v>1</v>
      </c>
      <c r="AH26" s="75">
        <f t="shared" si="5"/>
        <v>295125</v>
      </c>
    </row>
    <row r="27" spans="3:34" x14ac:dyDescent="0.45">
      <c r="C27" s="11" t="str">
        <f t="shared" si="2"/>
        <v>14058706-13037212-2-1</v>
      </c>
      <c r="D27" s="11">
        <v>14058706</v>
      </c>
      <c r="E27" s="11">
        <v>13037212</v>
      </c>
      <c r="F27" s="12">
        <v>2</v>
      </c>
      <c r="G27" s="12">
        <v>1</v>
      </c>
      <c r="H27" s="13">
        <v>45418</v>
      </c>
      <c r="I27" s="13">
        <v>45420.432384259257</v>
      </c>
      <c r="J27" s="14" t="s">
        <v>20</v>
      </c>
      <c r="K27" s="14" t="s">
        <v>20</v>
      </c>
      <c r="L27" s="11" t="s">
        <v>27</v>
      </c>
      <c r="M27" s="11" t="s">
        <v>35</v>
      </c>
      <c r="N27" s="29" t="s">
        <v>92</v>
      </c>
      <c r="O27" s="15">
        <v>104700</v>
      </c>
      <c r="P27" s="15">
        <v>104700</v>
      </c>
      <c r="Q27" s="15">
        <v>4864.5749995859996</v>
      </c>
      <c r="R27" s="15">
        <v>99835.425000414005</v>
      </c>
      <c r="S27" s="23" t="s">
        <v>76</v>
      </c>
      <c r="T27" s="15" t="s">
        <v>101</v>
      </c>
      <c r="U27" s="15" t="s">
        <v>101</v>
      </c>
      <c r="V27" s="11" t="s">
        <v>11</v>
      </c>
      <c r="W27" s="15">
        <v>0</v>
      </c>
      <c r="X27" s="15">
        <f t="shared" si="3"/>
        <v>94970.85000082801</v>
      </c>
      <c r="Y27" s="15">
        <f t="shared" si="8"/>
        <v>4864.5749995859996</v>
      </c>
      <c r="Z27" s="15">
        <v>0</v>
      </c>
      <c r="AA27" s="15" cm="1">
        <f t="array" ref="AA27">_xlfn.IFS(M27="Closed",0,M27="Canceled",0,M27="Closed for Receiving",0,TRUE,SUM(W27:X27))+Z27</f>
        <v>94970.85000082801</v>
      </c>
      <c r="AB27" s="15"/>
      <c r="AC27" s="15">
        <f t="shared" si="4"/>
        <v>99835.425000414005</v>
      </c>
      <c r="AD27" s="3">
        <v>45777</v>
      </c>
      <c r="AE27" s="32">
        <f t="shared" si="7"/>
        <v>11.9</v>
      </c>
      <c r="AF27" s="1">
        <v>4</v>
      </c>
      <c r="AG27" s="1">
        <f>(COUNTIF($E$4:$E27,$E27)=1)+0</f>
        <v>1</v>
      </c>
      <c r="AH27" s="75">
        <f t="shared" si="5"/>
        <v>94970.85000082801</v>
      </c>
    </row>
    <row r="28" spans="3:34" x14ac:dyDescent="0.45">
      <c r="C28" s="11" t="str">
        <f t="shared" si="2"/>
        <v>14060672-13038489-1-1</v>
      </c>
      <c r="D28" s="11">
        <v>14060672</v>
      </c>
      <c r="E28" s="11">
        <v>13038489</v>
      </c>
      <c r="F28" s="12">
        <v>1</v>
      </c>
      <c r="G28" s="12">
        <v>1</v>
      </c>
      <c r="H28" s="13">
        <v>45449</v>
      </c>
      <c r="I28" s="13">
        <v>45453.541354166664</v>
      </c>
      <c r="J28" s="14" t="s">
        <v>98</v>
      </c>
      <c r="K28" s="14" t="s">
        <v>98</v>
      </c>
      <c r="L28" s="11" t="s">
        <v>32</v>
      </c>
      <c r="M28" s="11" t="s">
        <v>35</v>
      </c>
      <c r="N28" s="29" t="s">
        <v>93</v>
      </c>
      <c r="O28" s="15">
        <v>14500</v>
      </c>
      <c r="P28" s="15">
        <v>14500</v>
      </c>
      <c r="Q28" s="15">
        <v>0</v>
      </c>
      <c r="R28" s="15">
        <v>14500</v>
      </c>
      <c r="S28" s="23" t="s">
        <v>76</v>
      </c>
      <c r="T28" s="15" t="s">
        <v>101</v>
      </c>
      <c r="U28" s="15" t="s">
        <v>101</v>
      </c>
      <c r="V28" s="11" t="s">
        <v>12</v>
      </c>
      <c r="W28" s="15">
        <v>0</v>
      </c>
      <c r="X28" s="15">
        <f t="shared" si="3"/>
        <v>14500</v>
      </c>
      <c r="Y28" s="15">
        <f t="shared" si="8"/>
        <v>0</v>
      </c>
      <c r="Z28" s="15">
        <v>0</v>
      </c>
      <c r="AA28" s="15" cm="1">
        <f t="array" ref="AA28">_xlfn.IFS(M28="Closed",0,M28="Canceled",0,M28="Closed for Receiving",0,TRUE,SUM(W28:X28))+Z28</f>
        <v>14500</v>
      </c>
      <c r="AB28" s="15"/>
      <c r="AC28" s="15">
        <f t="shared" si="4"/>
        <v>14500</v>
      </c>
      <c r="AD28" s="3">
        <v>45777</v>
      </c>
      <c r="AE28" s="32">
        <f t="shared" si="7"/>
        <v>10.8</v>
      </c>
      <c r="AF28" s="1">
        <v>4</v>
      </c>
      <c r="AG28" s="1">
        <f>(COUNTIF($E$4:$E28,$E28)=1)+0</f>
        <v>1</v>
      </c>
      <c r="AH28" s="75">
        <f t="shared" si="5"/>
        <v>14500</v>
      </c>
    </row>
    <row r="29" spans="3:34" x14ac:dyDescent="0.45">
      <c r="C29" s="11" t="str">
        <f t="shared" si="2"/>
        <v>14061844-13039275-1-1</v>
      </c>
      <c r="D29" s="11">
        <v>14061844</v>
      </c>
      <c r="E29" s="11">
        <v>13039275</v>
      </c>
      <c r="F29" s="12">
        <v>1</v>
      </c>
      <c r="G29" s="12">
        <v>1</v>
      </c>
      <c r="H29" s="13">
        <v>45474</v>
      </c>
      <c r="I29" s="13">
        <v>45482.363738425927</v>
      </c>
      <c r="J29" s="14" t="s">
        <v>104</v>
      </c>
      <c r="K29" s="14" t="s">
        <v>104</v>
      </c>
      <c r="L29" s="11" t="s">
        <v>105</v>
      </c>
      <c r="M29" s="11" t="s">
        <v>37</v>
      </c>
      <c r="N29" s="29" t="s">
        <v>93</v>
      </c>
      <c r="O29" s="15">
        <v>22987.113912000001</v>
      </c>
      <c r="P29" s="15">
        <v>23181.396000000001</v>
      </c>
      <c r="Q29" s="15">
        <v>23181.396000000001</v>
      </c>
      <c r="R29" s="15">
        <v>23181.396000000001</v>
      </c>
      <c r="S29" s="23" t="s">
        <v>76</v>
      </c>
      <c r="T29" s="15" t="s">
        <v>137</v>
      </c>
      <c r="U29" s="15" t="s">
        <v>99</v>
      </c>
      <c r="V29" s="11" t="s">
        <v>11</v>
      </c>
      <c r="W29" s="15">
        <v>0</v>
      </c>
      <c r="X29" s="15">
        <f t="shared" si="3"/>
        <v>0</v>
      </c>
      <c r="Y29" s="15">
        <f t="shared" si="8"/>
        <v>23181.396000000001</v>
      </c>
      <c r="Z29" s="15">
        <v>0</v>
      </c>
      <c r="AA29" s="15" cm="1">
        <f t="array" ref="AA29">_xlfn.IFS(M29="Closed",0,M29="Canceled",0,M29="Closed for Receiving",0,TRUE,SUM(W29:X29))+Z29</f>
        <v>0</v>
      </c>
      <c r="AB29" s="15"/>
      <c r="AC29" s="15">
        <f t="shared" si="4"/>
        <v>23181.396000000001</v>
      </c>
      <c r="AE29" s="32">
        <v>0</v>
      </c>
      <c r="AG29" s="1">
        <f>(COUNTIF($E$4:$E29,$E29)=1)+0</f>
        <v>1</v>
      </c>
      <c r="AH29" s="75">
        <f t="shared" si="5"/>
        <v>0</v>
      </c>
    </row>
    <row r="30" spans="3:34" x14ac:dyDescent="0.45">
      <c r="C30" s="11" t="str">
        <f t="shared" si="2"/>
        <v>14062076-13039561-1-1</v>
      </c>
      <c r="D30" s="11">
        <v>14062076</v>
      </c>
      <c r="E30" s="11">
        <v>13039561</v>
      </c>
      <c r="F30" s="12">
        <v>1</v>
      </c>
      <c r="G30" s="12">
        <v>1</v>
      </c>
      <c r="H30" s="13">
        <v>45476</v>
      </c>
      <c r="I30" s="13">
        <v>45488.531909722224</v>
      </c>
      <c r="J30" s="14" t="s">
        <v>106</v>
      </c>
      <c r="K30" s="14" t="s">
        <v>106</v>
      </c>
      <c r="L30" s="11" t="s">
        <v>47</v>
      </c>
      <c r="M30" s="11" t="s">
        <v>35</v>
      </c>
      <c r="N30" s="29" t="s">
        <v>94</v>
      </c>
      <c r="O30" s="15">
        <v>937500</v>
      </c>
      <c r="P30" s="15">
        <v>937500</v>
      </c>
      <c r="Q30" s="15">
        <v>750000</v>
      </c>
      <c r="R30" s="15">
        <v>187500</v>
      </c>
      <c r="S30" s="23" t="s">
        <v>76</v>
      </c>
      <c r="T30" s="15" t="s">
        <v>101</v>
      </c>
      <c r="U30" s="15" t="s">
        <v>101</v>
      </c>
      <c r="V30" s="11" t="s">
        <v>12</v>
      </c>
      <c r="W30" s="15">
        <v>0</v>
      </c>
      <c r="X30" s="15">
        <f t="shared" si="3"/>
        <v>0</v>
      </c>
      <c r="Y30" s="15">
        <f>R30</f>
        <v>187500</v>
      </c>
      <c r="Z30" s="15">
        <v>0</v>
      </c>
      <c r="AA30" s="15" cm="1">
        <f t="array" ref="AA30">_xlfn.IFS(M30="Closed",0,M30="Canceled",0,M30="Closed for Receiving",0,TRUE,SUM(W30:X30))+Z30</f>
        <v>0</v>
      </c>
      <c r="AB30" s="15"/>
      <c r="AC30" s="15">
        <f t="shared" si="4"/>
        <v>187500</v>
      </c>
      <c r="AD30" s="3">
        <v>45777</v>
      </c>
      <c r="AE30" s="32">
        <f>IF(I30&gt;0,_xlfn.DAYS(AD30,I30)/30,0)</f>
        <v>9.6333333333333329</v>
      </c>
      <c r="AF30" s="1">
        <v>4</v>
      </c>
      <c r="AG30" s="1">
        <f>(COUNTIF($E$4:$E30,$E30)=1)+0</f>
        <v>1</v>
      </c>
      <c r="AH30" s="75">
        <f t="shared" si="5"/>
        <v>-562500</v>
      </c>
    </row>
    <row r="31" spans="3:34" x14ac:dyDescent="0.45">
      <c r="C31" s="11" t="str">
        <f t="shared" si="2"/>
        <v>14064794-13041140-1-1</v>
      </c>
      <c r="D31" s="11">
        <v>14064794</v>
      </c>
      <c r="E31" s="11">
        <v>13041140</v>
      </c>
      <c r="F31" s="12">
        <v>1</v>
      </c>
      <c r="G31" s="12">
        <v>1</v>
      </c>
      <c r="H31" s="13">
        <v>45532</v>
      </c>
      <c r="I31" s="13">
        <v>45543.249548611115</v>
      </c>
      <c r="J31" s="14" t="s">
        <v>107</v>
      </c>
      <c r="K31" s="14" t="s">
        <v>107</v>
      </c>
      <c r="L31" s="11" t="s">
        <v>105</v>
      </c>
      <c r="M31" s="11" t="s">
        <v>37</v>
      </c>
      <c r="N31" s="29" t="s">
        <v>93</v>
      </c>
      <c r="O31" s="15">
        <v>52772.618619000001</v>
      </c>
      <c r="P31" s="15">
        <v>52749.252380999998</v>
      </c>
      <c r="Q31" s="15">
        <v>52749.252380999998</v>
      </c>
      <c r="R31" s="15">
        <v>52749.252380999998</v>
      </c>
      <c r="S31" s="23" t="s">
        <v>76</v>
      </c>
      <c r="T31" s="15" t="s">
        <v>137</v>
      </c>
      <c r="U31" s="15" t="s">
        <v>99</v>
      </c>
      <c r="V31" s="11" t="s">
        <v>11</v>
      </c>
      <c r="W31" s="15">
        <v>0</v>
      </c>
      <c r="X31" s="15">
        <f t="shared" si="3"/>
        <v>0</v>
      </c>
      <c r="Y31" s="15">
        <f t="shared" ref="Y31:Y57" si="9">Q31</f>
        <v>52749.252380999998</v>
      </c>
      <c r="Z31" s="15">
        <v>0</v>
      </c>
      <c r="AA31" s="15" cm="1">
        <f t="array" ref="AA31">_xlfn.IFS(M31="Closed",0,M31="Canceled",0,M31="Closed for Receiving",0,TRUE,SUM(W31:X31))+Z31</f>
        <v>0</v>
      </c>
      <c r="AB31" s="15"/>
      <c r="AC31" s="15">
        <f t="shared" si="4"/>
        <v>52749.252380999998</v>
      </c>
      <c r="AE31" s="32">
        <v>0</v>
      </c>
      <c r="AG31" s="1">
        <f>(COUNTIF($E$4:$E31,$E31)=1)+0</f>
        <v>1</v>
      </c>
      <c r="AH31" s="75">
        <f t="shared" si="5"/>
        <v>0</v>
      </c>
    </row>
    <row r="32" spans="3:34" x14ac:dyDescent="0.45">
      <c r="C32" s="11" t="str">
        <f t="shared" si="2"/>
        <v>14064958-13044082-1-1</v>
      </c>
      <c r="D32" s="11">
        <v>14064958</v>
      </c>
      <c r="E32" s="11">
        <v>13044082</v>
      </c>
      <c r="F32" s="12">
        <v>1</v>
      </c>
      <c r="G32" s="12">
        <v>1</v>
      </c>
      <c r="H32" s="13">
        <v>45536</v>
      </c>
      <c r="I32" s="13">
        <v>45552.446863425925</v>
      </c>
      <c r="J32" s="14" t="s">
        <v>108</v>
      </c>
      <c r="K32" s="14" t="s">
        <v>108</v>
      </c>
      <c r="L32" s="11" t="s">
        <v>28</v>
      </c>
      <c r="M32" s="11" t="s">
        <v>35</v>
      </c>
      <c r="N32" s="29" t="s">
        <v>89</v>
      </c>
      <c r="O32" s="16">
        <v>3675000</v>
      </c>
      <c r="P32" s="16">
        <v>3281250</v>
      </c>
      <c r="Q32" s="16">
        <v>0</v>
      </c>
      <c r="R32" s="16">
        <v>3281250</v>
      </c>
      <c r="S32" s="23" t="s">
        <v>76</v>
      </c>
      <c r="T32" s="15" t="s">
        <v>136</v>
      </c>
      <c r="U32" s="15" t="s">
        <v>136</v>
      </c>
      <c r="V32" s="11" t="s">
        <v>11</v>
      </c>
      <c r="W32" s="15">
        <v>0</v>
      </c>
      <c r="X32" s="15">
        <f t="shared" si="3"/>
        <v>3281250</v>
      </c>
      <c r="Y32" s="15">
        <f t="shared" si="9"/>
        <v>0</v>
      </c>
      <c r="Z32" s="15">
        <v>0</v>
      </c>
      <c r="AA32" s="15" cm="1">
        <f t="array" ref="AA32">_xlfn.IFS(M32="Closed",0,M32="Canceled",0,M32="Closed for Receiving",0,TRUE,SUM(W32:X32))+Z32</f>
        <v>3281250</v>
      </c>
      <c r="AB32" s="15"/>
      <c r="AC32" s="15">
        <f t="shared" si="4"/>
        <v>3281250</v>
      </c>
      <c r="AD32" s="3">
        <v>45777</v>
      </c>
      <c r="AE32" s="32">
        <f t="shared" ref="AE32:AE33" si="10">IF(I32&gt;0,_xlfn.DAYS(AD32,I32)/30,0)</f>
        <v>7.5</v>
      </c>
      <c r="AF32" s="1">
        <v>3</v>
      </c>
      <c r="AG32" s="1">
        <f>(COUNTIF($E$4:$E32,$E32)=1)+0</f>
        <v>1</v>
      </c>
      <c r="AH32" s="75">
        <f t="shared" si="5"/>
        <v>3281250</v>
      </c>
    </row>
    <row r="33" spans="3:34" x14ac:dyDescent="0.45">
      <c r="C33" s="11" t="str">
        <f t="shared" si="2"/>
        <v>14065292-13041891-1-1</v>
      </c>
      <c r="D33" s="11">
        <v>14065292</v>
      </c>
      <c r="E33" s="11">
        <v>13041891</v>
      </c>
      <c r="F33" s="12">
        <v>1</v>
      </c>
      <c r="G33" s="12">
        <v>1</v>
      </c>
      <c r="H33" s="13">
        <v>45540</v>
      </c>
      <c r="I33" s="13">
        <v>45540.53802083333</v>
      </c>
      <c r="J33" s="14" t="s">
        <v>109</v>
      </c>
      <c r="K33" s="14" t="s">
        <v>109</v>
      </c>
      <c r="L33" s="11" t="s">
        <v>28</v>
      </c>
      <c r="M33" s="11" t="s">
        <v>35</v>
      </c>
      <c r="N33" s="29" t="s">
        <v>89</v>
      </c>
      <c r="O33" s="16">
        <v>75000</v>
      </c>
      <c r="P33" s="16">
        <v>75000</v>
      </c>
      <c r="Q33" s="16">
        <v>0</v>
      </c>
      <c r="R33" s="16">
        <v>75000</v>
      </c>
      <c r="S33" s="23" t="s">
        <v>76</v>
      </c>
      <c r="T33" s="15" t="s">
        <v>134</v>
      </c>
      <c r="U33" s="15" t="s">
        <v>134</v>
      </c>
      <c r="V33" s="11" t="s">
        <v>11</v>
      </c>
      <c r="W33" s="15">
        <v>0</v>
      </c>
      <c r="X33" s="15">
        <f t="shared" si="3"/>
        <v>75000</v>
      </c>
      <c r="Y33" s="15">
        <f t="shared" si="9"/>
        <v>0</v>
      </c>
      <c r="Z33" s="15">
        <v>0</v>
      </c>
      <c r="AA33" s="15" cm="1">
        <f t="array" ref="AA33">_xlfn.IFS(M33="Closed",0,M33="Canceled",0,M33="Closed for Receiving",0,TRUE,SUM(W33:X33))+Z33</f>
        <v>75000</v>
      </c>
      <c r="AB33" s="15">
        <v>0</v>
      </c>
      <c r="AC33" s="15">
        <f>+Y33+AA33+AB33</f>
        <v>75000</v>
      </c>
      <c r="AD33" s="3">
        <v>45777</v>
      </c>
      <c r="AE33" s="32">
        <f t="shared" si="10"/>
        <v>7.9</v>
      </c>
      <c r="AF33" s="1">
        <v>3</v>
      </c>
      <c r="AG33" s="1">
        <f>(COUNTIF($E$4:$E33,$E33)=1)+0</f>
        <v>1</v>
      </c>
      <c r="AH33" s="75">
        <f t="shared" si="5"/>
        <v>75000</v>
      </c>
    </row>
    <row r="34" spans="3:34" x14ac:dyDescent="0.45">
      <c r="C34" s="11" t="str">
        <f t="shared" si="2"/>
        <v>14066609-13042318-1-1</v>
      </c>
      <c r="D34" s="11">
        <v>14066609</v>
      </c>
      <c r="E34" s="11">
        <v>13042318</v>
      </c>
      <c r="F34" s="12">
        <v>1</v>
      </c>
      <c r="G34" s="12">
        <v>1</v>
      </c>
      <c r="H34" s="13">
        <v>45565</v>
      </c>
      <c r="I34" s="13">
        <v>45571.343148148146</v>
      </c>
      <c r="J34" s="14" t="s">
        <v>110</v>
      </c>
      <c r="K34" s="14" t="s">
        <v>110</v>
      </c>
      <c r="L34" s="11" t="s">
        <v>47</v>
      </c>
      <c r="M34" s="11" t="s">
        <v>37</v>
      </c>
      <c r="N34" s="29" t="s">
        <v>94</v>
      </c>
      <c r="O34" s="16">
        <v>393750</v>
      </c>
      <c r="P34" s="16">
        <v>393750</v>
      </c>
      <c r="Q34" s="16">
        <v>393750</v>
      </c>
      <c r="R34" s="16">
        <v>393750</v>
      </c>
      <c r="S34" s="23" t="s">
        <v>76</v>
      </c>
      <c r="T34" s="15" t="s">
        <v>101</v>
      </c>
      <c r="U34" s="15" t="s">
        <v>101</v>
      </c>
      <c r="V34" s="11" t="s">
        <v>11</v>
      </c>
      <c r="W34" s="15">
        <v>0</v>
      </c>
      <c r="X34" s="15">
        <f t="shared" si="3"/>
        <v>0</v>
      </c>
      <c r="Y34" s="15">
        <f t="shared" si="9"/>
        <v>393750</v>
      </c>
      <c r="Z34" s="15">
        <v>0</v>
      </c>
      <c r="AA34" s="15" cm="1">
        <f t="array" ref="AA34">_xlfn.IFS(M34="Closed",0,M34="Canceled",0,M34="Closed for Receiving",0,TRUE,SUM(W34:X34))+Z34</f>
        <v>0</v>
      </c>
      <c r="AB34" s="15">
        <v>0</v>
      </c>
      <c r="AC34" s="15">
        <f t="shared" ref="AC34:AC60" si="11">+Y34+AA34+AB34</f>
        <v>393750</v>
      </c>
      <c r="AE34" s="32">
        <v>0</v>
      </c>
      <c r="AG34" s="1">
        <f>(COUNTIF($E$4:$E34,$E34)=1)+0</f>
        <v>1</v>
      </c>
      <c r="AH34" s="75">
        <f t="shared" si="5"/>
        <v>0</v>
      </c>
    </row>
    <row r="35" spans="3:34" x14ac:dyDescent="0.45">
      <c r="C35" s="11" t="str">
        <f t="shared" si="2"/>
        <v>14070394-13044892-1-1</v>
      </c>
      <c r="D35" s="11">
        <v>14070394</v>
      </c>
      <c r="E35" s="11">
        <v>13044892</v>
      </c>
      <c r="F35" s="12">
        <v>1</v>
      </c>
      <c r="G35" s="12">
        <v>1</v>
      </c>
      <c r="H35" s="13">
        <v>45627</v>
      </c>
      <c r="I35" s="13">
        <v>45628.49391203704</v>
      </c>
      <c r="J35" s="14" t="s">
        <v>111</v>
      </c>
      <c r="K35" s="14" t="s">
        <v>111</v>
      </c>
      <c r="L35" s="11" t="s">
        <v>30</v>
      </c>
      <c r="M35" s="11" t="s">
        <v>35</v>
      </c>
      <c r="N35" s="29" t="s">
        <v>90</v>
      </c>
      <c r="O35" s="16">
        <v>19500</v>
      </c>
      <c r="P35" s="16">
        <v>19500</v>
      </c>
      <c r="Q35" s="16">
        <v>9750</v>
      </c>
      <c r="R35" s="16">
        <v>9750</v>
      </c>
      <c r="S35" s="23" t="s">
        <v>76</v>
      </c>
      <c r="T35" s="28" t="s">
        <v>101</v>
      </c>
      <c r="U35" s="28" t="s">
        <v>101</v>
      </c>
      <c r="V35" s="11" t="s">
        <v>11</v>
      </c>
      <c r="W35" s="15">
        <v>0</v>
      </c>
      <c r="X35" s="15">
        <v>0</v>
      </c>
      <c r="Y35" s="15">
        <f t="shared" si="9"/>
        <v>9750</v>
      </c>
      <c r="Z35" s="15">
        <v>0</v>
      </c>
      <c r="AA35" s="15" cm="1">
        <f t="array" ref="AA35">_xlfn.IFS(M35="Closed",0,M35="Canceled",0,M35="Closed for Receiving",0,TRUE,SUM(W35:X35))+Z35</f>
        <v>0</v>
      </c>
      <c r="AB35" s="15">
        <v>0</v>
      </c>
      <c r="AC35" s="15">
        <f t="shared" si="11"/>
        <v>9750</v>
      </c>
      <c r="AD35" s="3">
        <v>45777</v>
      </c>
      <c r="AE35" s="32">
        <f t="shared" ref="AE35:AE36" si="12">IF(I35&gt;0,_xlfn.DAYS(AD35,I35)/30,0)</f>
        <v>4.9666666666666668</v>
      </c>
      <c r="AF35" s="1">
        <v>2</v>
      </c>
      <c r="AG35" s="1">
        <f>(COUNTIF($E$4:$E35,$E35)=1)+0</f>
        <v>1</v>
      </c>
      <c r="AH35" s="75">
        <f t="shared" si="5"/>
        <v>0</v>
      </c>
    </row>
    <row r="36" spans="3:34" x14ac:dyDescent="0.45">
      <c r="C36" s="11" t="str">
        <f t="shared" si="2"/>
        <v>14071195-13046536-1-1</v>
      </c>
      <c r="D36" s="11">
        <v>14071195</v>
      </c>
      <c r="E36" s="11">
        <v>13046536</v>
      </c>
      <c r="F36" s="12">
        <v>1</v>
      </c>
      <c r="G36" s="12">
        <v>1</v>
      </c>
      <c r="H36" s="13">
        <v>45641</v>
      </c>
      <c r="I36" s="13">
        <v>45641.616840277777</v>
      </c>
      <c r="J36" s="14" t="s">
        <v>112</v>
      </c>
      <c r="K36" s="14" t="s">
        <v>112</v>
      </c>
      <c r="L36" s="11" t="s">
        <v>33</v>
      </c>
      <c r="M36" s="11" t="s">
        <v>35</v>
      </c>
      <c r="N36" s="29" t="s">
        <v>92</v>
      </c>
      <c r="O36" s="15">
        <v>108900</v>
      </c>
      <c r="P36" s="15">
        <v>107250</v>
      </c>
      <c r="Q36" s="15">
        <v>0</v>
      </c>
      <c r="R36" s="15">
        <v>108900</v>
      </c>
      <c r="S36" s="23" t="s">
        <v>76</v>
      </c>
      <c r="T36" s="15" t="s">
        <v>103</v>
      </c>
      <c r="U36" s="15" t="s">
        <v>103</v>
      </c>
      <c r="V36" s="11" t="s">
        <v>12</v>
      </c>
      <c r="W36" s="15">
        <v>0</v>
      </c>
      <c r="X36" s="15">
        <f t="shared" ref="X36:X45" si="13">IF(R36&gt;Q36,R36-Q36,0)</f>
        <v>108900</v>
      </c>
      <c r="Y36" s="15">
        <f t="shared" si="9"/>
        <v>0</v>
      </c>
      <c r="Z36" s="15">
        <v>0</v>
      </c>
      <c r="AA36" s="15" cm="1">
        <f t="array" ref="AA36">_xlfn.IFS(M36="Closed",0,M36="Canceled",0,M36="Closed for Receiving",0,TRUE,SUM(W36:X36))+Z36</f>
        <v>108900</v>
      </c>
      <c r="AB36" s="15"/>
      <c r="AC36" s="15">
        <f t="shared" si="11"/>
        <v>108900</v>
      </c>
      <c r="AD36" s="3">
        <v>45777</v>
      </c>
      <c r="AE36" s="32">
        <f t="shared" si="12"/>
        <v>4.5333333333333332</v>
      </c>
      <c r="AF36" s="1">
        <v>2</v>
      </c>
      <c r="AG36" s="1">
        <f>(COUNTIF($E$4:$E36,$E36)=1)+0</f>
        <v>1</v>
      </c>
      <c r="AH36" s="75">
        <f t="shared" si="5"/>
        <v>108900</v>
      </c>
    </row>
    <row r="37" spans="3:34" x14ac:dyDescent="0.45">
      <c r="C37" s="11" t="str">
        <f t="shared" si="2"/>
        <v>14071200-13045776-1-1</v>
      </c>
      <c r="D37" s="11">
        <v>14071200</v>
      </c>
      <c r="E37" s="11">
        <v>13045776</v>
      </c>
      <c r="F37" s="12">
        <v>1</v>
      </c>
      <c r="G37" s="12">
        <v>1</v>
      </c>
      <c r="H37" s="13">
        <v>45641</v>
      </c>
      <c r="I37" s="13">
        <v>45641.616932870369</v>
      </c>
      <c r="J37" s="14" t="s">
        <v>113</v>
      </c>
      <c r="K37" s="14" t="s">
        <v>113</v>
      </c>
      <c r="L37" s="11" t="s">
        <v>115</v>
      </c>
      <c r="M37" s="11" t="s">
        <v>37</v>
      </c>
      <c r="N37" s="29" t="s">
        <v>92</v>
      </c>
      <c r="O37" s="15">
        <v>23100</v>
      </c>
      <c r="P37" s="15">
        <v>17820</v>
      </c>
      <c r="Q37" s="15">
        <v>17820</v>
      </c>
      <c r="R37" s="15">
        <v>17820</v>
      </c>
      <c r="S37" s="23" t="s">
        <v>76</v>
      </c>
      <c r="T37" s="15" t="s">
        <v>103</v>
      </c>
      <c r="U37" s="15" t="s">
        <v>103</v>
      </c>
      <c r="V37" s="11" t="s">
        <v>12</v>
      </c>
      <c r="W37" s="15">
        <v>0</v>
      </c>
      <c r="X37" s="15">
        <f t="shared" si="13"/>
        <v>0</v>
      </c>
      <c r="Y37" s="15">
        <f t="shared" si="9"/>
        <v>17820</v>
      </c>
      <c r="Z37" s="15">
        <v>0</v>
      </c>
      <c r="AA37" s="15" cm="1">
        <f t="array" ref="AA37">_xlfn.IFS(M37="Closed",0,M37="Canceled",0,M37="Closed for Receiving",0,TRUE,SUM(W37:X37))+Z37</f>
        <v>0</v>
      </c>
      <c r="AB37" s="15"/>
      <c r="AC37" s="15">
        <f t="shared" si="11"/>
        <v>17820</v>
      </c>
      <c r="AE37" s="32">
        <v>0</v>
      </c>
      <c r="AG37" s="1">
        <f>(COUNTIF($E$4:$E37,$E37)=1)+0</f>
        <v>1</v>
      </c>
      <c r="AH37" s="75">
        <f t="shared" si="5"/>
        <v>0</v>
      </c>
    </row>
    <row r="38" spans="3:34" x14ac:dyDescent="0.45">
      <c r="C38" s="11" t="str">
        <f t="shared" si="2"/>
        <v>14071220-13047214-1-1</v>
      </c>
      <c r="D38" s="11">
        <v>14071220</v>
      </c>
      <c r="E38" s="11">
        <v>13047214</v>
      </c>
      <c r="F38" s="12">
        <v>1</v>
      </c>
      <c r="G38" s="12">
        <v>1</v>
      </c>
      <c r="H38" s="13">
        <v>45641</v>
      </c>
      <c r="I38" s="13">
        <v>45648.267175925925</v>
      </c>
      <c r="J38" s="14" t="s">
        <v>119</v>
      </c>
      <c r="K38" s="14" t="s">
        <v>119</v>
      </c>
      <c r="L38" s="11" t="s">
        <v>129</v>
      </c>
      <c r="M38" s="11" t="s">
        <v>35</v>
      </c>
      <c r="N38" s="29" t="s">
        <v>132</v>
      </c>
      <c r="O38" s="15">
        <v>69930</v>
      </c>
      <c r="P38" s="15">
        <v>69930</v>
      </c>
      <c r="Q38" s="16">
        <v>63825</v>
      </c>
      <c r="R38" s="15">
        <v>69930</v>
      </c>
      <c r="S38" s="23" t="s">
        <v>76</v>
      </c>
      <c r="T38" s="15" t="s">
        <v>138</v>
      </c>
      <c r="U38" s="15" t="s">
        <v>147</v>
      </c>
      <c r="V38" s="11" t="s">
        <v>11</v>
      </c>
      <c r="W38" s="15">
        <v>0</v>
      </c>
      <c r="X38" s="15">
        <f t="shared" si="13"/>
        <v>6105</v>
      </c>
      <c r="Y38" s="15">
        <f t="shared" si="9"/>
        <v>63825</v>
      </c>
      <c r="Z38" s="15">
        <v>0</v>
      </c>
      <c r="AA38" s="15" cm="1">
        <f t="array" ref="AA38">_xlfn.IFS(M38="Closed",0,M38="Canceled",0,M38="Closed for Receiving",0,TRUE,SUM(W38:X38))+Z38</f>
        <v>6105</v>
      </c>
      <c r="AB38" s="15"/>
      <c r="AC38" s="15">
        <f t="shared" si="11"/>
        <v>69930</v>
      </c>
      <c r="AD38" s="3">
        <v>45777</v>
      </c>
      <c r="AE38" s="32">
        <f t="shared" ref="AE38:AE45" si="14">IF(I38&gt;0,_xlfn.DAYS(AD38,I38)/30,0)</f>
        <v>4.3</v>
      </c>
      <c r="AF38" s="1">
        <v>2</v>
      </c>
      <c r="AG38" s="1">
        <f>(COUNTIF($E$4:$E38,$E38)=1)+0</f>
        <v>1</v>
      </c>
      <c r="AH38" s="75">
        <f t="shared" si="5"/>
        <v>6105</v>
      </c>
    </row>
    <row r="39" spans="3:34" x14ac:dyDescent="0.45">
      <c r="C39" s="11" t="str">
        <f t="shared" si="2"/>
        <v>14071220-13047214-2-2</v>
      </c>
      <c r="D39" s="11">
        <v>14071220</v>
      </c>
      <c r="E39" s="11">
        <v>13047214</v>
      </c>
      <c r="F39" s="12">
        <v>2</v>
      </c>
      <c r="G39" s="12">
        <v>2</v>
      </c>
      <c r="H39" s="13">
        <v>45641</v>
      </c>
      <c r="I39" s="13">
        <v>45648.267175925925</v>
      </c>
      <c r="J39" s="14" t="s">
        <v>119</v>
      </c>
      <c r="K39" s="14" t="s">
        <v>119</v>
      </c>
      <c r="L39" s="11" t="s">
        <v>129</v>
      </c>
      <c r="M39" s="11" t="s">
        <v>35</v>
      </c>
      <c r="N39" s="29" t="s">
        <v>132</v>
      </c>
      <c r="O39" s="15">
        <v>62370</v>
      </c>
      <c r="P39" s="15">
        <v>62370</v>
      </c>
      <c r="Q39" s="16">
        <v>62370</v>
      </c>
      <c r="R39" s="15">
        <v>62370</v>
      </c>
      <c r="S39" s="23" t="s">
        <v>76</v>
      </c>
      <c r="T39" s="15" t="s">
        <v>138</v>
      </c>
      <c r="U39" s="15" t="s">
        <v>147</v>
      </c>
      <c r="V39" s="11" t="s">
        <v>11</v>
      </c>
      <c r="W39" s="15">
        <v>0</v>
      </c>
      <c r="X39" s="15">
        <f t="shared" si="13"/>
        <v>0</v>
      </c>
      <c r="Y39" s="15">
        <f t="shared" si="9"/>
        <v>62370</v>
      </c>
      <c r="Z39" s="15">
        <v>0</v>
      </c>
      <c r="AA39" s="15" cm="1">
        <f t="array" ref="AA39">_xlfn.IFS(M39="Closed",0,M39="Canceled",0,M39="Closed for Receiving",0,TRUE,SUM(W39:X39))+Z39</f>
        <v>0</v>
      </c>
      <c r="AB39" s="15"/>
      <c r="AC39" s="15">
        <f t="shared" si="11"/>
        <v>62370</v>
      </c>
      <c r="AD39" s="3">
        <v>45777</v>
      </c>
      <c r="AE39" s="32">
        <f t="shared" si="14"/>
        <v>4.3</v>
      </c>
      <c r="AF39" s="1">
        <v>2</v>
      </c>
      <c r="AG39" s="1">
        <f>(COUNTIF($E$4:$E39,$E39)=1)+0</f>
        <v>0</v>
      </c>
      <c r="AH39" s="75">
        <f t="shared" si="5"/>
        <v>0</v>
      </c>
    </row>
    <row r="40" spans="3:34" x14ac:dyDescent="0.45">
      <c r="C40" s="11" t="str">
        <f t="shared" si="2"/>
        <v>14071231-13046311-1-1</v>
      </c>
      <c r="D40" s="11">
        <v>14071231</v>
      </c>
      <c r="E40" s="11">
        <v>13046311</v>
      </c>
      <c r="F40" s="12">
        <v>1</v>
      </c>
      <c r="G40" s="12">
        <v>1</v>
      </c>
      <c r="H40" s="13">
        <v>45641</v>
      </c>
      <c r="I40" s="13">
        <v>45652.494652777779</v>
      </c>
      <c r="J40" s="14" t="s">
        <v>120</v>
      </c>
      <c r="K40" s="14" t="s">
        <v>120</v>
      </c>
      <c r="L40" s="11" t="s">
        <v>32</v>
      </c>
      <c r="M40" s="11" t="s">
        <v>35</v>
      </c>
      <c r="N40" s="29" t="s">
        <v>93</v>
      </c>
      <c r="O40" s="15">
        <v>1176000</v>
      </c>
      <c r="P40" s="15">
        <v>1176000</v>
      </c>
      <c r="Q40" s="15">
        <v>0</v>
      </c>
      <c r="R40" s="15">
        <v>1176000</v>
      </c>
      <c r="S40" s="23" t="s">
        <v>76</v>
      </c>
      <c r="T40" s="15" t="s">
        <v>101</v>
      </c>
      <c r="U40" s="15" t="s">
        <v>101</v>
      </c>
      <c r="V40" s="11" t="s">
        <v>12</v>
      </c>
      <c r="W40" s="15">
        <v>0</v>
      </c>
      <c r="X40" s="15">
        <f t="shared" si="13"/>
        <v>1176000</v>
      </c>
      <c r="Y40" s="15">
        <f t="shared" si="9"/>
        <v>0</v>
      </c>
      <c r="Z40" s="15">
        <v>0</v>
      </c>
      <c r="AA40" s="15" cm="1">
        <f t="array" ref="AA40">_xlfn.IFS(M40="Closed",0,M40="Canceled",0,M40="Closed for Receiving",0,TRUE,SUM(W40:X40))+Z40</f>
        <v>1176000</v>
      </c>
      <c r="AB40" s="15"/>
      <c r="AC40" s="15">
        <f t="shared" si="11"/>
        <v>1176000</v>
      </c>
      <c r="AD40" s="3">
        <v>45777</v>
      </c>
      <c r="AE40" s="32">
        <f t="shared" si="14"/>
        <v>4.166666666666667</v>
      </c>
      <c r="AF40" s="1">
        <v>2</v>
      </c>
      <c r="AG40" s="1">
        <f>(COUNTIF($E$4:$E40,$E40)=1)+0</f>
        <v>1</v>
      </c>
      <c r="AH40" s="75">
        <f t="shared" si="5"/>
        <v>1176000</v>
      </c>
    </row>
    <row r="41" spans="3:34" x14ac:dyDescent="0.45">
      <c r="C41" s="11" t="str">
        <f t="shared" si="2"/>
        <v>14071231-13046311-2-2</v>
      </c>
      <c r="D41" s="11">
        <v>14071231</v>
      </c>
      <c r="E41" s="11">
        <v>13046311</v>
      </c>
      <c r="F41" s="12">
        <v>2</v>
      </c>
      <c r="G41" s="12">
        <v>2</v>
      </c>
      <c r="H41" s="13">
        <v>45641</v>
      </c>
      <c r="I41" s="13">
        <v>45652.494652777779</v>
      </c>
      <c r="J41" s="14" t="s">
        <v>120</v>
      </c>
      <c r="K41" s="14" t="s">
        <v>120</v>
      </c>
      <c r="L41" s="11" t="s">
        <v>32</v>
      </c>
      <c r="M41" s="11" t="s">
        <v>35</v>
      </c>
      <c r="N41" s="29" t="s">
        <v>93</v>
      </c>
      <c r="O41" s="15">
        <v>18600</v>
      </c>
      <c r="P41" s="15">
        <v>18600</v>
      </c>
      <c r="Q41" s="15">
        <v>0</v>
      </c>
      <c r="R41" s="15">
        <v>18600</v>
      </c>
      <c r="S41" s="23" t="s">
        <v>76</v>
      </c>
      <c r="T41" s="15" t="s">
        <v>101</v>
      </c>
      <c r="U41" s="15" t="s">
        <v>101</v>
      </c>
      <c r="V41" s="11" t="s">
        <v>12</v>
      </c>
      <c r="W41" s="15">
        <v>0</v>
      </c>
      <c r="X41" s="15">
        <f t="shared" si="13"/>
        <v>18600</v>
      </c>
      <c r="Y41" s="15">
        <f t="shared" si="9"/>
        <v>0</v>
      </c>
      <c r="Z41" s="15">
        <v>0</v>
      </c>
      <c r="AA41" s="15" cm="1">
        <f t="array" ref="AA41">_xlfn.IFS(M41="Closed",0,M41="Canceled",0,M41="Closed for Receiving",0,TRUE,SUM(W41:X41))+Z41</f>
        <v>18600</v>
      </c>
      <c r="AB41" s="15"/>
      <c r="AC41" s="15">
        <f t="shared" si="11"/>
        <v>18600</v>
      </c>
      <c r="AD41" s="3">
        <v>45777</v>
      </c>
      <c r="AE41" s="32">
        <f t="shared" si="14"/>
        <v>4.166666666666667</v>
      </c>
      <c r="AF41" s="1">
        <v>2</v>
      </c>
      <c r="AG41" s="1">
        <f>(COUNTIF($E$4:$E41,$E41)=1)+0</f>
        <v>0</v>
      </c>
      <c r="AH41" s="75">
        <f t="shared" si="5"/>
        <v>18600</v>
      </c>
    </row>
    <row r="42" spans="3:34" x14ac:dyDescent="0.45">
      <c r="C42" s="11" t="str">
        <f t="shared" si="2"/>
        <v>14071231-13046311-3-3</v>
      </c>
      <c r="D42" s="11">
        <v>14071231</v>
      </c>
      <c r="E42" s="11">
        <v>13046311</v>
      </c>
      <c r="F42" s="12">
        <v>3</v>
      </c>
      <c r="G42" s="12">
        <v>3</v>
      </c>
      <c r="H42" s="13">
        <v>45641</v>
      </c>
      <c r="I42" s="13">
        <v>45652.494652777779</v>
      </c>
      <c r="J42" s="14" t="s">
        <v>120</v>
      </c>
      <c r="K42" s="14" t="s">
        <v>120</v>
      </c>
      <c r="L42" s="11" t="s">
        <v>32</v>
      </c>
      <c r="M42" s="11" t="s">
        <v>35</v>
      </c>
      <c r="N42" s="29" t="s">
        <v>93</v>
      </c>
      <c r="O42" s="15">
        <v>12800</v>
      </c>
      <c r="P42" s="15">
        <v>12800</v>
      </c>
      <c r="Q42" s="15">
        <v>0</v>
      </c>
      <c r="R42" s="15">
        <v>12800</v>
      </c>
      <c r="S42" s="23" t="s">
        <v>76</v>
      </c>
      <c r="T42" s="15" t="s">
        <v>101</v>
      </c>
      <c r="U42" s="15" t="s">
        <v>101</v>
      </c>
      <c r="V42" s="11" t="s">
        <v>12</v>
      </c>
      <c r="W42" s="15">
        <v>0</v>
      </c>
      <c r="X42" s="15">
        <f t="shared" si="13"/>
        <v>12800</v>
      </c>
      <c r="Y42" s="15">
        <f t="shared" si="9"/>
        <v>0</v>
      </c>
      <c r="Z42" s="15">
        <v>0</v>
      </c>
      <c r="AA42" s="15" cm="1">
        <f t="array" ref="AA42">_xlfn.IFS(M42="Closed",0,M42="Canceled",0,M42="Closed for Receiving",0,TRUE,SUM(W42:X42))+Z42</f>
        <v>12800</v>
      </c>
      <c r="AB42" s="15"/>
      <c r="AC42" s="15">
        <f t="shared" si="11"/>
        <v>12800</v>
      </c>
      <c r="AD42" s="3">
        <v>45777</v>
      </c>
      <c r="AE42" s="32">
        <f t="shared" si="14"/>
        <v>4.166666666666667</v>
      </c>
      <c r="AF42" s="1">
        <v>2</v>
      </c>
      <c r="AG42" s="1">
        <f>(COUNTIF($E$4:$E42,$E42)=1)+0</f>
        <v>0</v>
      </c>
      <c r="AH42" s="75">
        <f t="shared" si="5"/>
        <v>12800</v>
      </c>
    </row>
    <row r="43" spans="3:34" x14ac:dyDescent="0.45">
      <c r="C43" s="11" t="str">
        <f t="shared" si="2"/>
        <v>14071231-13046311-4-4</v>
      </c>
      <c r="D43" s="11">
        <v>14071231</v>
      </c>
      <c r="E43" s="11">
        <v>13046311</v>
      </c>
      <c r="F43" s="12">
        <v>4</v>
      </c>
      <c r="G43" s="12">
        <v>4</v>
      </c>
      <c r="H43" s="13">
        <v>45641</v>
      </c>
      <c r="I43" s="13">
        <v>45652.494652777779</v>
      </c>
      <c r="J43" s="14" t="s">
        <v>120</v>
      </c>
      <c r="K43" s="14" t="s">
        <v>120</v>
      </c>
      <c r="L43" s="11" t="s">
        <v>32</v>
      </c>
      <c r="M43" s="11" t="s">
        <v>35</v>
      </c>
      <c r="N43" s="29" t="s">
        <v>93</v>
      </c>
      <c r="O43" s="15">
        <v>91200</v>
      </c>
      <c r="P43" s="15">
        <v>91200</v>
      </c>
      <c r="Q43" s="15">
        <v>0</v>
      </c>
      <c r="R43" s="15">
        <v>91200</v>
      </c>
      <c r="S43" s="23" t="s">
        <v>76</v>
      </c>
      <c r="T43" s="15" t="s">
        <v>101</v>
      </c>
      <c r="U43" s="15" t="s">
        <v>101</v>
      </c>
      <c r="V43" s="11" t="s">
        <v>12</v>
      </c>
      <c r="W43" s="15">
        <v>0</v>
      </c>
      <c r="X43" s="15">
        <f t="shared" si="13"/>
        <v>91200</v>
      </c>
      <c r="Y43" s="15">
        <f t="shared" si="9"/>
        <v>0</v>
      </c>
      <c r="Z43" s="15">
        <v>0</v>
      </c>
      <c r="AA43" s="15" cm="1">
        <f t="array" ref="AA43">_xlfn.IFS(M43="Closed",0,M43="Canceled",0,M43="Closed for Receiving",0,TRUE,SUM(W43:X43))+Z43</f>
        <v>91200</v>
      </c>
      <c r="AB43" s="15"/>
      <c r="AC43" s="15">
        <f t="shared" si="11"/>
        <v>91200</v>
      </c>
      <c r="AD43" s="3">
        <v>45777</v>
      </c>
      <c r="AE43" s="32">
        <f t="shared" si="14"/>
        <v>4.166666666666667</v>
      </c>
      <c r="AF43" s="1">
        <v>2</v>
      </c>
      <c r="AG43" s="1">
        <f>(COUNTIF($E$4:$E43,$E43)=1)+0</f>
        <v>0</v>
      </c>
      <c r="AH43" s="75">
        <f t="shared" si="5"/>
        <v>91200</v>
      </c>
    </row>
    <row r="44" spans="3:34" x14ac:dyDescent="0.45">
      <c r="C44" s="11" t="str">
        <f t="shared" si="2"/>
        <v>14071231-13046311-5-5</v>
      </c>
      <c r="D44" s="11">
        <v>14071231</v>
      </c>
      <c r="E44" s="11">
        <v>13046311</v>
      </c>
      <c r="F44" s="12">
        <v>5</v>
      </c>
      <c r="G44" s="12">
        <v>5</v>
      </c>
      <c r="H44" s="13">
        <v>45641</v>
      </c>
      <c r="I44" s="13">
        <v>45652.494652777779</v>
      </c>
      <c r="J44" s="14" t="s">
        <v>120</v>
      </c>
      <c r="K44" s="14" t="s">
        <v>120</v>
      </c>
      <c r="L44" s="11" t="s">
        <v>32</v>
      </c>
      <c r="M44" s="11" t="s">
        <v>35</v>
      </c>
      <c r="N44" s="29" t="s">
        <v>93</v>
      </c>
      <c r="O44" s="15">
        <v>3570</v>
      </c>
      <c r="P44" s="15">
        <v>3570</v>
      </c>
      <c r="Q44" s="15">
        <v>0</v>
      </c>
      <c r="R44" s="15">
        <v>3570</v>
      </c>
      <c r="S44" s="23" t="s">
        <v>76</v>
      </c>
      <c r="T44" s="15" t="s">
        <v>101</v>
      </c>
      <c r="U44" s="15" t="s">
        <v>101</v>
      </c>
      <c r="V44" s="11" t="s">
        <v>12</v>
      </c>
      <c r="W44" s="15">
        <v>0</v>
      </c>
      <c r="X44" s="15">
        <f t="shared" si="13"/>
        <v>3570</v>
      </c>
      <c r="Y44" s="15">
        <f t="shared" si="9"/>
        <v>0</v>
      </c>
      <c r="Z44" s="15">
        <v>0</v>
      </c>
      <c r="AA44" s="15" cm="1">
        <f t="array" ref="AA44">_xlfn.IFS(M44="Closed",0,M44="Canceled",0,M44="Closed for Receiving",0,TRUE,SUM(W44:X44))+Z44</f>
        <v>3570</v>
      </c>
      <c r="AB44" s="15"/>
      <c r="AC44" s="15">
        <f t="shared" si="11"/>
        <v>3570</v>
      </c>
      <c r="AD44" s="3">
        <v>45777</v>
      </c>
      <c r="AE44" s="32">
        <f t="shared" si="14"/>
        <v>4.166666666666667</v>
      </c>
      <c r="AF44" s="1">
        <v>2</v>
      </c>
      <c r="AG44" s="1">
        <f>(COUNTIF($E$4:$E44,$E44)=1)+0</f>
        <v>0</v>
      </c>
      <c r="AH44" s="75">
        <f t="shared" si="5"/>
        <v>3570</v>
      </c>
    </row>
    <row r="45" spans="3:34" x14ac:dyDescent="0.45">
      <c r="C45" s="11" t="str">
        <f t="shared" si="2"/>
        <v>14071231-13046311-6-6</v>
      </c>
      <c r="D45" s="11">
        <v>14071231</v>
      </c>
      <c r="E45" s="11">
        <v>13046311</v>
      </c>
      <c r="F45" s="12">
        <v>6</v>
      </c>
      <c r="G45" s="12">
        <v>6</v>
      </c>
      <c r="H45" s="13">
        <v>45641</v>
      </c>
      <c r="I45" s="13">
        <v>45652.494652777779</v>
      </c>
      <c r="J45" s="14" t="s">
        <v>120</v>
      </c>
      <c r="K45" s="14" t="s">
        <v>120</v>
      </c>
      <c r="L45" s="11" t="s">
        <v>32</v>
      </c>
      <c r="M45" s="11" t="s">
        <v>35</v>
      </c>
      <c r="N45" s="29" t="s">
        <v>93</v>
      </c>
      <c r="O45" s="15">
        <v>244960</v>
      </c>
      <c r="P45" s="15">
        <v>244960</v>
      </c>
      <c r="Q45" s="15">
        <v>0</v>
      </c>
      <c r="R45" s="15">
        <v>244960</v>
      </c>
      <c r="S45" s="23" t="s">
        <v>76</v>
      </c>
      <c r="T45" s="15" t="s">
        <v>101</v>
      </c>
      <c r="U45" s="15" t="s">
        <v>101</v>
      </c>
      <c r="V45" s="11" t="s">
        <v>12</v>
      </c>
      <c r="W45" s="15">
        <v>0</v>
      </c>
      <c r="X45" s="15">
        <f t="shared" si="13"/>
        <v>244960</v>
      </c>
      <c r="Y45" s="15">
        <f t="shared" si="9"/>
        <v>0</v>
      </c>
      <c r="Z45" s="15">
        <v>0</v>
      </c>
      <c r="AA45" s="15" cm="1">
        <f t="array" ref="AA45">_xlfn.IFS(M45="Closed",0,M45="Canceled",0,M45="Closed for Receiving",0,TRUE,SUM(W45:X45))+Z45</f>
        <v>244960</v>
      </c>
      <c r="AB45" s="15"/>
      <c r="AC45" s="15">
        <f t="shared" si="11"/>
        <v>244960</v>
      </c>
      <c r="AD45" s="3">
        <v>45777</v>
      </c>
      <c r="AE45" s="32">
        <f t="shared" si="14"/>
        <v>4.166666666666667</v>
      </c>
      <c r="AF45" s="1">
        <v>2</v>
      </c>
      <c r="AG45" s="1">
        <f>(COUNTIF($E$4:$E45,$E45)=1)+0</f>
        <v>0</v>
      </c>
      <c r="AH45" s="75">
        <f t="shared" si="5"/>
        <v>244960</v>
      </c>
    </row>
    <row r="46" spans="3:34" x14ac:dyDescent="0.45">
      <c r="C46" s="11" t="str">
        <f t="shared" si="2"/>
        <v>14071303-13046150-1-1</v>
      </c>
      <c r="D46" s="11">
        <v>14071303</v>
      </c>
      <c r="E46" s="11">
        <v>13046150</v>
      </c>
      <c r="F46" s="12">
        <v>1</v>
      </c>
      <c r="G46" s="12">
        <v>1</v>
      </c>
      <c r="H46" s="13">
        <v>45643</v>
      </c>
      <c r="I46" s="13">
        <v>45645.290196759262</v>
      </c>
      <c r="J46" s="14" t="s">
        <v>114</v>
      </c>
      <c r="K46" s="14" t="s">
        <v>114</v>
      </c>
      <c r="L46" s="11" t="s">
        <v>47</v>
      </c>
      <c r="M46" s="11" t="s">
        <v>37</v>
      </c>
      <c r="N46" s="29" t="s">
        <v>94</v>
      </c>
      <c r="O46" s="15">
        <v>376514.14</v>
      </c>
      <c r="P46" s="15">
        <v>371102.85588971101</v>
      </c>
      <c r="Q46" s="15">
        <v>371102.85588971101</v>
      </c>
      <c r="R46" s="15">
        <v>376514.14</v>
      </c>
      <c r="S46" s="23" t="s">
        <v>76</v>
      </c>
      <c r="T46" s="15" t="s">
        <v>103</v>
      </c>
      <c r="U46" s="15" t="s">
        <v>103</v>
      </c>
      <c r="V46" s="11" t="s">
        <v>11</v>
      </c>
      <c r="W46" s="15">
        <v>0</v>
      </c>
      <c r="X46" s="15">
        <f>IF(R46&gt;Q46,P46-Q46,0)</f>
        <v>0</v>
      </c>
      <c r="Y46" s="15">
        <f t="shared" si="9"/>
        <v>371102.85588971101</v>
      </c>
      <c r="Z46" s="15">
        <v>0</v>
      </c>
      <c r="AA46" s="15" cm="1">
        <f t="array" ref="AA46">_xlfn.IFS(M46="Closed",0,M46="Canceled",0,M46="Closed for Receiving",0,TRUE,SUM(W46:X46))+Z46</f>
        <v>0</v>
      </c>
      <c r="AB46" s="15"/>
      <c r="AC46" s="15">
        <f t="shared" si="11"/>
        <v>371102.85588971101</v>
      </c>
      <c r="AE46" s="32">
        <v>0</v>
      </c>
      <c r="AG46" s="1">
        <f>(COUNTIF($E$4:$E46,$E46)=1)+0</f>
        <v>1</v>
      </c>
      <c r="AH46" s="75">
        <f t="shared" si="5"/>
        <v>5411.2841102890088</v>
      </c>
    </row>
    <row r="47" spans="3:34" x14ac:dyDescent="0.45">
      <c r="C47" s="11" t="str">
        <f t="shared" si="2"/>
        <v>14071672-13047183-1-1</v>
      </c>
      <c r="D47" s="11">
        <v>14071672</v>
      </c>
      <c r="E47" s="11">
        <v>13047183</v>
      </c>
      <c r="F47" s="12">
        <v>1</v>
      </c>
      <c r="G47" s="12">
        <v>1</v>
      </c>
      <c r="H47" s="13">
        <v>45650</v>
      </c>
      <c r="I47" s="13">
        <v>45657.138773148145</v>
      </c>
      <c r="J47" s="14" t="s">
        <v>121</v>
      </c>
      <c r="K47" s="14" t="s">
        <v>121</v>
      </c>
      <c r="L47" s="11" t="s">
        <v>32</v>
      </c>
      <c r="M47" s="11" t="s">
        <v>37</v>
      </c>
      <c r="N47" s="29" t="s">
        <v>93</v>
      </c>
      <c r="O47" s="15">
        <v>200</v>
      </c>
      <c r="P47" s="15">
        <v>200</v>
      </c>
      <c r="Q47" s="16">
        <v>200</v>
      </c>
      <c r="R47" s="15">
        <v>200</v>
      </c>
      <c r="S47" s="23" t="s">
        <v>76</v>
      </c>
      <c r="T47" s="15" t="s">
        <v>101</v>
      </c>
      <c r="U47" s="15" t="s">
        <v>101</v>
      </c>
      <c r="V47" s="11" t="s">
        <v>12</v>
      </c>
      <c r="W47" s="15">
        <v>0</v>
      </c>
      <c r="X47" s="15">
        <f t="shared" ref="X47:X58" si="15">IF(R47&gt;Q47,R47-Q47,0)</f>
        <v>0</v>
      </c>
      <c r="Y47" s="15">
        <f t="shared" si="9"/>
        <v>200</v>
      </c>
      <c r="Z47" s="15">
        <v>0</v>
      </c>
      <c r="AA47" s="15" cm="1">
        <f t="array" ref="AA47">_xlfn.IFS(M47="Closed",0,M47="Canceled",0,M47="Closed for Receiving",0,TRUE,SUM(W47:X47))+Z47</f>
        <v>0</v>
      </c>
      <c r="AB47" s="15"/>
      <c r="AC47" s="15">
        <f t="shared" si="11"/>
        <v>200</v>
      </c>
      <c r="AE47" s="32">
        <v>0</v>
      </c>
      <c r="AG47" s="1">
        <f>(COUNTIF($E$4:$E47,$E47)=1)+0</f>
        <v>1</v>
      </c>
      <c r="AH47" s="75">
        <f t="shared" si="5"/>
        <v>0</v>
      </c>
    </row>
    <row r="48" spans="3:34" x14ac:dyDescent="0.45">
      <c r="C48" s="11" t="str">
        <f t="shared" si="2"/>
        <v>14071677-13048206-1-1</v>
      </c>
      <c r="D48" s="11">
        <v>14071677</v>
      </c>
      <c r="E48" s="11">
        <v>13048206</v>
      </c>
      <c r="F48" s="12">
        <v>1</v>
      </c>
      <c r="G48" s="12">
        <v>1</v>
      </c>
      <c r="H48" s="13">
        <v>45650</v>
      </c>
      <c r="I48" s="13">
        <v>45655.332280092596</v>
      </c>
      <c r="J48" s="14" t="s">
        <v>122</v>
      </c>
      <c r="K48" s="14" t="s">
        <v>122</v>
      </c>
      <c r="L48" s="11" t="s">
        <v>131</v>
      </c>
      <c r="M48" s="11" t="s">
        <v>37</v>
      </c>
      <c r="N48" s="29" t="s">
        <v>133</v>
      </c>
      <c r="O48" s="15">
        <v>87750</v>
      </c>
      <c r="P48" s="15">
        <v>87750</v>
      </c>
      <c r="Q48" s="15">
        <v>87750</v>
      </c>
      <c r="R48" s="15">
        <v>87750</v>
      </c>
      <c r="S48" s="23" t="s">
        <v>76</v>
      </c>
      <c r="T48" s="15" t="s">
        <v>101</v>
      </c>
      <c r="U48" s="15" t="s">
        <v>101</v>
      </c>
      <c r="V48" s="11" t="s">
        <v>11</v>
      </c>
      <c r="W48" s="15">
        <v>0</v>
      </c>
      <c r="X48" s="15">
        <f t="shared" si="15"/>
        <v>0</v>
      </c>
      <c r="Y48" s="15">
        <f t="shared" si="9"/>
        <v>87750</v>
      </c>
      <c r="Z48" s="15">
        <v>0</v>
      </c>
      <c r="AA48" s="15" cm="1">
        <f t="array" ref="AA48">_xlfn.IFS(M48="Closed",0,M48="Canceled",0,M48="Closed for Receiving",0,TRUE,SUM(W48:X48))+Z48</f>
        <v>0</v>
      </c>
      <c r="AB48" s="15"/>
      <c r="AC48" s="15">
        <f t="shared" si="11"/>
        <v>87750</v>
      </c>
      <c r="AE48" s="32">
        <v>0</v>
      </c>
      <c r="AG48" s="1">
        <f>(COUNTIF($E$4:$E48,$E48)=1)+0</f>
        <v>1</v>
      </c>
      <c r="AH48" s="75">
        <f t="shared" si="5"/>
        <v>0</v>
      </c>
    </row>
    <row r="49" spans="3:34" x14ac:dyDescent="0.45">
      <c r="C49" s="11" t="str">
        <f t="shared" si="2"/>
        <v>14071678-13046026-1-1</v>
      </c>
      <c r="D49" s="11">
        <v>14071678</v>
      </c>
      <c r="E49" s="11">
        <v>13046026</v>
      </c>
      <c r="F49" s="12">
        <v>1</v>
      </c>
      <c r="G49" s="12">
        <v>1</v>
      </c>
      <c r="H49" s="13">
        <v>45650</v>
      </c>
      <c r="I49" s="13">
        <v>45652.481863425928</v>
      </c>
      <c r="J49" s="14" t="s">
        <v>123</v>
      </c>
      <c r="K49" s="14" t="s">
        <v>123</v>
      </c>
      <c r="L49" s="11" t="s">
        <v>129</v>
      </c>
      <c r="M49" s="11" t="s">
        <v>35</v>
      </c>
      <c r="N49" s="29" t="s">
        <v>132</v>
      </c>
      <c r="O49" s="15">
        <v>30000</v>
      </c>
      <c r="P49" s="15">
        <v>30000</v>
      </c>
      <c r="Q49" s="15">
        <v>0</v>
      </c>
      <c r="R49" s="15">
        <v>30000</v>
      </c>
      <c r="S49" s="23" t="s">
        <v>76</v>
      </c>
      <c r="T49" s="15" t="s">
        <v>138</v>
      </c>
      <c r="U49" s="15" t="s">
        <v>148</v>
      </c>
      <c r="V49" s="11" t="s">
        <v>11</v>
      </c>
      <c r="W49" s="15">
        <v>0</v>
      </c>
      <c r="X49" s="15">
        <f t="shared" si="15"/>
        <v>30000</v>
      </c>
      <c r="Y49" s="15">
        <f t="shared" si="9"/>
        <v>0</v>
      </c>
      <c r="Z49" s="15">
        <v>0</v>
      </c>
      <c r="AA49" s="15" cm="1">
        <f t="array" ref="AA49">_xlfn.IFS(M49="Closed",0,M49="Canceled",0,M49="Closed for Receiving",0,TRUE,SUM(W49:X49))+Z49</f>
        <v>30000</v>
      </c>
      <c r="AB49" s="15"/>
      <c r="AC49" s="15">
        <f t="shared" si="11"/>
        <v>30000</v>
      </c>
      <c r="AD49" s="3">
        <v>45777</v>
      </c>
      <c r="AE49" s="32">
        <f>IF(I49&gt;0,_xlfn.DAYS(AD49,I49)/30,0)</f>
        <v>4.166666666666667</v>
      </c>
      <c r="AF49" s="1">
        <v>2</v>
      </c>
      <c r="AG49" s="1">
        <f>(COUNTIF($E$4:$E49,$E49)=1)+0</f>
        <v>1</v>
      </c>
      <c r="AH49" s="75">
        <f t="shared" si="5"/>
        <v>30000</v>
      </c>
    </row>
    <row r="50" spans="3:34" x14ac:dyDescent="0.45">
      <c r="C50" s="11" t="str">
        <f t="shared" si="2"/>
        <v>14071747-13047271-1-1</v>
      </c>
      <c r="D50" s="11">
        <v>14071747</v>
      </c>
      <c r="E50" s="11">
        <v>13047271</v>
      </c>
      <c r="F50" s="12">
        <v>1</v>
      </c>
      <c r="G50" s="12">
        <v>1</v>
      </c>
      <c r="H50" s="13">
        <v>45651</v>
      </c>
      <c r="I50" s="13">
        <v>45656.599918981483</v>
      </c>
      <c r="J50" s="14" t="s">
        <v>124</v>
      </c>
      <c r="K50" s="14" t="s">
        <v>124</v>
      </c>
      <c r="L50" s="11" t="s">
        <v>32</v>
      </c>
      <c r="M50" s="11" t="s">
        <v>37</v>
      </c>
      <c r="N50" s="29" t="s">
        <v>93</v>
      </c>
      <c r="O50" s="15">
        <v>93600</v>
      </c>
      <c r="P50" s="15">
        <v>87360</v>
      </c>
      <c r="Q50" s="15">
        <v>87360</v>
      </c>
      <c r="R50" s="15">
        <v>93600</v>
      </c>
      <c r="S50" s="23" t="s">
        <v>76</v>
      </c>
      <c r="T50" s="15" t="s">
        <v>101</v>
      </c>
      <c r="U50" s="15" t="s">
        <v>101</v>
      </c>
      <c r="V50" s="11" t="s">
        <v>12</v>
      </c>
      <c r="W50" s="15">
        <v>0</v>
      </c>
      <c r="X50" s="15">
        <f t="shared" si="15"/>
        <v>6240</v>
      </c>
      <c r="Y50" s="15">
        <f t="shared" si="9"/>
        <v>87360</v>
      </c>
      <c r="Z50" s="15" cm="1">
        <f t="array" ref="Z50">-_xlfn.IFS(M50="Closed",0,M51="Canceled",0,E50&gt;0,W50,E50=0,0)</f>
        <v>0</v>
      </c>
      <c r="AA50" s="15" cm="1">
        <f t="array" ref="AA50">_xlfn.IFS(M50="Closed",0,M50="Canceled",0,M50="Closed for Receiving",0,TRUE,SUM(W50:X50))+Z50</f>
        <v>0</v>
      </c>
      <c r="AB50" s="15"/>
      <c r="AC50" s="15">
        <f t="shared" si="11"/>
        <v>87360</v>
      </c>
      <c r="AE50" s="32">
        <v>0</v>
      </c>
      <c r="AG50" s="1">
        <f>(COUNTIF($E$4:$E50,$E50)=1)+0</f>
        <v>1</v>
      </c>
      <c r="AH50" s="75">
        <f t="shared" si="5"/>
        <v>6240</v>
      </c>
    </row>
    <row r="51" spans="3:34" x14ac:dyDescent="0.45">
      <c r="C51" s="11" t="str">
        <f t="shared" si="2"/>
        <v>14071747-13047271-2-2</v>
      </c>
      <c r="D51" s="11">
        <v>14071747</v>
      </c>
      <c r="E51" s="11">
        <v>13047271</v>
      </c>
      <c r="F51" s="12">
        <v>2</v>
      </c>
      <c r="G51" s="12">
        <v>2</v>
      </c>
      <c r="H51" s="13">
        <v>45651</v>
      </c>
      <c r="I51" s="13">
        <v>45656.599918981483</v>
      </c>
      <c r="J51" s="14" t="s">
        <v>124</v>
      </c>
      <c r="K51" s="14" t="s">
        <v>124</v>
      </c>
      <c r="L51" s="11" t="s">
        <v>32</v>
      </c>
      <c r="M51" s="11" t="s">
        <v>37</v>
      </c>
      <c r="N51" s="29" t="s">
        <v>93</v>
      </c>
      <c r="O51" s="15">
        <v>25200</v>
      </c>
      <c r="P51" s="15">
        <v>25200</v>
      </c>
      <c r="Q51" s="15">
        <v>25200</v>
      </c>
      <c r="R51" s="15">
        <v>25200</v>
      </c>
      <c r="S51" s="23" t="s">
        <v>76</v>
      </c>
      <c r="T51" s="15" t="s">
        <v>101</v>
      </c>
      <c r="U51" s="15" t="s">
        <v>101</v>
      </c>
      <c r="V51" s="11" t="s">
        <v>12</v>
      </c>
      <c r="W51" s="15">
        <v>0</v>
      </c>
      <c r="X51" s="15">
        <f t="shared" si="15"/>
        <v>0</v>
      </c>
      <c r="Y51" s="15">
        <f t="shared" si="9"/>
        <v>25200</v>
      </c>
      <c r="Z51" s="15" cm="1">
        <f t="array" ref="Z51">-_xlfn.IFS(M51="Closed",0,M52="Canceled",0,E51&gt;0,W51,E51=0,0)</f>
        <v>0</v>
      </c>
      <c r="AA51" s="15" cm="1">
        <f t="array" ref="AA51">_xlfn.IFS(M51="Closed",0,M51="Canceled",0,M51="Closed for Receiving",0,TRUE,SUM(W51:X51))+Z51</f>
        <v>0</v>
      </c>
      <c r="AB51" s="15"/>
      <c r="AC51" s="15">
        <f t="shared" si="11"/>
        <v>25200</v>
      </c>
      <c r="AE51" s="32">
        <v>0</v>
      </c>
      <c r="AG51" s="1">
        <f>(COUNTIF($E$4:$E51,$E51)=1)+0</f>
        <v>0</v>
      </c>
      <c r="AH51" s="75">
        <f t="shared" si="5"/>
        <v>0</v>
      </c>
    </row>
    <row r="52" spans="3:34" x14ac:dyDescent="0.45">
      <c r="C52" s="11" t="str">
        <f t="shared" si="2"/>
        <v>14071747-13047271-3-3</v>
      </c>
      <c r="D52" s="11">
        <v>14071747</v>
      </c>
      <c r="E52" s="11">
        <v>13047271</v>
      </c>
      <c r="F52" s="12">
        <v>3</v>
      </c>
      <c r="G52" s="12">
        <v>3</v>
      </c>
      <c r="H52" s="13">
        <v>45651</v>
      </c>
      <c r="I52" s="13">
        <v>45656.599918981483</v>
      </c>
      <c r="J52" s="14" t="s">
        <v>124</v>
      </c>
      <c r="K52" s="14" t="s">
        <v>124</v>
      </c>
      <c r="L52" s="11" t="s">
        <v>32</v>
      </c>
      <c r="M52" s="11" t="s">
        <v>37</v>
      </c>
      <c r="N52" s="29" t="s">
        <v>93</v>
      </c>
      <c r="O52" s="15">
        <v>3750</v>
      </c>
      <c r="P52" s="15">
        <v>3750</v>
      </c>
      <c r="Q52" s="15">
        <v>3750</v>
      </c>
      <c r="R52" s="15">
        <v>3750</v>
      </c>
      <c r="S52" s="23" t="s">
        <v>76</v>
      </c>
      <c r="T52" s="15" t="s">
        <v>101</v>
      </c>
      <c r="U52" s="15" t="s">
        <v>101</v>
      </c>
      <c r="V52" s="11" t="s">
        <v>51</v>
      </c>
      <c r="W52" s="15">
        <v>0</v>
      </c>
      <c r="X52" s="15">
        <f t="shared" si="15"/>
        <v>0</v>
      </c>
      <c r="Y52" s="15">
        <f t="shared" si="9"/>
        <v>3750</v>
      </c>
      <c r="Z52" s="15" cm="1">
        <f t="array" ref="Z52">-_xlfn.IFS(M52="Closed",0,M53="Canceled",0,E52&gt;0,W52,E52=0,0)</f>
        <v>0</v>
      </c>
      <c r="AA52" s="15" cm="1">
        <f t="array" ref="AA52">_xlfn.IFS(M52="Closed",0,M52="Canceled",0,M52="Closed for Receiving",0,TRUE,SUM(W52:X52))+Z52</f>
        <v>0</v>
      </c>
      <c r="AB52" s="15"/>
      <c r="AC52" s="15">
        <f t="shared" si="11"/>
        <v>3750</v>
      </c>
      <c r="AE52" s="32">
        <v>0</v>
      </c>
      <c r="AG52" s="1">
        <f>(COUNTIF($E$4:$E52,$E52)=1)+0</f>
        <v>0</v>
      </c>
      <c r="AH52" s="75">
        <f t="shared" si="5"/>
        <v>0</v>
      </c>
    </row>
    <row r="53" spans="3:34" x14ac:dyDescent="0.45">
      <c r="C53" s="11" t="str">
        <f t="shared" si="2"/>
        <v>14071747-13047271-4-4</v>
      </c>
      <c r="D53" s="11">
        <v>14071747</v>
      </c>
      <c r="E53" s="11">
        <v>13047271</v>
      </c>
      <c r="F53" s="12">
        <v>4</v>
      </c>
      <c r="G53" s="12">
        <v>4</v>
      </c>
      <c r="H53" s="13">
        <v>45651</v>
      </c>
      <c r="I53" s="13">
        <v>45656.599918981483</v>
      </c>
      <c r="J53" s="14" t="s">
        <v>124</v>
      </c>
      <c r="K53" s="14" t="s">
        <v>124</v>
      </c>
      <c r="L53" s="11" t="s">
        <v>32</v>
      </c>
      <c r="M53" s="11" t="s">
        <v>37</v>
      </c>
      <c r="N53" s="29" t="s">
        <v>93</v>
      </c>
      <c r="O53" s="15">
        <v>1360</v>
      </c>
      <c r="P53" s="15">
        <v>1360</v>
      </c>
      <c r="Q53" s="15">
        <v>1360</v>
      </c>
      <c r="R53" s="15">
        <v>1360</v>
      </c>
      <c r="S53" s="23" t="s">
        <v>76</v>
      </c>
      <c r="T53" s="15" t="s">
        <v>101</v>
      </c>
      <c r="U53" s="15" t="s">
        <v>101</v>
      </c>
      <c r="V53" s="11" t="s">
        <v>12</v>
      </c>
      <c r="W53" s="15">
        <v>0</v>
      </c>
      <c r="X53" s="15">
        <f t="shared" si="15"/>
        <v>0</v>
      </c>
      <c r="Y53" s="15">
        <f t="shared" si="9"/>
        <v>1360</v>
      </c>
      <c r="Z53" s="15" cm="1">
        <f t="array" ref="Z53">-_xlfn.IFS(M53="Closed",0,M54="Canceled",0,E53&gt;0,W53,E53=0,0)</f>
        <v>0</v>
      </c>
      <c r="AA53" s="15" cm="1">
        <f t="array" ref="AA53">_xlfn.IFS(M53="Closed",0,M53="Canceled",0,M53="Closed for Receiving",0,TRUE,SUM(W53:X53))+Z53</f>
        <v>0</v>
      </c>
      <c r="AB53" s="15"/>
      <c r="AC53" s="15">
        <f t="shared" si="11"/>
        <v>1360</v>
      </c>
      <c r="AE53" s="32">
        <v>0</v>
      </c>
      <c r="AG53" s="1">
        <f>(COUNTIF($E$4:$E53,$E53)=1)+0</f>
        <v>0</v>
      </c>
      <c r="AH53" s="75">
        <f t="shared" si="5"/>
        <v>0</v>
      </c>
    </row>
    <row r="54" spans="3:34" x14ac:dyDescent="0.45">
      <c r="C54" s="11" t="str">
        <f t="shared" si="2"/>
        <v>14071747-13047271-5-5</v>
      </c>
      <c r="D54" s="11">
        <v>14071747</v>
      </c>
      <c r="E54" s="11">
        <v>13047271</v>
      </c>
      <c r="F54" s="12">
        <v>5</v>
      </c>
      <c r="G54" s="12">
        <v>5</v>
      </c>
      <c r="H54" s="13">
        <v>45651</v>
      </c>
      <c r="I54" s="13">
        <v>45656.599918981483</v>
      </c>
      <c r="J54" s="14" t="s">
        <v>124</v>
      </c>
      <c r="K54" s="14" t="s">
        <v>124</v>
      </c>
      <c r="L54" s="11" t="s">
        <v>32</v>
      </c>
      <c r="M54" s="11" t="s">
        <v>37</v>
      </c>
      <c r="N54" s="29" t="s">
        <v>93</v>
      </c>
      <c r="O54" s="15">
        <v>40560</v>
      </c>
      <c r="P54" s="15">
        <v>40560</v>
      </c>
      <c r="Q54" s="15">
        <v>40560</v>
      </c>
      <c r="R54" s="15">
        <v>40560</v>
      </c>
      <c r="S54" s="23" t="s">
        <v>76</v>
      </c>
      <c r="T54" s="15" t="s">
        <v>101</v>
      </c>
      <c r="U54" s="15" t="s">
        <v>101</v>
      </c>
      <c r="V54" s="11" t="s">
        <v>12</v>
      </c>
      <c r="W54" s="15">
        <v>0</v>
      </c>
      <c r="X54" s="15">
        <f t="shared" si="15"/>
        <v>0</v>
      </c>
      <c r="Y54" s="15">
        <f t="shared" si="9"/>
        <v>40560</v>
      </c>
      <c r="Z54" s="15" cm="1">
        <f t="array" ref="Z54">-_xlfn.IFS(M54="Closed",0,M55="Canceled",0,E54&gt;0,W54,E54=0,0)</f>
        <v>0</v>
      </c>
      <c r="AA54" s="15" cm="1">
        <f t="array" ref="AA54">_xlfn.IFS(M54="Closed",0,M54="Canceled",0,M54="Closed for Receiving",0,TRUE,SUM(W54:X54))+Z54</f>
        <v>0</v>
      </c>
      <c r="AB54" s="15"/>
      <c r="AC54" s="15">
        <f t="shared" ref="AC54" si="16">+Y54+AA54+AB54</f>
        <v>40560</v>
      </c>
      <c r="AE54" s="32">
        <v>0</v>
      </c>
      <c r="AG54" s="1">
        <f>(COUNTIF($E$4:$E54,$E54)=1)+0</f>
        <v>0</v>
      </c>
      <c r="AH54" s="75">
        <f t="shared" si="5"/>
        <v>0</v>
      </c>
    </row>
    <row r="55" spans="3:34" x14ac:dyDescent="0.45">
      <c r="C55" s="11" t="str">
        <f t="shared" si="2"/>
        <v>14071747-13047271-6-6</v>
      </c>
      <c r="D55" s="11">
        <v>14071747</v>
      </c>
      <c r="E55" s="11">
        <v>13047271</v>
      </c>
      <c r="F55" s="12">
        <v>6</v>
      </c>
      <c r="G55" s="12">
        <v>6</v>
      </c>
      <c r="H55" s="13">
        <v>45651</v>
      </c>
      <c r="I55" s="13">
        <v>45656.599918981483</v>
      </c>
      <c r="J55" s="14" t="s">
        <v>124</v>
      </c>
      <c r="K55" s="14" t="s">
        <v>124</v>
      </c>
      <c r="L55" s="11" t="s">
        <v>32</v>
      </c>
      <c r="M55" s="11" t="s">
        <v>37</v>
      </c>
      <c r="N55" s="29" t="s">
        <v>93</v>
      </c>
      <c r="O55" s="16">
        <v>575</v>
      </c>
      <c r="P55" s="16">
        <v>575</v>
      </c>
      <c r="Q55" s="16">
        <v>575</v>
      </c>
      <c r="R55" s="16">
        <v>575</v>
      </c>
      <c r="S55" s="23" t="s">
        <v>76</v>
      </c>
      <c r="T55" s="15" t="s">
        <v>101</v>
      </c>
      <c r="U55" s="15" t="s">
        <v>101</v>
      </c>
      <c r="V55" s="11" t="s">
        <v>12</v>
      </c>
      <c r="W55" s="15">
        <v>0</v>
      </c>
      <c r="X55" s="15">
        <f t="shared" si="15"/>
        <v>0</v>
      </c>
      <c r="Y55" s="15">
        <f t="shared" si="9"/>
        <v>575</v>
      </c>
      <c r="Z55" s="15" cm="1">
        <f t="array" ref="Z55">-_xlfn.IFS(M55="Closed",0,M56="Canceled",0,E55&gt;0,W55,E55=0,0)</f>
        <v>0</v>
      </c>
      <c r="AA55" s="15" cm="1">
        <f t="array" ref="AA55">_xlfn.IFS(M55="Closed",0,M55="Canceled",0,M55="Closed for Receiving",0,TRUE,SUM(W55:X55))+Z55</f>
        <v>0</v>
      </c>
      <c r="AB55" s="15"/>
      <c r="AC55" s="15">
        <f t="shared" si="11"/>
        <v>575</v>
      </c>
      <c r="AE55" s="32">
        <v>0</v>
      </c>
      <c r="AG55" s="1">
        <f>(COUNTIF($E$4:$E55,$E55)=1)+0</f>
        <v>0</v>
      </c>
      <c r="AH55" s="75">
        <f t="shared" si="5"/>
        <v>0</v>
      </c>
    </row>
    <row r="56" spans="3:34" x14ac:dyDescent="0.45">
      <c r="C56" s="11" t="str">
        <f t="shared" si="2"/>
        <v>14071749-13047889-1-1</v>
      </c>
      <c r="D56" s="11">
        <v>14071749</v>
      </c>
      <c r="E56" s="11">
        <v>13047889</v>
      </c>
      <c r="F56" s="12">
        <v>1</v>
      </c>
      <c r="G56" s="12">
        <v>1</v>
      </c>
      <c r="H56" s="13">
        <v>45651</v>
      </c>
      <c r="I56" s="13">
        <v>45655.452615740738</v>
      </c>
      <c r="J56" s="14" t="s">
        <v>125</v>
      </c>
      <c r="K56" s="14" t="s">
        <v>125</v>
      </c>
      <c r="L56" s="11" t="s">
        <v>32</v>
      </c>
      <c r="M56" s="11" t="s">
        <v>35</v>
      </c>
      <c r="N56" s="29" t="s">
        <v>93</v>
      </c>
      <c r="O56" s="16">
        <v>7000</v>
      </c>
      <c r="P56" s="16">
        <v>7000</v>
      </c>
      <c r="Q56" s="16">
        <v>0</v>
      </c>
      <c r="R56" s="16">
        <v>7000</v>
      </c>
      <c r="S56" s="23" t="s">
        <v>76</v>
      </c>
      <c r="T56" s="15" t="s">
        <v>101</v>
      </c>
      <c r="U56" s="15" t="s">
        <v>101</v>
      </c>
      <c r="V56" s="11" t="s">
        <v>51</v>
      </c>
      <c r="W56" s="15">
        <v>0</v>
      </c>
      <c r="X56" s="15">
        <f t="shared" si="15"/>
        <v>7000</v>
      </c>
      <c r="Y56" s="15">
        <f t="shared" si="9"/>
        <v>0</v>
      </c>
      <c r="Z56" s="15" cm="1">
        <f t="array" ref="Z56">-_xlfn.IFS(M56="Closed",0,M57="Canceled",0,E56&gt;0,W56,E56=0,0)</f>
        <v>0</v>
      </c>
      <c r="AA56" s="15" cm="1">
        <f t="array" ref="AA56">_xlfn.IFS(M56="Closed",0,M56="Canceled",0,M56="Closed for Receiving",0,TRUE,SUM(W56:X56))+Z56</f>
        <v>7000</v>
      </c>
      <c r="AB56" s="15"/>
      <c r="AC56" s="15">
        <f t="shared" si="11"/>
        <v>7000</v>
      </c>
      <c r="AD56" s="3">
        <v>45777</v>
      </c>
      <c r="AE56" s="32">
        <f t="shared" ref="AE56:AE60" si="17">IF(I56&gt;0,_xlfn.DAYS(AD56,I56)/30,0)</f>
        <v>4.0666666666666664</v>
      </c>
      <c r="AF56" s="1">
        <v>2</v>
      </c>
      <c r="AG56" s="1">
        <f>(COUNTIF($E$4:$E56,$E56)=1)+0</f>
        <v>1</v>
      </c>
      <c r="AH56" s="75">
        <f t="shared" si="5"/>
        <v>7000</v>
      </c>
    </row>
    <row r="57" spans="3:34" x14ac:dyDescent="0.45">
      <c r="C57" s="11" t="str">
        <f t="shared" si="2"/>
        <v>14071749-13047889-2-2</v>
      </c>
      <c r="D57" s="11">
        <v>14071749</v>
      </c>
      <c r="E57" s="11">
        <v>13047889</v>
      </c>
      <c r="F57" s="12">
        <v>2</v>
      </c>
      <c r="G57" s="12">
        <v>2</v>
      </c>
      <c r="H57" s="13">
        <v>45651</v>
      </c>
      <c r="I57" s="13">
        <v>45655.452615740738</v>
      </c>
      <c r="J57" s="14" t="s">
        <v>125</v>
      </c>
      <c r="K57" s="14" t="s">
        <v>125</v>
      </c>
      <c r="L57" s="11" t="s">
        <v>32</v>
      </c>
      <c r="M57" s="11" t="s">
        <v>35</v>
      </c>
      <c r="N57" s="29" t="s">
        <v>93</v>
      </c>
      <c r="O57" s="16">
        <v>32500</v>
      </c>
      <c r="P57" s="16">
        <v>32500</v>
      </c>
      <c r="Q57" s="16">
        <v>0</v>
      </c>
      <c r="R57" s="16">
        <v>32500</v>
      </c>
      <c r="S57" s="23" t="s">
        <v>76</v>
      </c>
      <c r="T57" s="15" t="s">
        <v>101</v>
      </c>
      <c r="U57" s="15" t="s">
        <v>101</v>
      </c>
      <c r="V57" s="11" t="s">
        <v>12</v>
      </c>
      <c r="W57" s="15">
        <v>0</v>
      </c>
      <c r="X57" s="15">
        <f t="shared" si="15"/>
        <v>32500</v>
      </c>
      <c r="Y57" s="15">
        <f t="shared" si="9"/>
        <v>0</v>
      </c>
      <c r="Z57" s="15" cm="1">
        <f t="array" ref="Z57">-_xlfn.IFS(M57="Closed",0,M59="Canceled",0,E57&gt;0,W57,E57=0,0)</f>
        <v>0</v>
      </c>
      <c r="AA57" s="15" cm="1">
        <f t="array" ref="AA57">_xlfn.IFS(M57="Closed",0,M57="Canceled",0,M57="Closed for Receiving",0,TRUE,SUM(W57:X57))+Z57</f>
        <v>32500</v>
      </c>
      <c r="AB57" s="15"/>
      <c r="AC57" s="15">
        <f t="shared" si="11"/>
        <v>32500</v>
      </c>
      <c r="AD57" s="3">
        <v>45777</v>
      </c>
      <c r="AE57" s="32">
        <f t="shared" si="17"/>
        <v>4.0666666666666664</v>
      </c>
      <c r="AF57" s="1">
        <v>2</v>
      </c>
      <c r="AG57" s="1">
        <f>(COUNTIF($E$4:$E57,$E57)=1)+0</f>
        <v>0</v>
      </c>
      <c r="AH57" s="75">
        <f t="shared" si="5"/>
        <v>32500</v>
      </c>
    </row>
    <row r="58" spans="3:34" x14ac:dyDescent="0.45">
      <c r="C58" s="11" t="str">
        <f t="shared" si="2"/>
        <v>14044370-13026867-2-3</v>
      </c>
      <c r="D58" s="11">
        <v>14044370</v>
      </c>
      <c r="E58" s="11">
        <v>13026867</v>
      </c>
      <c r="F58" s="12">
        <v>2</v>
      </c>
      <c r="G58" s="12">
        <v>3</v>
      </c>
      <c r="H58" s="13">
        <v>45125</v>
      </c>
      <c r="I58" s="13">
        <v>45131.311550925922</v>
      </c>
      <c r="J58" s="14" t="s">
        <v>13</v>
      </c>
      <c r="K58" s="14" t="s">
        <v>13</v>
      </c>
      <c r="L58" s="11" t="s">
        <v>149</v>
      </c>
      <c r="M58" s="11" t="s">
        <v>35</v>
      </c>
      <c r="N58" s="29" t="s">
        <v>150</v>
      </c>
      <c r="O58" s="16">
        <v>4200000</v>
      </c>
      <c r="P58" s="16">
        <v>4188967.5</v>
      </c>
      <c r="Q58" s="16">
        <v>4017634.1569415801</v>
      </c>
      <c r="R58" s="16">
        <v>453070.84301597998</v>
      </c>
      <c r="S58" s="23" t="s">
        <v>76</v>
      </c>
      <c r="T58" s="15" t="s">
        <v>101</v>
      </c>
      <c r="U58" s="15" t="s">
        <v>101</v>
      </c>
      <c r="V58" s="11" t="s">
        <v>11</v>
      </c>
      <c r="W58" s="15">
        <v>0</v>
      </c>
      <c r="X58" s="15">
        <f t="shared" si="15"/>
        <v>0</v>
      </c>
      <c r="Y58" s="15">
        <f>R58</f>
        <v>453070.84301597998</v>
      </c>
      <c r="Z58" s="15" cm="1">
        <f t="array" ref="Z58">-_xlfn.IFS(M58="Closed",0,M60="Canceled",0,E58&gt;0,W58,E58=0,0)</f>
        <v>0</v>
      </c>
      <c r="AA58" s="15" cm="1">
        <f t="array" ref="AA58">_xlfn.IFS(M58="Closed",0,M58="Canceled",0,M58="Closed for Receiving",0,TRUE,SUM(W58:X58))+Z58</f>
        <v>0</v>
      </c>
      <c r="AB58" s="15"/>
      <c r="AC58" s="15">
        <f t="shared" ref="AC58" si="18">+Y58+AA58+AB58</f>
        <v>453070.84301597998</v>
      </c>
      <c r="AD58" s="3">
        <v>45777</v>
      </c>
      <c r="AE58" s="32">
        <f t="shared" si="17"/>
        <v>21.533333333333335</v>
      </c>
      <c r="AF58" s="1">
        <v>5</v>
      </c>
      <c r="AG58" s="1">
        <f>(COUNTIF($E$4:$E58,$E58)=1)+0</f>
        <v>1</v>
      </c>
      <c r="AH58" s="75">
        <f t="shared" si="5"/>
        <v>-3564563.3139256001</v>
      </c>
    </row>
    <row r="59" spans="3:34" x14ac:dyDescent="0.45">
      <c r="C59" s="17" t="str">
        <f t="shared" si="2"/>
        <v>14069092-13048270-1-1</v>
      </c>
      <c r="D59" s="17">
        <v>14069092</v>
      </c>
      <c r="E59" s="17">
        <v>13048270</v>
      </c>
      <c r="F59" s="18">
        <v>1</v>
      </c>
      <c r="G59" s="18">
        <v>1</v>
      </c>
      <c r="H59" s="19">
        <v>45658</v>
      </c>
      <c r="I59" s="19">
        <v>45621.248425925929</v>
      </c>
      <c r="J59" s="20" t="s">
        <v>140</v>
      </c>
      <c r="K59" s="20" t="s">
        <v>140</v>
      </c>
      <c r="L59" s="17" t="s">
        <v>27</v>
      </c>
      <c r="M59" s="17" t="s">
        <v>35</v>
      </c>
      <c r="N59" s="89" t="s">
        <v>92</v>
      </c>
      <c r="O59" s="95">
        <v>375000</v>
      </c>
      <c r="P59" s="95">
        <v>94500</v>
      </c>
      <c r="Q59" s="95">
        <v>0</v>
      </c>
      <c r="R59" s="95"/>
      <c r="S59" s="96" t="s">
        <v>146</v>
      </c>
      <c r="T59" s="97" t="s">
        <v>101</v>
      </c>
      <c r="U59" s="97" t="s">
        <v>101</v>
      </c>
      <c r="V59" s="17" t="s">
        <v>11</v>
      </c>
      <c r="W59" s="97">
        <f t="shared" ref="W59:W99" si="19">IF(O59&gt;P59,O59-P59,0)</f>
        <v>280500</v>
      </c>
      <c r="X59" s="97">
        <f t="shared" ref="X59:X99" si="20">IF(P59&gt;Q59,P59-Q59,0)</f>
        <v>94500</v>
      </c>
      <c r="Y59" s="97">
        <f t="shared" ref="Y59:Y91" si="21">+Q59</f>
        <v>0</v>
      </c>
      <c r="Z59" s="97" cm="1">
        <f t="array" ref="Z59">-_xlfn.IFS(M59="Closed",0,M60="Canceled",0,E59&gt;0,W59,E59=0,0)</f>
        <v>-280500</v>
      </c>
      <c r="AA59" s="97" cm="1">
        <f t="array" ref="AA59">_xlfn.IFS(M59="Closed",0,M59="Canceled",0,M59="Closed for Receiving",0,TRUE,SUM(W59:X59))+Z59</f>
        <v>94500</v>
      </c>
      <c r="AB59" s="97"/>
      <c r="AC59" s="97">
        <f t="shared" si="11"/>
        <v>94500</v>
      </c>
      <c r="AD59" s="3">
        <v>45777</v>
      </c>
      <c r="AE59" s="32">
        <f t="shared" si="17"/>
        <v>5.2</v>
      </c>
      <c r="AF59" s="1">
        <v>2</v>
      </c>
      <c r="AG59" s="1">
        <f>(COUNTIF($E$4:$E59,$E59)=1)+0</f>
        <v>1</v>
      </c>
    </row>
    <row r="60" spans="3:34" x14ac:dyDescent="0.45">
      <c r="C60" s="17" t="str">
        <f t="shared" si="2"/>
        <v>14070284-13048025-1-1</v>
      </c>
      <c r="D60" s="17">
        <v>14070284</v>
      </c>
      <c r="E60" s="17">
        <v>13048025</v>
      </c>
      <c r="F60" s="18">
        <v>1</v>
      </c>
      <c r="G60" s="18">
        <v>1</v>
      </c>
      <c r="H60" s="19">
        <v>45658</v>
      </c>
      <c r="I60" s="19">
        <v>45630.453622685185</v>
      </c>
      <c r="J60" s="20" t="s">
        <v>141</v>
      </c>
      <c r="K60" s="20" t="s">
        <v>141</v>
      </c>
      <c r="L60" s="17" t="s">
        <v>47</v>
      </c>
      <c r="M60" s="17" t="s">
        <v>35</v>
      </c>
      <c r="N60" s="89" t="s">
        <v>94</v>
      </c>
      <c r="O60" s="21">
        <v>900000</v>
      </c>
      <c r="P60" s="21">
        <v>623700</v>
      </c>
      <c r="Q60" s="21">
        <v>337762</v>
      </c>
      <c r="R60" s="21"/>
      <c r="S60" s="25" t="s">
        <v>146</v>
      </c>
      <c r="T60" s="22" t="s">
        <v>50</v>
      </c>
      <c r="U60" s="22" t="s">
        <v>50</v>
      </c>
      <c r="V60" s="17" t="s">
        <v>11</v>
      </c>
      <c r="W60" s="22">
        <f t="shared" si="19"/>
        <v>276300</v>
      </c>
      <c r="X60" s="22">
        <f t="shared" si="20"/>
        <v>285938</v>
      </c>
      <c r="Y60" s="22">
        <f t="shared" si="21"/>
        <v>337762</v>
      </c>
      <c r="Z60" s="22" cm="1">
        <f t="array" ref="Z60">-_xlfn.IFS(M60="Closed",0,M61="Canceled",0,E60&gt;0,W60,E60=0,0)</f>
        <v>-276300</v>
      </c>
      <c r="AA60" s="22" cm="1">
        <f t="array" ref="AA60">_xlfn.IFS(M60="Closed",0,M60="Canceled",0,M60="Closed for Receiving",0,TRUE,SUM(W60:X60))+Z60</f>
        <v>285938</v>
      </c>
      <c r="AB60" s="22"/>
      <c r="AC60" s="22">
        <f t="shared" si="11"/>
        <v>623700</v>
      </c>
      <c r="AD60" s="3">
        <v>45777</v>
      </c>
      <c r="AE60" s="32">
        <f t="shared" si="17"/>
        <v>4.9000000000000004</v>
      </c>
      <c r="AF60" s="1">
        <v>2</v>
      </c>
      <c r="AG60" s="1">
        <f>(COUNTIF($E$4:$E60,$E60)=1)+0</f>
        <v>1</v>
      </c>
    </row>
    <row r="61" spans="3:34" x14ac:dyDescent="0.45">
      <c r="C61" s="17" t="str">
        <f t="shared" si="2"/>
        <v>14071414-13045675-2-2</v>
      </c>
      <c r="D61" s="17">
        <v>14071414</v>
      </c>
      <c r="E61" s="17">
        <v>13045675</v>
      </c>
      <c r="F61" s="18">
        <v>2</v>
      </c>
      <c r="G61" s="18">
        <v>2</v>
      </c>
      <c r="H61" s="19">
        <v>45658</v>
      </c>
      <c r="I61" s="19">
        <v>45645.697384259256</v>
      </c>
      <c r="J61" s="20" t="s">
        <v>142</v>
      </c>
      <c r="K61" s="20" t="s">
        <v>142</v>
      </c>
      <c r="L61" s="17" t="s">
        <v>144</v>
      </c>
      <c r="M61" s="17" t="s">
        <v>37</v>
      </c>
      <c r="N61" s="89" t="s">
        <v>145</v>
      </c>
      <c r="O61" s="21">
        <v>58125</v>
      </c>
      <c r="P61" s="21">
        <v>58125</v>
      </c>
      <c r="Q61" s="21">
        <v>58125</v>
      </c>
      <c r="R61" s="21"/>
      <c r="S61" s="25" t="s">
        <v>146</v>
      </c>
      <c r="T61" s="22" t="s">
        <v>134</v>
      </c>
      <c r="U61" s="22" t="s">
        <v>134</v>
      </c>
      <c r="V61" s="17" t="s">
        <v>11</v>
      </c>
      <c r="W61" s="22">
        <f t="shared" si="19"/>
        <v>0</v>
      </c>
      <c r="X61" s="22">
        <f t="shared" si="20"/>
        <v>0</v>
      </c>
      <c r="Y61" s="22">
        <f t="shared" si="21"/>
        <v>58125</v>
      </c>
      <c r="Z61" s="22" cm="1">
        <f t="array" ref="Z61">-_xlfn.IFS(M61="Closed",0,M62="Canceled",0,E61&gt;0,W61,E61=0,0)</f>
        <v>0</v>
      </c>
      <c r="AA61" s="22" cm="1">
        <f t="array" ref="AA61">_xlfn.IFS(M61="Closed",0,M61="Canceled",0,M61="Closed for Receiving",0,TRUE,SUM(W61:X61))+Z61</f>
        <v>0</v>
      </c>
      <c r="AB61" s="22"/>
      <c r="AC61" s="22">
        <f t="shared" ref="AC61" si="22">+Y61+AA61+AB61</f>
        <v>58125</v>
      </c>
      <c r="AE61" s="32">
        <v>0</v>
      </c>
      <c r="AG61" s="1">
        <f>(COUNTIF($E$4:$E61,$E61)=1)+0</f>
        <v>1</v>
      </c>
    </row>
    <row r="62" spans="3:34" x14ac:dyDescent="0.45">
      <c r="C62" s="17" t="str">
        <f t="shared" si="2"/>
        <v>14072826-13047998-1-1</v>
      </c>
      <c r="D62" s="17">
        <v>14072826</v>
      </c>
      <c r="E62" s="17">
        <v>13047998</v>
      </c>
      <c r="F62" s="18">
        <v>1</v>
      </c>
      <c r="G62" s="18">
        <v>1</v>
      </c>
      <c r="H62" s="19">
        <v>45673</v>
      </c>
      <c r="I62" s="19">
        <v>45676.514884259261</v>
      </c>
      <c r="J62" s="20" t="s">
        <v>143</v>
      </c>
      <c r="K62" s="20" t="s">
        <v>143</v>
      </c>
      <c r="L62" s="17" t="s">
        <v>32</v>
      </c>
      <c r="M62" s="17" t="s">
        <v>35</v>
      </c>
      <c r="N62" s="89" t="s">
        <v>93</v>
      </c>
      <c r="O62" s="21">
        <v>1995</v>
      </c>
      <c r="P62" s="21">
        <v>1995</v>
      </c>
      <c r="Q62" s="21">
        <v>0</v>
      </c>
      <c r="R62" s="21"/>
      <c r="S62" s="25" t="s">
        <v>146</v>
      </c>
      <c r="T62" s="22" t="s">
        <v>101</v>
      </c>
      <c r="U62" s="22" t="s">
        <v>101</v>
      </c>
      <c r="V62" s="17" t="s">
        <v>11</v>
      </c>
      <c r="W62" s="22">
        <f t="shared" si="19"/>
        <v>0</v>
      </c>
      <c r="X62" s="22">
        <f t="shared" si="20"/>
        <v>1995</v>
      </c>
      <c r="Y62" s="22">
        <f t="shared" si="21"/>
        <v>0</v>
      </c>
      <c r="Z62" s="22" cm="1">
        <f t="array" ref="Z62">-_xlfn.IFS(M62="Closed",0,M63="Canceled",0,E62&gt;0,W62,E62=0,0)</f>
        <v>0</v>
      </c>
      <c r="AA62" s="22" cm="1">
        <f t="array" ref="AA62">_xlfn.IFS(M62="Closed",0,M62="Canceled",0,M62="Closed for Receiving",0,TRUE,SUM(W62:X62))+Z62</f>
        <v>1995</v>
      </c>
      <c r="AB62" s="22"/>
      <c r="AC62" s="22">
        <f t="shared" ref="AC62:AC82" si="23">+Y62+AA62+AB62</f>
        <v>1995</v>
      </c>
      <c r="AD62" s="3">
        <v>45777</v>
      </c>
      <c r="AE62" s="32">
        <f t="shared" ref="AE62:AE99" si="24">IF(I62&gt;0,_xlfn.DAYS(AD62,I62)/30,0)</f>
        <v>3.3666666666666667</v>
      </c>
      <c r="AF62" s="1">
        <v>1</v>
      </c>
      <c r="AG62" s="1">
        <f>(COUNTIF($E$4:$E62,$E62)=1)+0</f>
        <v>1</v>
      </c>
    </row>
    <row r="63" spans="3:34" x14ac:dyDescent="0.45">
      <c r="C63" s="17" t="str">
        <f t="shared" si="2"/>
        <v>14073374-13048008-1-1</v>
      </c>
      <c r="D63" s="17">
        <v>14073374</v>
      </c>
      <c r="E63" s="17">
        <v>13048008</v>
      </c>
      <c r="F63" s="18">
        <v>1</v>
      </c>
      <c r="G63" s="18">
        <v>1</v>
      </c>
      <c r="H63" s="19">
        <v>45680</v>
      </c>
      <c r="I63" s="19">
        <v>45694.341481481482</v>
      </c>
      <c r="J63" s="20" t="s">
        <v>151</v>
      </c>
      <c r="K63" s="20" t="s">
        <v>151</v>
      </c>
      <c r="L63" s="17" t="s">
        <v>129</v>
      </c>
      <c r="M63" s="17" t="s">
        <v>35</v>
      </c>
      <c r="N63" s="89" t="s">
        <v>132</v>
      </c>
      <c r="O63" s="21">
        <v>50400</v>
      </c>
      <c r="P63" s="21">
        <v>50400</v>
      </c>
      <c r="Q63" s="21">
        <v>3361.68</v>
      </c>
      <c r="R63" s="21"/>
      <c r="S63" s="25" t="s">
        <v>146</v>
      </c>
      <c r="T63" s="22" t="s">
        <v>138</v>
      </c>
      <c r="U63" s="22" t="s">
        <v>147</v>
      </c>
      <c r="V63" s="17" t="s">
        <v>11</v>
      </c>
      <c r="W63" s="22">
        <f t="shared" si="19"/>
        <v>0</v>
      </c>
      <c r="X63" s="22">
        <f t="shared" si="20"/>
        <v>47038.32</v>
      </c>
      <c r="Y63" s="22">
        <f t="shared" si="21"/>
        <v>3361.68</v>
      </c>
      <c r="Z63" s="22" cm="1">
        <f t="array" ref="Z63">-_xlfn.IFS(M63="Closed",0,M64="Canceled",0,E63&gt;0,W63,E63=0,0)</f>
        <v>0</v>
      </c>
      <c r="AA63" s="22" cm="1">
        <f t="array" ref="AA63">_xlfn.IFS(M63="Closed",0,M63="Canceled",0,M63="Closed for Receiving",0,TRUE,SUM(W63:X63))+Z63</f>
        <v>47038.32</v>
      </c>
      <c r="AB63" s="22"/>
      <c r="AC63" s="22">
        <f t="shared" si="23"/>
        <v>50400</v>
      </c>
      <c r="AD63" s="3">
        <v>45777</v>
      </c>
      <c r="AE63" s="32">
        <f t="shared" si="24"/>
        <v>2.7666666666666666</v>
      </c>
      <c r="AF63" s="1">
        <v>1</v>
      </c>
      <c r="AG63" s="1">
        <f>(COUNTIF($E$4:$E63,$E63)=1)+0</f>
        <v>1</v>
      </c>
    </row>
    <row r="64" spans="3:34" x14ac:dyDescent="0.45">
      <c r="C64" s="17" t="str">
        <f t="shared" si="2"/>
        <v>14073486-0-11-0</v>
      </c>
      <c r="D64" s="17">
        <v>14073486</v>
      </c>
      <c r="E64" s="17">
        <v>0</v>
      </c>
      <c r="F64" s="18">
        <v>11</v>
      </c>
      <c r="G64" s="18">
        <v>0</v>
      </c>
      <c r="H64" s="19">
        <v>45691</v>
      </c>
      <c r="I64" s="19">
        <v>45699.467372685183</v>
      </c>
      <c r="J64" s="20" t="s">
        <v>152</v>
      </c>
      <c r="K64" s="20" t="s">
        <v>152</v>
      </c>
      <c r="L64" s="17" t="s">
        <v>131</v>
      </c>
      <c r="M64" s="17"/>
      <c r="N64" s="89" t="s">
        <v>133</v>
      </c>
      <c r="O64" s="21">
        <v>4872216</v>
      </c>
      <c r="P64" s="21">
        <v>0</v>
      </c>
      <c r="Q64" s="21">
        <v>0</v>
      </c>
      <c r="R64" s="21"/>
      <c r="S64" s="25" t="s">
        <v>146</v>
      </c>
      <c r="T64" s="22" t="s">
        <v>100</v>
      </c>
      <c r="U64" s="22" t="s">
        <v>161</v>
      </c>
      <c r="V64" s="17" t="s">
        <v>165</v>
      </c>
      <c r="W64" s="22">
        <f t="shared" si="19"/>
        <v>4872216</v>
      </c>
      <c r="X64" s="22">
        <f t="shared" si="20"/>
        <v>0</v>
      </c>
      <c r="Y64" s="22">
        <f t="shared" si="21"/>
        <v>0</v>
      </c>
      <c r="Z64" s="22" cm="1">
        <f t="array" ref="Z64">-_xlfn.IFS(M64="Closed",0,M65="Canceled",0,E64&gt;0,W64,E64=0,0)</f>
        <v>0</v>
      </c>
      <c r="AA64" s="22" cm="1">
        <f t="array" ref="AA64">_xlfn.IFS(M64="Closed",0,M64="Canceled",0,M64="Closed for Receiving",0,TRUE,SUM(W64:X64))+Z64</f>
        <v>4872216</v>
      </c>
      <c r="AB64" s="22"/>
      <c r="AC64" s="22">
        <f t="shared" si="23"/>
        <v>4872216</v>
      </c>
      <c r="AD64" s="3">
        <v>45777</v>
      </c>
      <c r="AE64" s="32">
        <f t="shared" si="24"/>
        <v>2.6</v>
      </c>
      <c r="AF64" s="1">
        <v>1</v>
      </c>
      <c r="AG64" s="1">
        <f>(COUNTIF($E$4:$E64,$E64)=1)+0</f>
        <v>1</v>
      </c>
    </row>
    <row r="65" spans="3:33" x14ac:dyDescent="0.45">
      <c r="C65" s="17" t="str">
        <f t="shared" si="2"/>
        <v>14073486-0-12-0</v>
      </c>
      <c r="D65" s="17">
        <v>14073486</v>
      </c>
      <c r="E65" s="17">
        <v>0</v>
      </c>
      <c r="F65" s="18">
        <v>12</v>
      </c>
      <c r="G65" s="18">
        <v>0</v>
      </c>
      <c r="H65" s="19">
        <v>45691</v>
      </c>
      <c r="I65" s="19">
        <v>45699.467372685183</v>
      </c>
      <c r="J65" s="20" t="s">
        <v>152</v>
      </c>
      <c r="K65" s="20" t="s">
        <v>152</v>
      </c>
      <c r="L65" s="17" t="s">
        <v>131</v>
      </c>
      <c r="M65" s="17"/>
      <c r="N65" s="89" t="s">
        <v>133</v>
      </c>
      <c r="O65" s="21">
        <v>810661</v>
      </c>
      <c r="P65" s="21">
        <v>0</v>
      </c>
      <c r="Q65" s="21">
        <v>0</v>
      </c>
      <c r="R65" s="21"/>
      <c r="S65" s="25" t="s">
        <v>146</v>
      </c>
      <c r="T65" s="22" t="s">
        <v>100</v>
      </c>
      <c r="U65" s="22" t="s">
        <v>161</v>
      </c>
      <c r="V65" s="17" t="s">
        <v>165</v>
      </c>
      <c r="W65" s="22">
        <f t="shared" si="19"/>
        <v>810661</v>
      </c>
      <c r="X65" s="22">
        <f t="shared" si="20"/>
        <v>0</v>
      </c>
      <c r="Y65" s="22">
        <f t="shared" si="21"/>
        <v>0</v>
      </c>
      <c r="Z65" s="22" cm="1">
        <f t="array" ref="Z65">-_xlfn.IFS(M65="Closed",0,M66="Canceled",0,E65&gt;0,W65,E65=0,0)</f>
        <v>0</v>
      </c>
      <c r="AA65" s="22" cm="1">
        <f t="array" ref="AA65">_xlfn.IFS(M65="Closed",0,M65="Canceled",0,M65="Closed for Receiving",0,TRUE,SUM(W65:X65))+Z65</f>
        <v>810661</v>
      </c>
      <c r="AB65" s="22"/>
      <c r="AC65" s="22">
        <f t="shared" si="23"/>
        <v>810661</v>
      </c>
      <c r="AD65" s="3">
        <v>45777</v>
      </c>
      <c r="AE65" s="32">
        <f t="shared" si="24"/>
        <v>2.6</v>
      </c>
      <c r="AF65" s="1">
        <v>1</v>
      </c>
      <c r="AG65" s="1">
        <f>(COUNTIF($E$4:$E65,$E65)=1)+0</f>
        <v>0</v>
      </c>
    </row>
    <row r="66" spans="3:33" x14ac:dyDescent="0.45">
      <c r="C66" s="17" t="str">
        <f t="shared" ref="C66:C82" si="25">D66&amp;"-"&amp;E66&amp;"-"&amp;F66&amp;"-"&amp;G66</f>
        <v>14073486-0-13-0</v>
      </c>
      <c r="D66" s="17">
        <v>14073486</v>
      </c>
      <c r="E66" s="17">
        <v>0</v>
      </c>
      <c r="F66" s="18">
        <v>13</v>
      </c>
      <c r="G66" s="18">
        <v>0</v>
      </c>
      <c r="H66" s="19">
        <v>45691</v>
      </c>
      <c r="I66" s="19">
        <v>45699.467372685183</v>
      </c>
      <c r="J66" s="20" t="s">
        <v>152</v>
      </c>
      <c r="K66" s="20" t="s">
        <v>152</v>
      </c>
      <c r="L66" s="17" t="s">
        <v>131</v>
      </c>
      <c r="M66" s="17"/>
      <c r="N66" s="89" t="s">
        <v>133</v>
      </c>
      <c r="O66" s="21">
        <v>1898346</v>
      </c>
      <c r="P66" s="21">
        <v>0</v>
      </c>
      <c r="Q66" s="21">
        <v>0</v>
      </c>
      <c r="R66" s="21"/>
      <c r="S66" s="25" t="s">
        <v>146</v>
      </c>
      <c r="T66" s="22" t="s">
        <v>100</v>
      </c>
      <c r="U66" s="22" t="s">
        <v>161</v>
      </c>
      <c r="V66" s="17" t="s">
        <v>11</v>
      </c>
      <c r="W66" s="22">
        <f t="shared" si="19"/>
        <v>1898346</v>
      </c>
      <c r="X66" s="22">
        <f t="shared" si="20"/>
        <v>0</v>
      </c>
      <c r="Y66" s="22">
        <f t="shared" si="21"/>
        <v>0</v>
      </c>
      <c r="Z66" s="22" cm="1">
        <f t="array" ref="Z66">-_xlfn.IFS(M66="Closed",0,M67="Canceled",0,E66&gt;0,W66,E66=0,0)</f>
        <v>0</v>
      </c>
      <c r="AA66" s="22" cm="1">
        <f t="array" ref="AA66">_xlfn.IFS(M66="Closed",0,M66="Canceled",0,M66="Closed for Receiving",0,TRUE,SUM(W66:X66))+Z66</f>
        <v>1898346</v>
      </c>
      <c r="AB66" s="22"/>
      <c r="AC66" s="22">
        <f t="shared" si="23"/>
        <v>1898346</v>
      </c>
      <c r="AD66" s="3">
        <v>45777</v>
      </c>
      <c r="AE66" s="32">
        <f t="shared" si="24"/>
        <v>2.6</v>
      </c>
      <c r="AF66" s="1">
        <v>1</v>
      </c>
      <c r="AG66" s="1">
        <f>(COUNTIF($E$4:$E66,$E66)=1)+0</f>
        <v>0</v>
      </c>
    </row>
    <row r="67" spans="3:33" x14ac:dyDescent="0.45">
      <c r="C67" s="17" t="str">
        <f t="shared" si="25"/>
        <v>14073486-0-14-0</v>
      </c>
      <c r="D67" s="17">
        <v>14073486</v>
      </c>
      <c r="E67" s="17">
        <v>0</v>
      </c>
      <c r="F67" s="18">
        <v>14</v>
      </c>
      <c r="G67" s="18">
        <v>0</v>
      </c>
      <c r="H67" s="19">
        <v>45691</v>
      </c>
      <c r="I67" s="19">
        <v>45699.467372685183</v>
      </c>
      <c r="J67" s="20" t="s">
        <v>152</v>
      </c>
      <c r="K67" s="20" t="s">
        <v>152</v>
      </c>
      <c r="L67" s="17" t="s">
        <v>131</v>
      </c>
      <c r="M67" s="17"/>
      <c r="N67" s="89" t="s">
        <v>133</v>
      </c>
      <c r="O67" s="21">
        <v>4200000</v>
      </c>
      <c r="P67" s="21">
        <v>0</v>
      </c>
      <c r="Q67" s="21">
        <v>0</v>
      </c>
      <c r="R67" s="21"/>
      <c r="S67" s="25" t="s">
        <v>146</v>
      </c>
      <c r="T67" s="22" t="s">
        <v>100</v>
      </c>
      <c r="U67" s="22" t="s">
        <v>161</v>
      </c>
      <c r="V67" s="17" t="s">
        <v>11</v>
      </c>
      <c r="W67" s="22">
        <f t="shared" si="19"/>
        <v>4200000</v>
      </c>
      <c r="X67" s="22">
        <f t="shared" si="20"/>
        <v>0</v>
      </c>
      <c r="Y67" s="22">
        <f t="shared" si="21"/>
        <v>0</v>
      </c>
      <c r="Z67" s="22" cm="1">
        <f t="array" ref="Z67">-_xlfn.IFS(M67="Closed",0,M68="Canceled",0,E67&gt;0,W67,E67=0,0)</f>
        <v>0</v>
      </c>
      <c r="AA67" s="22" cm="1">
        <f t="array" ref="AA67">_xlfn.IFS(M67="Closed",0,M67="Canceled",0,M67="Closed for Receiving",0,TRUE,SUM(W67:X67))+Z67</f>
        <v>4200000</v>
      </c>
      <c r="AB67" s="22"/>
      <c r="AC67" s="22">
        <f t="shared" si="23"/>
        <v>4200000</v>
      </c>
      <c r="AD67" s="3">
        <v>45777</v>
      </c>
      <c r="AE67" s="32">
        <f t="shared" si="24"/>
        <v>2.6</v>
      </c>
      <c r="AF67" s="1">
        <v>1</v>
      </c>
      <c r="AG67" s="1">
        <f>(COUNTIF($E$4:$E67,$E67)=1)+0</f>
        <v>0</v>
      </c>
    </row>
    <row r="68" spans="3:33" x14ac:dyDescent="0.45">
      <c r="C68" s="17" t="str">
        <f t="shared" si="25"/>
        <v>14073486-0-15-0</v>
      </c>
      <c r="D68" s="17">
        <v>14073486</v>
      </c>
      <c r="E68" s="17">
        <v>0</v>
      </c>
      <c r="F68" s="18">
        <v>15</v>
      </c>
      <c r="G68" s="18">
        <v>0</v>
      </c>
      <c r="H68" s="19">
        <v>45691</v>
      </c>
      <c r="I68" s="19">
        <v>45699.467372685183</v>
      </c>
      <c r="J68" s="20" t="s">
        <v>152</v>
      </c>
      <c r="K68" s="20" t="s">
        <v>152</v>
      </c>
      <c r="L68" s="17" t="s">
        <v>131</v>
      </c>
      <c r="M68" s="17"/>
      <c r="N68" s="89" t="s">
        <v>133</v>
      </c>
      <c r="O68" s="21">
        <v>400000</v>
      </c>
      <c r="P68" s="21">
        <v>0</v>
      </c>
      <c r="Q68" s="21">
        <v>0</v>
      </c>
      <c r="R68" s="21"/>
      <c r="S68" s="25" t="s">
        <v>146</v>
      </c>
      <c r="T68" s="22" t="s">
        <v>100</v>
      </c>
      <c r="U68" s="22" t="s">
        <v>161</v>
      </c>
      <c r="V68" s="17" t="s">
        <v>11</v>
      </c>
      <c r="W68" s="22">
        <f t="shared" si="19"/>
        <v>400000</v>
      </c>
      <c r="X68" s="22">
        <f t="shared" si="20"/>
        <v>0</v>
      </c>
      <c r="Y68" s="22">
        <f t="shared" si="21"/>
        <v>0</v>
      </c>
      <c r="Z68" s="22" cm="1">
        <f t="array" ref="Z68">-_xlfn.IFS(M68="Closed",0,M69="Canceled",0,E68&gt;0,W68,E68=0,0)</f>
        <v>0</v>
      </c>
      <c r="AA68" s="22" cm="1">
        <f t="array" ref="AA68">_xlfn.IFS(M68="Closed",0,M68="Canceled",0,M68="Closed for Receiving",0,TRUE,SUM(W68:X68))+Z68</f>
        <v>400000</v>
      </c>
      <c r="AB68" s="22"/>
      <c r="AC68" s="22">
        <f t="shared" si="23"/>
        <v>400000</v>
      </c>
      <c r="AD68" s="3">
        <v>45777</v>
      </c>
      <c r="AE68" s="32">
        <f t="shared" si="24"/>
        <v>2.6</v>
      </c>
      <c r="AF68" s="1">
        <v>1</v>
      </c>
      <c r="AG68" s="1">
        <f>(COUNTIF($E$4:$E68,$E68)=1)+0</f>
        <v>0</v>
      </c>
    </row>
    <row r="69" spans="3:33" x14ac:dyDescent="0.45">
      <c r="C69" s="17" t="str">
        <f t="shared" si="25"/>
        <v>14073486-0-16-0</v>
      </c>
      <c r="D69" s="17">
        <v>14073486</v>
      </c>
      <c r="E69" s="17">
        <v>0</v>
      </c>
      <c r="F69" s="18">
        <v>16</v>
      </c>
      <c r="G69" s="18">
        <v>0</v>
      </c>
      <c r="H69" s="19">
        <v>45691</v>
      </c>
      <c r="I69" s="19">
        <v>45699.467372685183</v>
      </c>
      <c r="J69" s="20" t="s">
        <v>152</v>
      </c>
      <c r="K69" s="20" t="s">
        <v>152</v>
      </c>
      <c r="L69" s="17" t="s">
        <v>131</v>
      </c>
      <c r="M69" s="17"/>
      <c r="N69" s="89" t="s">
        <v>133</v>
      </c>
      <c r="O69" s="21">
        <v>2000000</v>
      </c>
      <c r="P69" s="21">
        <v>0</v>
      </c>
      <c r="Q69" s="21">
        <v>0</v>
      </c>
      <c r="R69" s="21"/>
      <c r="S69" s="25" t="s">
        <v>146</v>
      </c>
      <c r="T69" s="22" t="s">
        <v>100</v>
      </c>
      <c r="U69" s="22" t="s">
        <v>161</v>
      </c>
      <c r="V69" s="17" t="s">
        <v>11</v>
      </c>
      <c r="W69" s="22">
        <f t="shared" si="19"/>
        <v>2000000</v>
      </c>
      <c r="X69" s="22">
        <f t="shared" si="20"/>
        <v>0</v>
      </c>
      <c r="Y69" s="22">
        <f t="shared" si="21"/>
        <v>0</v>
      </c>
      <c r="Z69" s="22" cm="1">
        <f t="array" ref="Z69">-_xlfn.IFS(M69="Closed",0,M70="Canceled",0,E69&gt;0,W69,E69=0,0)</f>
        <v>0</v>
      </c>
      <c r="AA69" s="22" cm="1">
        <f t="array" ref="AA69">_xlfn.IFS(M69="Closed",0,M69="Canceled",0,M69="Closed for Receiving",0,TRUE,SUM(W69:X69))+Z69</f>
        <v>2000000</v>
      </c>
      <c r="AB69" s="22"/>
      <c r="AC69" s="22">
        <f t="shared" si="23"/>
        <v>2000000</v>
      </c>
      <c r="AD69" s="3">
        <v>45777</v>
      </c>
      <c r="AE69" s="32">
        <f t="shared" si="24"/>
        <v>2.6</v>
      </c>
      <c r="AF69" s="1">
        <v>1</v>
      </c>
      <c r="AG69" s="1">
        <f>(COUNTIF($E$4:$E69,$E69)=1)+0</f>
        <v>0</v>
      </c>
    </row>
    <row r="70" spans="3:33" x14ac:dyDescent="0.45">
      <c r="C70" s="17" t="str">
        <f t="shared" si="25"/>
        <v>14073486-0-17-0</v>
      </c>
      <c r="D70" s="17">
        <v>14073486</v>
      </c>
      <c r="E70" s="17">
        <v>0</v>
      </c>
      <c r="F70" s="18">
        <v>17</v>
      </c>
      <c r="G70" s="18">
        <v>0</v>
      </c>
      <c r="H70" s="19">
        <v>45691</v>
      </c>
      <c r="I70" s="19">
        <v>45699.467372685183</v>
      </c>
      <c r="J70" s="20" t="s">
        <v>152</v>
      </c>
      <c r="K70" s="20" t="s">
        <v>152</v>
      </c>
      <c r="L70" s="17" t="s">
        <v>153</v>
      </c>
      <c r="M70" s="17"/>
      <c r="N70" s="89" t="s">
        <v>133</v>
      </c>
      <c r="O70" s="21">
        <v>15866905</v>
      </c>
      <c r="P70" s="21">
        <v>0</v>
      </c>
      <c r="Q70" s="21">
        <v>0</v>
      </c>
      <c r="R70" s="21"/>
      <c r="S70" s="25" t="s">
        <v>146</v>
      </c>
      <c r="T70" s="22" t="s">
        <v>100</v>
      </c>
      <c r="U70" s="22" t="s">
        <v>161</v>
      </c>
      <c r="V70" s="17" t="s">
        <v>12</v>
      </c>
      <c r="W70" s="22">
        <f t="shared" si="19"/>
        <v>15866905</v>
      </c>
      <c r="X70" s="22">
        <f t="shared" si="20"/>
        <v>0</v>
      </c>
      <c r="Y70" s="22">
        <f t="shared" si="21"/>
        <v>0</v>
      </c>
      <c r="Z70" s="22" cm="1">
        <f t="array" ref="Z70">-_xlfn.IFS(M70="Closed",0,M71="Canceled",0,E70&gt;0,W70,E70=0,0)</f>
        <v>0</v>
      </c>
      <c r="AA70" s="22" cm="1">
        <f t="array" ref="AA70">_xlfn.IFS(M70="Closed",0,M70="Canceled",0,M70="Closed for Receiving",0,TRUE,SUM(W70:X70))+Z70</f>
        <v>15866905</v>
      </c>
      <c r="AB70" s="22"/>
      <c r="AC70" s="22">
        <f t="shared" si="23"/>
        <v>15866905</v>
      </c>
      <c r="AD70" s="3">
        <v>45777</v>
      </c>
      <c r="AE70" s="32">
        <f t="shared" si="24"/>
        <v>2.6</v>
      </c>
      <c r="AF70" s="1">
        <v>1</v>
      </c>
      <c r="AG70" s="1">
        <f>(COUNTIF($E$4:$E70,$E70)=1)+0</f>
        <v>0</v>
      </c>
    </row>
    <row r="71" spans="3:33" x14ac:dyDescent="0.45">
      <c r="C71" s="17" t="str">
        <f t="shared" si="25"/>
        <v>14073486-0-18-0</v>
      </c>
      <c r="D71" s="17">
        <v>14073486</v>
      </c>
      <c r="E71" s="17">
        <v>0</v>
      </c>
      <c r="F71" s="18">
        <v>18</v>
      </c>
      <c r="G71" s="18">
        <v>0</v>
      </c>
      <c r="H71" s="19">
        <v>45691</v>
      </c>
      <c r="I71" s="19">
        <v>45699.467372685183</v>
      </c>
      <c r="J71" s="20" t="s">
        <v>152</v>
      </c>
      <c r="K71" s="20" t="s">
        <v>152</v>
      </c>
      <c r="L71" s="17" t="s">
        <v>153</v>
      </c>
      <c r="M71" s="17"/>
      <c r="N71" s="89" t="s">
        <v>133</v>
      </c>
      <c r="O71" s="21">
        <v>11952000</v>
      </c>
      <c r="P71" s="21">
        <v>0</v>
      </c>
      <c r="Q71" s="21">
        <v>0</v>
      </c>
      <c r="R71" s="21"/>
      <c r="S71" s="25" t="s">
        <v>146</v>
      </c>
      <c r="T71" s="22" t="s">
        <v>100</v>
      </c>
      <c r="U71" s="22" t="s">
        <v>161</v>
      </c>
      <c r="V71" s="17" t="s">
        <v>11</v>
      </c>
      <c r="W71" s="22">
        <f t="shared" si="19"/>
        <v>11952000</v>
      </c>
      <c r="X71" s="22">
        <f t="shared" si="20"/>
        <v>0</v>
      </c>
      <c r="Y71" s="22">
        <f t="shared" si="21"/>
        <v>0</v>
      </c>
      <c r="Z71" s="22" cm="1">
        <f t="array" ref="Z71">-_xlfn.IFS(M71="Closed",0,M72="Canceled",0,E71&gt;0,W71,E71=0,0)</f>
        <v>0</v>
      </c>
      <c r="AA71" s="22" cm="1">
        <f t="array" ref="AA71">_xlfn.IFS(M71="Closed",0,M71="Canceled",0,M71="Closed for Receiving",0,TRUE,SUM(W71:X71))+Z71</f>
        <v>11952000</v>
      </c>
      <c r="AB71" s="22"/>
      <c r="AC71" s="22">
        <f t="shared" si="23"/>
        <v>11952000</v>
      </c>
      <c r="AD71" s="3">
        <v>45777</v>
      </c>
      <c r="AE71" s="32">
        <f t="shared" si="24"/>
        <v>2.6</v>
      </c>
      <c r="AF71" s="1">
        <v>1</v>
      </c>
      <c r="AG71" s="1">
        <f>(COUNTIF($E$4:$E71,$E71)=1)+0</f>
        <v>0</v>
      </c>
    </row>
    <row r="72" spans="3:33" x14ac:dyDescent="0.45">
      <c r="C72" s="17" t="str">
        <f t="shared" si="25"/>
        <v>14073486-0-19-0</v>
      </c>
      <c r="D72" s="17">
        <v>14073486</v>
      </c>
      <c r="E72" s="17">
        <v>0</v>
      </c>
      <c r="F72" s="18">
        <v>19</v>
      </c>
      <c r="G72" s="18">
        <v>0</v>
      </c>
      <c r="H72" s="19">
        <v>45691</v>
      </c>
      <c r="I72" s="19">
        <v>45699.467372685183</v>
      </c>
      <c r="J72" s="20" t="s">
        <v>152</v>
      </c>
      <c r="K72" s="20" t="s">
        <v>152</v>
      </c>
      <c r="L72" s="17" t="s">
        <v>153</v>
      </c>
      <c r="M72" s="17"/>
      <c r="N72" s="89" t="s">
        <v>133</v>
      </c>
      <c r="O72" s="21">
        <v>427509</v>
      </c>
      <c r="P72" s="21">
        <v>0</v>
      </c>
      <c r="Q72" s="21">
        <v>0</v>
      </c>
      <c r="R72" s="21"/>
      <c r="S72" s="25" t="s">
        <v>146</v>
      </c>
      <c r="T72" s="22" t="s">
        <v>100</v>
      </c>
      <c r="U72" s="22" t="s">
        <v>161</v>
      </c>
      <c r="V72" s="17" t="s">
        <v>11</v>
      </c>
      <c r="W72" s="22">
        <f t="shared" si="19"/>
        <v>427509</v>
      </c>
      <c r="X72" s="22">
        <f t="shared" si="20"/>
        <v>0</v>
      </c>
      <c r="Y72" s="22">
        <f t="shared" si="21"/>
        <v>0</v>
      </c>
      <c r="Z72" s="22" cm="1">
        <f t="array" ref="Z72">-_xlfn.IFS(M72="Closed",0,M73="Canceled",0,E72&gt;0,W72,E72=0,0)</f>
        <v>0</v>
      </c>
      <c r="AA72" s="22" cm="1">
        <f t="array" ref="AA72">_xlfn.IFS(M72="Closed",0,M72="Canceled",0,M72="Closed for Receiving",0,TRUE,SUM(W72:X72))+Z72</f>
        <v>427509</v>
      </c>
      <c r="AB72" s="22"/>
      <c r="AC72" s="22">
        <f t="shared" si="23"/>
        <v>427509</v>
      </c>
      <c r="AD72" s="3">
        <v>45777</v>
      </c>
      <c r="AE72" s="32">
        <f t="shared" si="24"/>
        <v>2.6</v>
      </c>
      <c r="AF72" s="1">
        <v>1</v>
      </c>
      <c r="AG72" s="1">
        <f>(COUNTIF($E$4:$E72,$E72)=1)+0</f>
        <v>0</v>
      </c>
    </row>
    <row r="73" spans="3:33" x14ac:dyDescent="0.45">
      <c r="C73" s="17" t="str">
        <f t="shared" si="25"/>
        <v>14073486-0-20-0</v>
      </c>
      <c r="D73" s="17">
        <v>14073486</v>
      </c>
      <c r="E73" s="17">
        <v>0</v>
      </c>
      <c r="F73" s="18">
        <v>20</v>
      </c>
      <c r="G73" s="18">
        <v>0</v>
      </c>
      <c r="H73" s="19">
        <v>45691</v>
      </c>
      <c r="I73" s="19">
        <v>45699.467372685183</v>
      </c>
      <c r="J73" s="20" t="s">
        <v>152</v>
      </c>
      <c r="K73" s="20" t="s">
        <v>152</v>
      </c>
      <c r="L73" s="17" t="s">
        <v>153</v>
      </c>
      <c r="M73" s="17"/>
      <c r="N73" s="89" t="s">
        <v>133</v>
      </c>
      <c r="O73" s="21">
        <v>2575364</v>
      </c>
      <c r="P73" s="21">
        <v>0</v>
      </c>
      <c r="Q73" s="21">
        <v>0</v>
      </c>
      <c r="R73" s="21"/>
      <c r="S73" s="25" t="s">
        <v>146</v>
      </c>
      <c r="T73" s="22" t="s">
        <v>100</v>
      </c>
      <c r="U73" s="22" t="s">
        <v>161</v>
      </c>
      <c r="V73" s="17" t="s">
        <v>11</v>
      </c>
      <c r="W73" s="22">
        <f t="shared" si="19"/>
        <v>2575364</v>
      </c>
      <c r="X73" s="22">
        <f t="shared" si="20"/>
        <v>0</v>
      </c>
      <c r="Y73" s="22">
        <f t="shared" si="21"/>
        <v>0</v>
      </c>
      <c r="Z73" s="22" cm="1">
        <f t="array" ref="Z73">-_xlfn.IFS(M73="Closed",0,M74="Canceled",0,E73&gt;0,W73,E73=0,0)</f>
        <v>0</v>
      </c>
      <c r="AA73" s="22" cm="1">
        <f t="array" ref="AA73">_xlfn.IFS(M73="Closed",0,M73="Canceled",0,M73="Closed for Receiving",0,TRUE,SUM(W73:X73))+Z73</f>
        <v>2575364</v>
      </c>
      <c r="AB73" s="22"/>
      <c r="AC73" s="22">
        <f t="shared" si="23"/>
        <v>2575364</v>
      </c>
      <c r="AD73" s="3">
        <v>45777</v>
      </c>
      <c r="AE73" s="32">
        <f t="shared" si="24"/>
        <v>2.6</v>
      </c>
      <c r="AF73" s="1">
        <v>1</v>
      </c>
      <c r="AG73" s="1">
        <f>(COUNTIF($E$4:$E73,$E73)=1)+0</f>
        <v>0</v>
      </c>
    </row>
    <row r="74" spans="3:33" x14ac:dyDescent="0.45">
      <c r="C74" s="17" t="str">
        <f t="shared" si="25"/>
        <v>14073847-13048267-1-1</v>
      </c>
      <c r="D74" s="17">
        <v>14073847</v>
      </c>
      <c r="E74" s="17">
        <v>13048267</v>
      </c>
      <c r="F74" s="18">
        <v>1</v>
      </c>
      <c r="G74" s="18">
        <v>1</v>
      </c>
      <c r="H74" s="19">
        <v>45691</v>
      </c>
      <c r="I74" s="19">
        <v>45713.58798611111</v>
      </c>
      <c r="J74" s="20" t="s">
        <v>154</v>
      </c>
      <c r="K74" s="20" t="s">
        <v>154</v>
      </c>
      <c r="L74" s="17" t="s">
        <v>155</v>
      </c>
      <c r="M74" s="17" t="s">
        <v>35</v>
      </c>
      <c r="N74" s="89" t="s">
        <v>156</v>
      </c>
      <c r="O74" s="21">
        <v>81099</v>
      </c>
      <c r="P74" s="21">
        <v>81099</v>
      </c>
      <c r="Q74" s="21">
        <v>0</v>
      </c>
      <c r="R74" s="21"/>
      <c r="S74" s="25" t="s">
        <v>146</v>
      </c>
      <c r="T74" s="22" t="s">
        <v>101</v>
      </c>
      <c r="U74" s="22" t="s">
        <v>164</v>
      </c>
      <c r="V74" s="17" t="s">
        <v>11</v>
      </c>
      <c r="W74" s="22">
        <f t="shared" si="19"/>
        <v>0</v>
      </c>
      <c r="X74" s="22">
        <f t="shared" si="20"/>
        <v>81099</v>
      </c>
      <c r="Y74" s="22">
        <f t="shared" si="21"/>
        <v>0</v>
      </c>
      <c r="Z74" s="22" cm="1">
        <f t="array" ref="Z74">-_xlfn.IFS(M74="Closed",0,M75="Canceled",0,E74&gt;0,W74,E74=0,0)</f>
        <v>0</v>
      </c>
      <c r="AA74" s="22" cm="1">
        <f t="array" ref="AA74">_xlfn.IFS(M74="Closed",0,M74="Canceled",0,M74="Closed for Receiving",0,TRUE,SUM(W74:X74))+Z74</f>
        <v>81099</v>
      </c>
      <c r="AB74" s="22"/>
      <c r="AC74" s="22">
        <f t="shared" si="23"/>
        <v>81099</v>
      </c>
      <c r="AD74" s="3">
        <v>45777</v>
      </c>
      <c r="AE74" s="32">
        <f t="shared" si="24"/>
        <v>2.1333333333333333</v>
      </c>
      <c r="AF74" s="1">
        <v>1</v>
      </c>
      <c r="AG74" s="1">
        <f>(COUNTIF($E$4:$E74,$E74)=1)+0</f>
        <v>1</v>
      </c>
    </row>
    <row r="75" spans="3:33" x14ac:dyDescent="0.45">
      <c r="C75" s="17" t="str">
        <f t="shared" si="25"/>
        <v>14073847-13048267-2-2</v>
      </c>
      <c r="D75" s="17">
        <v>14073847</v>
      </c>
      <c r="E75" s="17">
        <v>13048267</v>
      </c>
      <c r="F75" s="18">
        <v>2</v>
      </c>
      <c r="G75" s="18">
        <v>2</v>
      </c>
      <c r="H75" s="19">
        <v>45691</v>
      </c>
      <c r="I75" s="19">
        <v>45713.58798611111</v>
      </c>
      <c r="J75" s="20" t="s">
        <v>154</v>
      </c>
      <c r="K75" s="20" t="s">
        <v>154</v>
      </c>
      <c r="L75" s="17" t="s">
        <v>155</v>
      </c>
      <c r="M75" s="17" t="s">
        <v>35</v>
      </c>
      <c r="N75" s="89" t="s">
        <v>156</v>
      </c>
      <c r="O75" s="21">
        <v>283848</v>
      </c>
      <c r="P75" s="21">
        <v>283848</v>
      </c>
      <c r="Q75" s="21">
        <v>0</v>
      </c>
      <c r="R75" s="21"/>
      <c r="S75" s="25" t="s">
        <v>146</v>
      </c>
      <c r="T75" s="22" t="s">
        <v>101</v>
      </c>
      <c r="U75" s="22" t="s">
        <v>164</v>
      </c>
      <c r="V75" s="17" t="s">
        <v>11</v>
      </c>
      <c r="W75" s="22">
        <f t="shared" si="19"/>
        <v>0</v>
      </c>
      <c r="X75" s="22">
        <f t="shared" si="20"/>
        <v>283848</v>
      </c>
      <c r="Y75" s="22">
        <f t="shared" si="21"/>
        <v>0</v>
      </c>
      <c r="Z75" s="22" cm="1">
        <f t="array" ref="Z75">-_xlfn.IFS(M75="Closed",0,M76="Canceled",0,E75&gt;0,W75,E75=0,0)</f>
        <v>0</v>
      </c>
      <c r="AA75" s="22" cm="1">
        <f t="array" ref="AA75">_xlfn.IFS(M75="Closed",0,M75="Canceled",0,M75="Closed for Receiving",0,TRUE,SUM(W75:X75))+Z75</f>
        <v>283848</v>
      </c>
      <c r="AB75" s="22"/>
      <c r="AC75" s="22">
        <f t="shared" si="23"/>
        <v>283848</v>
      </c>
      <c r="AD75" s="3">
        <v>45777</v>
      </c>
      <c r="AE75" s="32">
        <f t="shared" si="24"/>
        <v>2.1333333333333333</v>
      </c>
      <c r="AF75" s="1">
        <v>1</v>
      </c>
      <c r="AG75" s="1">
        <f>(COUNTIF($E$4:$E75,$E75)=1)+0</f>
        <v>0</v>
      </c>
    </row>
    <row r="76" spans="3:33" x14ac:dyDescent="0.45">
      <c r="C76" s="17" t="str">
        <f t="shared" si="25"/>
        <v>14073847-13048267-3-3</v>
      </c>
      <c r="D76" s="17">
        <v>14073847</v>
      </c>
      <c r="E76" s="17">
        <v>13048267</v>
      </c>
      <c r="F76" s="18">
        <v>3</v>
      </c>
      <c r="G76" s="18">
        <v>3</v>
      </c>
      <c r="H76" s="19">
        <v>45691</v>
      </c>
      <c r="I76" s="19">
        <v>45713.58798611111</v>
      </c>
      <c r="J76" s="20" t="s">
        <v>154</v>
      </c>
      <c r="K76" s="20" t="s">
        <v>154</v>
      </c>
      <c r="L76" s="17" t="s">
        <v>155</v>
      </c>
      <c r="M76" s="17" t="s">
        <v>35</v>
      </c>
      <c r="N76" s="89" t="s">
        <v>156</v>
      </c>
      <c r="O76" s="21">
        <v>202749</v>
      </c>
      <c r="P76" s="21">
        <v>202749</v>
      </c>
      <c r="Q76" s="21">
        <v>0</v>
      </c>
      <c r="R76" s="21"/>
      <c r="S76" s="25" t="s">
        <v>146</v>
      </c>
      <c r="T76" s="22" t="s">
        <v>101</v>
      </c>
      <c r="U76" s="22" t="s">
        <v>164</v>
      </c>
      <c r="V76" s="17" t="s">
        <v>11</v>
      </c>
      <c r="W76" s="22">
        <f t="shared" si="19"/>
        <v>0</v>
      </c>
      <c r="X76" s="22">
        <f t="shared" si="20"/>
        <v>202749</v>
      </c>
      <c r="Y76" s="22">
        <f t="shared" si="21"/>
        <v>0</v>
      </c>
      <c r="Z76" s="22" cm="1">
        <f t="array" ref="Z76">-_xlfn.IFS(M76="Closed",0,M77="Canceled",0,E76&gt;0,W76,E76=0,0)</f>
        <v>0</v>
      </c>
      <c r="AA76" s="22" cm="1">
        <f t="array" ref="AA76">_xlfn.IFS(M76="Closed",0,M76="Canceled",0,M76="Closed for Receiving",0,TRUE,SUM(W76:X76))+Z76</f>
        <v>202749</v>
      </c>
      <c r="AB76" s="22"/>
      <c r="AC76" s="22">
        <f t="shared" si="23"/>
        <v>202749</v>
      </c>
      <c r="AD76" s="3">
        <v>45777</v>
      </c>
      <c r="AE76" s="32">
        <f t="shared" si="24"/>
        <v>2.1333333333333333</v>
      </c>
      <c r="AF76" s="1">
        <v>1</v>
      </c>
      <c r="AG76" s="1">
        <f>(COUNTIF($E$4:$E76,$E76)=1)+0</f>
        <v>0</v>
      </c>
    </row>
    <row r="77" spans="3:33" x14ac:dyDescent="0.45">
      <c r="C77" s="17" t="str">
        <f t="shared" si="25"/>
        <v>14073847-13048267-4-4</v>
      </c>
      <c r="D77" s="17">
        <v>14073847</v>
      </c>
      <c r="E77" s="17">
        <v>13048267</v>
      </c>
      <c r="F77" s="18">
        <v>4</v>
      </c>
      <c r="G77" s="18">
        <v>4</v>
      </c>
      <c r="H77" s="19">
        <v>45691</v>
      </c>
      <c r="I77" s="19">
        <v>45713.58798611111</v>
      </c>
      <c r="J77" s="20" t="s">
        <v>154</v>
      </c>
      <c r="K77" s="20" t="s">
        <v>154</v>
      </c>
      <c r="L77" s="17" t="s">
        <v>155</v>
      </c>
      <c r="M77" s="17" t="s">
        <v>35</v>
      </c>
      <c r="N77" s="89" t="s">
        <v>156</v>
      </c>
      <c r="O77" s="21">
        <v>202749</v>
      </c>
      <c r="P77" s="21">
        <v>202749</v>
      </c>
      <c r="Q77" s="21">
        <v>0</v>
      </c>
      <c r="R77" s="21"/>
      <c r="S77" s="25" t="s">
        <v>146</v>
      </c>
      <c r="T77" s="22" t="s">
        <v>101</v>
      </c>
      <c r="U77" s="22" t="s">
        <v>164</v>
      </c>
      <c r="V77" s="17" t="s">
        <v>11</v>
      </c>
      <c r="W77" s="22">
        <f t="shared" si="19"/>
        <v>0</v>
      </c>
      <c r="X77" s="22">
        <f t="shared" si="20"/>
        <v>202749</v>
      </c>
      <c r="Y77" s="22">
        <f t="shared" si="21"/>
        <v>0</v>
      </c>
      <c r="Z77" s="22" cm="1">
        <f t="array" ref="Z77">-_xlfn.IFS(M77="Closed",0,M78="Canceled",0,E77&gt;0,W77,E77=0,0)</f>
        <v>0</v>
      </c>
      <c r="AA77" s="22" cm="1">
        <f t="array" ref="AA77">_xlfn.IFS(M77="Closed",0,M77="Canceled",0,M77="Closed for Receiving",0,TRUE,SUM(W77:X77))+Z77</f>
        <v>202749</v>
      </c>
      <c r="AB77" s="22"/>
      <c r="AC77" s="22">
        <f t="shared" si="23"/>
        <v>202749</v>
      </c>
      <c r="AD77" s="3">
        <v>45777</v>
      </c>
      <c r="AE77" s="32">
        <f t="shared" si="24"/>
        <v>2.1333333333333333</v>
      </c>
      <c r="AF77" s="1">
        <v>1</v>
      </c>
      <c r="AG77" s="1">
        <f>(COUNTIF($E$4:$E77,$E77)=1)+0</f>
        <v>0</v>
      </c>
    </row>
    <row r="78" spans="3:33" x14ac:dyDescent="0.45">
      <c r="C78" s="17" t="str">
        <f t="shared" si="25"/>
        <v>14073847-13048267-5-5</v>
      </c>
      <c r="D78" s="17">
        <v>14073847</v>
      </c>
      <c r="E78" s="17">
        <v>13048267</v>
      </c>
      <c r="F78" s="18">
        <v>5</v>
      </c>
      <c r="G78" s="18">
        <v>5</v>
      </c>
      <c r="H78" s="19">
        <v>45691</v>
      </c>
      <c r="I78" s="19">
        <v>45713.58798611111</v>
      </c>
      <c r="J78" s="20" t="s">
        <v>154</v>
      </c>
      <c r="K78" s="20" t="s">
        <v>154</v>
      </c>
      <c r="L78" s="17" t="s">
        <v>155</v>
      </c>
      <c r="M78" s="17" t="s">
        <v>35</v>
      </c>
      <c r="N78" s="89" t="s">
        <v>156</v>
      </c>
      <c r="O78" s="21">
        <v>40550</v>
      </c>
      <c r="P78" s="21">
        <v>40550</v>
      </c>
      <c r="Q78" s="21">
        <v>0</v>
      </c>
      <c r="R78" s="21"/>
      <c r="S78" s="25" t="s">
        <v>146</v>
      </c>
      <c r="T78" s="22" t="s">
        <v>101</v>
      </c>
      <c r="U78" s="22" t="s">
        <v>164</v>
      </c>
      <c r="V78" s="17" t="s">
        <v>11</v>
      </c>
      <c r="W78" s="22">
        <f t="shared" si="19"/>
        <v>0</v>
      </c>
      <c r="X78" s="22">
        <f t="shared" si="20"/>
        <v>40550</v>
      </c>
      <c r="Y78" s="22">
        <f t="shared" si="21"/>
        <v>0</v>
      </c>
      <c r="Z78" s="22" cm="1">
        <f t="array" ref="Z78">-_xlfn.IFS(M78="Closed",0,M79="Canceled",0,E78&gt;0,W78,E78=0,0)</f>
        <v>0</v>
      </c>
      <c r="AA78" s="22" cm="1">
        <f t="array" ref="AA78">_xlfn.IFS(M78="Closed",0,M78="Canceled",0,M78="Closed for Receiving",0,TRUE,SUM(W78:X78))+Z78</f>
        <v>40550</v>
      </c>
      <c r="AB78" s="22"/>
      <c r="AC78" s="22">
        <f t="shared" si="23"/>
        <v>40550</v>
      </c>
      <c r="AD78" s="3">
        <v>45777</v>
      </c>
      <c r="AE78" s="32">
        <f t="shared" si="24"/>
        <v>2.1333333333333333</v>
      </c>
      <c r="AF78" s="1">
        <v>1</v>
      </c>
      <c r="AG78" s="1">
        <f>(COUNTIF($E$4:$E78,$E78)=1)+0</f>
        <v>0</v>
      </c>
    </row>
    <row r="79" spans="3:33" x14ac:dyDescent="0.45">
      <c r="C79" s="17" t="str">
        <f t="shared" si="25"/>
        <v>14073979-13049500-1-2</v>
      </c>
      <c r="D79" s="17">
        <v>14073979</v>
      </c>
      <c r="E79" s="17">
        <v>13049500</v>
      </c>
      <c r="F79" s="18">
        <v>1</v>
      </c>
      <c r="G79" s="18">
        <v>2</v>
      </c>
      <c r="H79" s="19">
        <v>45693</v>
      </c>
      <c r="I79" s="19">
        <v>45712.260127314818</v>
      </c>
      <c r="J79" s="20" t="s">
        <v>157</v>
      </c>
      <c r="K79" s="20" t="s">
        <v>157</v>
      </c>
      <c r="L79" s="17" t="s">
        <v>32</v>
      </c>
      <c r="M79" s="17" t="s">
        <v>35</v>
      </c>
      <c r="N79" s="89" t="s">
        <v>93</v>
      </c>
      <c r="O79" s="21">
        <v>162000</v>
      </c>
      <c r="P79" s="21">
        <v>162000</v>
      </c>
      <c r="Q79" s="21">
        <v>0</v>
      </c>
      <c r="R79" s="21"/>
      <c r="S79" s="25" t="s">
        <v>146</v>
      </c>
      <c r="T79" s="22" t="s">
        <v>101</v>
      </c>
      <c r="U79" s="22" t="s">
        <v>162</v>
      </c>
      <c r="V79" s="17" t="s">
        <v>12</v>
      </c>
      <c r="W79" s="22">
        <f t="shared" si="19"/>
        <v>0</v>
      </c>
      <c r="X79" s="22">
        <f t="shared" si="20"/>
        <v>162000</v>
      </c>
      <c r="Y79" s="22">
        <f t="shared" si="21"/>
        <v>0</v>
      </c>
      <c r="Z79" s="22" cm="1">
        <f t="array" ref="Z79">-_xlfn.IFS(M79="Closed",0,M80="Canceled",0,E79&gt;0,W79,E79=0,0)</f>
        <v>0</v>
      </c>
      <c r="AA79" s="22" cm="1">
        <f t="array" ref="AA79">_xlfn.IFS(M79="Closed",0,M79="Canceled",0,M79="Closed for Receiving",0,TRUE,SUM(W79:X79))+Z79</f>
        <v>162000</v>
      </c>
      <c r="AB79" s="22"/>
      <c r="AC79" s="22">
        <f t="shared" si="23"/>
        <v>162000</v>
      </c>
      <c r="AD79" s="3">
        <v>45777</v>
      </c>
      <c r="AE79" s="32">
        <f t="shared" si="24"/>
        <v>2.1666666666666665</v>
      </c>
      <c r="AF79" s="1">
        <v>1</v>
      </c>
      <c r="AG79" s="1">
        <f>(COUNTIF($E$4:$E79,$E79)=1)+0</f>
        <v>1</v>
      </c>
    </row>
    <row r="80" spans="3:33" x14ac:dyDescent="0.45">
      <c r="C80" s="17" t="str">
        <f t="shared" si="25"/>
        <v>14074543-13048566-1-1</v>
      </c>
      <c r="D80" s="17">
        <v>14074543</v>
      </c>
      <c r="E80" s="17">
        <v>13048566</v>
      </c>
      <c r="F80" s="18">
        <v>1</v>
      </c>
      <c r="G80" s="18">
        <v>1</v>
      </c>
      <c r="H80" s="19">
        <v>45706</v>
      </c>
      <c r="I80" s="19">
        <v>45707.515439814815</v>
      </c>
      <c r="J80" s="20" t="s">
        <v>158</v>
      </c>
      <c r="K80" s="20" t="s">
        <v>158</v>
      </c>
      <c r="L80" s="17" t="s">
        <v>129</v>
      </c>
      <c r="M80" s="17" t="s">
        <v>35</v>
      </c>
      <c r="N80" s="89" t="s">
        <v>132</v>
      </c>
      <c r="O80" s="21">
        <v>69930</v>
      </c>
      <c r="P80" s="21">
        <v>69930</v>
      </c>
      <c r="Q80" s="21">
        <v>0</v>
      </c>
      <c r="R80" s="21"/>
      <c r="S80" s="25" t="s">
        <v>146</v>
      </c>
      <c r="T80" s="22" t="s">
        <v>138</v>
      </c>
      <c r="U80" s="22" t="s">
        <v>147</v>
      </c>
      <c r="V80" s="17" t="s">
        <v>11</v>
      </c>
      <c r="W80" s="22">
        <f t="shared" si="19"/>
        <v>0</v>
      </c>
      <c r="X80" s="22">
        <f t="shared" si="20"/>
        <v>69930</v>
      </c>
      <c r="Y80" s="22">
        <f t="shared" si="21"/>
        <v>0</v>
      </c>
      <c r="Z80" s="22" cm="1">
        <f t="array" ref="Z80">-_xlfn.IFS(M80="Closed",0,M81="Canceled",0,E80&gt;0,W80,E80=0,0)</f>
        <v>0</v>
      </c>
      <c r="AA80" s="22" cm="1">
        <f t="array" ref="AA80">_xlfn.IFS(M80="Closed",0,M80="Canceled",0,M80="Closed for Receiving",0,TRUE,SUM(W80:X80))+Z80</f>
        <v>69930</v>
      </c>
      <c r="AB80" s="22"/>
      <c r="AC80" s="22">
        <f t="shared" si="23"/>
        <v>69930</v>
      </c>
      <c r="AD80" s="3">
        <v>45777</v>
      </c>
      <c r="AE80" s="32">
        <f t="shared" si="24"/>
        <v>2.3333333333333335</v>
      </c>
      <c r="AF80" s="1">
        <v>1</v>
      </c>
      <c r="AG80" s="1">
        <f>(COUNTIF($E$4:$E80,$E80)=1)+0</f>
        <v>1</v>
      </c>
    </row>
    <row r="81" spans="3:33" x14ac:dyDescent="0.45">
      <c r="C81" s="17" t="str">
        <f t="shared" si="25"/>
        <v>14074543-13048566-2-2</v>
      </c>
      <c r="D81" s="17">
        <v>14074543</v>
      </c>
      <c r="E81" s="17">
        <v>13048566</v>
      </c>
      <c r="F81" s="18">
        <v>2</v>
      </c>
      <c r="G81" s="18">
        <v>2</v>
      </c>
      <c r="H81" s="19">
        <v>45706</v>
      </c>
      <c r="I81" s="19">
        <v>45707.515439814815</v>
      </c>
      <c r="J81" s="20" t="s">
        <v>158</v>
      </c>
      <c r="K81" s="20" t="s">
        <v>158</v>
      </c>
      <c r="L81" s="17" t="s">
        <v>129</v>
      </c>
      <c r="M81" s="17" t="s">
        <v>35</v>
      </c>
      <c r="N81" s="89" t="s">
        <v>132</v>
      </c>
      <c r="O81" s="21">
        <v>66150</v>
      </c>
      <c r="P81" s="21">
        <v>66150</v>
      </c>
      <c r="Q81" s="21">
        <v>0</v>
      </c>
      <c r="R81" s="21"/>
      <c r="S81" s="25" t="s">
        <v>146</v>
      </c>
      <c r="T81" s="22" t="s">
        <v>138</v>
      </c>
      <c r="U81" s="22" t="s">
        <v>147</v>
      </c>
      <c r="V81" s="17" t="s">
        <v>11</v>
      </c>
      <c r="W81" s="22">
        <f t="shared" si="19"/>
        <v>0</v>
      </c>
      <c r="X81" s="22">
        <f t="shared" si="20"/>
        <v>66150</v>
      </c>
      <c r="Y81" s="22">
        <f t="shared" si="21"/>
        <v>0</v>
      </c>
      <c r="Z81" s="22" cm="1">
        <f t="array" ref="Z81">-_xlfn.IFS(M81="Closed",0,M82="Canceled",0,E81&gt;0,W81,E81=0,0)</f>
        <v>0</v>
      </c>
      <c r="AA81" s="22" cm="1">
        <f t="array" ref="AA81">_xlfn.IFS(M81="Closed",0,M81="Canceled",0,M81="Closed for Receiving",0,TRUE,SUM(W81:X81))+Z81</f>
        <v>66150</v>
      </c>
      <c r="AB81" s="22"/>
      <c r="AC81" s="22">
        <f t="shared" si="23"/>
        <v>66150</v>
      </c>
      <c r="AD81" s="3">
        <v>45777</v>
      </c>
      <c r="AE81" s="32">
        <f t="shared" si="24"/>
        <v>2.3333333333333335</v>
      </c>
      <c r="AF81" s="1">
        <v>1</v>
      </c>
      <c r="AG81" s="1">
        <f>(COUNTIF($E$4:$E81,$E81)=1)+0</f>
        <v>0</v>
      </c>
    </row>
    <row r="82" spans="3:33" x14ac:dyDescent="0.45">
      <c r="C82" s="17" t="str">
        <f t="shared" si="25"/>
        <v>14074648-13048245-1-1</v>
      </c>
      <c r="D82" s="17">
        <v>14074648</v>
      </c>
      <c r="E82" s="17">
        <v>13048245</v>
      </c>
      <c r="F82" s="18">
        <v>1</v>
      </c>
      <c r="G82" s="18">
        <v>1</v>
      </c>
      <c r="H82" s="19">
        <v>45708</v>
      </c>
      <c r="I82" s="19">
        <v>45712.396365740744</v>
      </c>
      <c r="J82" s="20" t="s">
        <v>159</v>
      </c>
      <c r="K82" s="20" t="s">
        <v>159</v>
      </c>
      <c r="L82" s="17" t="s">
        <v>130</v>
      </c>
      <c r="M82" s="17" t="s">
        <v>35</v>
      </c>
      <c r="N82" s="89" t="s">
        <v>160</v>
      </c>
      <c r="O82" s="21">
        <v>56062.5</v>
      </c>
      <c r="P82" s="21">
        <v>56062.5</v>
      </c>
      <c r="Q82" s="21">
        <v>0</v>
      </c>
      <c r="R82" s="21"/>
      <c r="S82" s="25" t="s">
        <v>146</v>
      </c>
      <c r="T82" s="22" t="s">
        <v>101</v>
      </c>
      <c r="U82" s="22" t="s">
        <v>163</v>
      </c>
      <c r="V82" s="17" t="s">
        <v>11</v>
      </c>
      <c r="W82" s="22">
        <f t="shared" si="19"/>
        <v>0</v>
      </c>
      <c r="X82" s="22">
        <f t="shared" si="20"/>
        <v>56062.5</v>
      </c>
      <c r="Y82" s="22">
        <f t="shared" si="21"/>
        <v>0</v>
      </c>
      <c r="Z82" s="22" cm="1">
        <f t="array" ref="Z82">-_xlfn.IFS(M82="Closed",0,M83="Canceled",0,E82&gt;0,W82,E82=0,0)</f>
        <v>0</v>
      </c>
      <c r="AA82" s="22" cm="1">
        <f t="array" ref="AA82">_xlfn.IFS(M82="Closed",0,M82="Canceled",0,M82="Closed for Receiving",0,TRUE,SUM(W82:X82))+Z82</f>
        <v>56062.5</v>
      </c>
      <c r="AB82" s="22"/>
      <c r="AC82" s="22">
        <f t="shared" si="23"/>
        <v>56062.5</v>
      </c>
      <c r="AD82" s="3">
        <v>45777</v>
      </c>
      <c r="AE82" s="32">
        <f t="shared" si="24"/>
        <v>2.1666666666666665</v>
      </c>
      <c r="AF82" s="1">
        <v>1</v>
      </c>
      <c r="AG82" s="1">
        <f>(COUNTIF($E$4:$E82,$E82)=1)+0</f>
        <v>1</v>
      </c>
    </row>
    <row r="83" spans="3:33" x14ac:dyDescent="0.45">
      <c r="C83" s="17" t="str">
        <f t="shared" ref="C83:C99" si="26">D83&amp;"-"&amp;E83&amp;"-"&amp;F83&amp;"-"&amp;G83</f>
        <v>14075409-13048707-1-1</v>
      </c>
      <c r="D83" s="17">
        <v>14075409</v>
      </c>
      <c r="E83" s="17">
        <v>13048707</v>
      </c>
      <c r="F83" s="18">
        <v>1</v>
      </c>
      <c r="G83" s="18">
        <v>1</v>
      </c>
      <c r="H83" s="19">
        <v>45726</v>
      </c>
      <c r="I83" s="19">
        <v>45733.346018518518</v>
      </c>
      <c r="J83" s="20" t="s">
        <v>167</v>
      </c>
      <c r="K83" s="20" t="s">
        <v>167</v>
      </c>
      <c r="L83" s="17" t="s">
        <v>130</v>
      </c>
      <c r="M83" s="17" t="s">
        <v>35</v>
      </c>
      <c r="N83" s="89" t="s">
        <v>160</v>
      </c>
      <c r="O83" s="21">
        <v>99877.601307809993</v>
      </c>
      <c r="P83" s="21">
        <v>103018.67854977</v>
      </c>
      <c r="Q83" s="21">
        <v>103018.67854977</v>
      </c>
      <c r="R83" s="21"/>
      <c r="S83" s="25" t="s">
        <v>146</v>
      </c>
      <c r="T83" s="22" t="s">
        <v>103</v>
      </c>
      <c r="U83" s="22" t="s">
        <v>103</v>
      </c>
      <c r="V83" s="17" t="s">
        <v>11</v>
      </c>
      <c r="W83" s="22">
        <f t="shared" si="19"/>
        <v>0</v>
      </c>
      <c r="X83" s="22">
        <f t="shared" si="20"/>
        <v>0</v>
      </c>
      <c r="Y83" s="22">
        <f t="shared" si="21"/>
        <v>103018.67854977</v>
      </c>
      <c r="Z83" s="22" cm="1">
        <f t="array" ref="Z83">-_xlfn.IFS(M83="Closed",0,M84="Canceled",0,E83&gt;0,W83,E83=0,0)</f>
        <v>0</v>
      </c>
      <c r="AA83" s="22" cm="1">
        <f t="array" ref="AA83">_xlfn.IFS(M83="Closed",0,M83="Canceled",0,M83="Closed for Receiving",0,TRUE,SUM(W83:X83))+Z83</f>
        <v>0</v>
      </c>
      <c r="AB83" s="22"/>
      <c r="AC83" s="22">
        <f t="shared" ref="AC83:AC91" si="27">+Y83+AA83+AB83</f>
        <v>103018.67854977</v>
      </c>
      <c r="AD83" s="3">
        <v>45777</v>
      </c>
      <c r="AE83" s="32">
        <f t="shared" si="24"/>
        <v>1.4666666666666666</v>
      </c>
      <c r="AF83" s="1">
        <v>1</v>
      </c>
      <c r="AG83" s="1">
        <f>(COUNTIF($E$4:$E83,$E83)=1)+0</f>
        <v>1</v>
      </c>
    </row>
    <row r="84" spans="3:33" x14ac:dyDescent="0.45">
      <c r="C84" s="17" t="str">
        <f t="shared" si="26"/>
        <v>14075409-13048707-2-2</v>
      </c>
      <c r="D84" s="17">
        <v>14075409</v>
      </c>
      <c r="E84" s="17">
        <v>13048707</v>
      </c>
      <c r="F84" s="18">
        <v>2</v>
      </c>
      <c r="G84" s="18">
        <v>2</v>
      </c>
      <c r="H84" s="19">
        <v>45726</v>
      </c>
      <c r="I84" s="19">
        <v>45733.346018518518</v>
      </c>
      <c r="J84" s="20" t="s">
        <v>167</v>
      </c>
      <c r="K84" s="20" t="s">
        <v>167</v>
      </c>
      <c r="L84" s="17" t="s">
        <v>130</v>
      </c>
      <c r="M84" s="17" t="s">
        <v>35</v>
      </c>
      <c r="N84" s="89" t="s">
        <v>160</v>
      </c>
      <c r="O84" s="21">
        <v>99877.601307809993</v>
      </c>
      <c r="P84" s="21">
        <v>103018.67854977</v>
      </c>
      <c r="Q84" s="21">
        <v>103018.67854977</v>
      </c>
      <c r="R84" s="21"/>
      <c r="S84" s="25" t="s">
        <v>146</v>
      </c>
      <c r="T84" s="22" t="s">
        <v>103</v>
      </c>
      <c r="U84" s="22" t="s">
        <v>103</v>
      </c>
      <c r="V84" s="17" t="s">
        <v>11</v>
      </c>
      <c r="W84" s="22">
        <f t="shared" si="19"/>
        <v>0</v>
      </c>
      <c r="X84" s="22">
        <f t="shared" si="20"/>
        <v>0</v>
      </c>
      <c r="Y84" s="22">
        <f t="shared" si="21"/>
        <v>103018.67854977</v>
      </c>
      <c r="Z84" s="22" cm="1">
        <f t="array" ref="Z84">-_xlfn.IFS(M84="Closed",0,M85="Canceled",0,E84&gt;0,W84,E84=0,0)</f>
        <v>0</v>
      </c>
      <c r="AA84" s="22" cm="1">
        <f t="array" ref="AA84">_xlfn.IFS(M84="Closed",0,M84="Canceled",0,M84="Closed for Receiving",0,TRUE,SUM(W84:X84))+Z84</f>
        <v>0</v>
      </c>
      <c r="AB84" s="22"/>
      <c r="AC84" s="22">
        <f t="shared" si="27"/>
        <v>103018.67854977</v>
      </c>
      <c r="AD84" s="3">
        <v>45777</v>
      </c>
      <c r="AE84" s="32">
        <f t="shared" si="24"/>
        <v>1.4666666666666666</v>
      </c>
      <c r="AF84" s="1">
        <v>1</v>
      </c>
      <c r="AG84" s="1">
        <f>(COUNTIF($E$4:$E84,$E84)=1)+0</f>
        <v>0</v>
      </c>
    </row>
    <row r="85" spans="3:33" x14ac:dyDescent="0.45">
      <c r="C85" s="17" t="str">
        <f t="shared" si="26"/>
        <v>14075409-13048707-3-3</v>
      </c>
      <c r="D85" s="17">
        <v>14075409</v>
      </c>
      <c r="E85" s="17">
        <v>13048707</v>
      </c>
      <c r="F85" s="18">
        <v>3</v>
      </c>
      <c r="G85" s="18">
        <v>3</v>
      </c>
      <c r="H85" s="19">
        <v>45726</v>
      </c>
      <c r="I85" s="19">
        <v>45733.346018518518</v>
      </c>
      <c r="J85" s="20" t="s">
        <v>167</v>
      </c>
      <c r="K85" s="20" t="s">
        <v>167</v>
      </c>
      <c r="L85" s="17" t="s">
        <v>130</v>
      </c>
      <c r="M85" s="17" t="s">
        <v>35</v>
      </c>
      <c r="N85" s="89" t="s">
        <v>160</v>
      </c>
      <c r="O85" s="21">
        <v>99877.601307809993</v>
      </c>
      <c r="P85" s="21">
        <v>103018.67854977</v>
      </c>
      <c r="Q85" s="21">
        <v>0</v>
      </c>
      <c r="R85" s="21"/>
      <c r="S85" s="25" t="s">
        <v>146</v>
      </c>
      <c r="T85" s="22" t="s">
        <v>103</v>
      </c>
      <c r="U85" s="22" t="s">
        <v>103</v>
      </c>
      <c r="V85" s="17" t="s">
        <v>11</v>
      </c>
      <c r="W85" s="22">
        <f t="shared" si="19"/>
        <v>0</v>
      </c>
      <c r="X85" s="22">
        <f t="shared" si="20"/>
        <v>103018.67854977</v>
      </c>
      <c r="Y85" s="22">
        <f t="shared" si="21"/>
        <v>0</v>
      </c>
      <c r="Z85" s="22" cm="1">
        <f t="array" ref="Z85">-_xlfn.IFS(M85="Closed",0,M86="Canceled",0,E85&gt;0,W85,E85=0,0)</f>
        <v>0</v>
      </c>
      <c r="AA85" s="22" cm="1">
        <f t="array" ref="AA85">_xlfn.IFS(M85="Closed",0,M85="Canceled",0,M85="Closed for Receiving",0,TRUE,SUM(W85:X85))+Z85</f>
        <v>103018.67854977</v>
      </c>
      <c r="AB85" s="22"/>
      <c r="AC85" s="22">
        <f t="shared" si="27"/>
        <v>103018.67854977</v>
      </c>
      <c r="AD85" s="3">
        <v>45777</v>
      </c>
      <c r="AE85" s="32">
        <f t="shared" si="24"/>
        <v>1.4666666666666666</v>
      </c>
      <c r="AF85" s="1">
        <v>1</v>
      </c>
      <c r="AG85" s="1">
        <f>(COUNTIF($E$4:$E85,$E85)=1)+0</f>
        <v>0</v>
      </c>
    </row>
    <row r="86" spans="3:33" x14ac:dyDescent="0.45">
      <c r="C86" s="17" t="str">
        <f t="shared" si="26"/>
        <v>14075409-13048707-4-4</v>
      </c>
      <c r="D86" s="17">
        <v>14075409</v>
      </c>
      <c r="E86" s="17">
        <v>13048707</v>
      </c>
      <c r="F86" s="18">
        <v>4</v>
      </c>
      <c r="G86" s="18">
        <v>4</v>
      </c>
      <c r="H86" s="19">
        <v>45726</v>
      </c>
      <c r="I86" s="19">
        <v>45733.346018518518</v>
      </c>
      <c r="J86" s="20" t="s">
        <v>167</v>
      </c>
      <c r="K86" s="20" t="s">
        <v>167</v>
      </c>
      <c r="L86" s="17" t="s">
        <v>130</v>
      </c>
      <c r="M86" s="17" t="s">
        <v>35</v>
      </c>
      <c r="N86" s="89" t="s">
        <v>160</v>
      </c>
      <c r="O86" s="21">
        <v>99877.601307809993</v>
      </c>
      <c r="P86" s="21">
        <v>103018.67854977</v>
      </c>
      <c r="Q86" s="21">
        <v>0</v>
      </c>
      <c r="R86" s="21"/>
      <c r="S86" s="25" t="s">
        <v>146</v>
      </c>
      <c r="T86" s="22" t="s">
        <v>103</v>
      </c>
      <c r="U86" s="22" t="s">
        <v>103</v>
      </c>
      <c r="V86" s="17" t="s">
        <v>11</v>
      </c>
      <c r="W86" s="22">
        <f t="shared" si="19"/>
        <v>0</v>
      </c>
      <c r="X86" s="22">
        <f t="shared" si="20"/>
        <v>103018.67854977</v>
      </c>
      <c r="Y86" s="22">
        <f t="shared" si="21"/>
        <v>0</v>
      </c>
      <c r="Z86" s="22" cm="1">
        <f t="array" ref="Z86">-_xlfn.IFS(M86="Closed",0,M87="Canceled",0,E86&gt;0,W86,E86=0,0)</f>
        <v>0</v>
      </c>
      <c r="AA86" s="22" cm="1">
        <f t="array" ref="AA86">_xlfn.IFS(M86="Closed",0,M86="Canceled",0,M86="Closed for Receiving",0,TRUE,SUM(W86:X86))+Z86</f>
        <v>103018.67854977</v>
      </c>
      <c r="AB86" s="22"/>
      <c r="AC86" s="22">
        <f t="shared" si="27"/>
        <v>103018.67854977</v>
      </c>
      <c r="AD86" s="3">
        <v>45777</v>
      </c>
      <c r="AE86" s="32">
        <f t="shared" si="24"/>
        <v>1.4666666666666666</v>
      </c>
      <c r="AF86" s="1">
        <v>1</v>
      </c>
      <c r="AG86" s="1">
        <f>(COUNTIF($E$4:$E86,$E86)=1)+0</f>
        <v>0</v>
      </c>
    </row>
    <row r="87" spans="3:33" x14ac:dyDescent="0.45">
      <c r="C87" s="17" t="str">
        <f t="shared" si="26"/>
        <v>14075409-13048707-5-5</v>
      </c>
      <c r="D87" s="17">
        <v>14075409</v>
      </c>
      <c r="E87" s="17">
        <v>13048707</v>
      </c>
      <c r="F87" s="18">
        <v>5</v>
      </c>
      <c r="G87" s="18">
        <v>5</v>
      </c>
      <c r="H87" s="19">
        <v>45726</v>
      </c>
      <c r="I87" s="19">
        <v>45733.346018518518</v>
      </c>
      <c r="J87" s="20" t="s">
        <v>167</v>
      </c>
      <c r="K87" s="20" t="s">
        <v>167</v>
      </c>
      <c r="L87" s="17" t="s">
        <v>130</v>
      </c>
      <c r="M87" s="17" t="s">
        <v>35</v>
      </c>
      <c r="N87" s="89" t="s">
        <v>160</v>
      </c>
      <c r="O87" s="21">
        <v>99877.601307809993</v>
      </c>
      <c r="P87" s="21">
        <v>103018.67854977</v>
      </c>
      <c r="Q87" s="21">
        <v>0</v>
      </c>
      <c r="R87" s="21"/>
      <c r="S87" s="25" t="s">
        <v>146</v>
      </c>
      <c r="T87" s="22" t="s">
        <v>103</v>
      </c>
      <c r="U87" s="22" t="s">
        <v>103</v>
      </c>
      <c r="V87" s="17" t="s">
        <v>11</v>
      </c>
      <c r="W87" s="22">
        <f t="shared" si="19"/>
        <v>0</v>
      </c>
      <c r="X87" s="22">
        <f t="shared" si="20"/>
        <v>103018.67854977</v>
      </c>
      <c r="Y87" s="22">
        <f t="shared" si="21"/>
        <v>0</v>
      </c>
      <c r="Z87" s="22" cm="1">
        <f t="array" ref="Z87">-_xlfn.IFS(M87="Closed",0,M88="Canceled",0,E87&gt;0,W87,E87=0,0)</f>
        <v>0</v>
      </c>
      <c r="AA87" s="22" cm="1">
        <f t="array" ref="AA87">_xlfn.IFS(M87="Closed",0,M87="Canceled",0,M87="Closed for Receiving",0,TRUE,SUM(W87:X87))+Z87</f>
        <v>103018.67854977</v>
      </c>
      <c r="AB87" s="22"/>
      <c r="AC87" s="22">
        <f t="shared" si="27"/>
        <v>103018.67854977</v>
      </c>
      <c r="AD87" s="3">
        <v>45777</v>
      </c>
      <c r="AE87" s="32">
        <f t="shared" si="24"/>
        <v>1.4666666666666666</v>
      </c>
      <c r="AF87" s="1">
        <v>1</v>
      </c>
      <c r="AG87" s="1">
        <f>(COUNTIF($E$4:$E87,$E87)=1)+0</f>
        <v>0</v>
      </c>
    </row>
    <row r="88" spans="3:33" x14ac:dyDescent="0.45">
      <c r="C88" s="17" t="str">
        <f t="shared" si="26"/>
        <v>14075409-13048707-6-6</v>
      </c>
      <c r="D88" s="17">
        <v>14075409</v>
      </c>
      <c r="E88" s="17">
        <v>13048707</v>
      </c>
      <c r="F88" s="18">
        <v>6</v>
      </c>
      <c r="G88" s="18">
        <v>6</v>
      </c>
      <c r="H88" s="19">
        <v>45726</v>
      </c>
      <c r="I88" s="19">
        <v>45733.346018518518</v>
      </c>
      <c r="J88" s="20" t="s">
        <v>167</v>
      </c>
      <c r="K88" s="20" t="s">
        <v>167</v>
      </c>
      <c r="L88" s="17" t="s">
        <v>130</v>
      </c>
      <c r="M88" s="17" t="s">
        <v>35</v>
      </c>
      <c r="N88" s="89" t="s">
        <v>160</v>
      </c>
      <c r="O88" s="21">
        <v>99877.601307809993</v>
      </c>
      <c r="P88" s="21">
        <v>103018.67854977</v>
      </c>
      <c r="Q88" s="21">
        <v>0</v>
      </c>
      <c r="R88" s="21"/>
      <c r="S88" s="25" t="s">
        <v>146</v>
      </c>
      <c r="T88" s="22" t="s">
        <v>103</v>
      </c>
      <c r="U88" s="22" t="s">
        <v>103</v>
      </c>
      <c r="V88" s="17" t="s">
        <v>11</v>
      </c>
      <c r="W88" s="22">
        <f t="shared" si="19"/>
        <v>0</v>
      </c>
      <c r="X88" s="22">
        <f t="shared" si="20"/>
        <v>103018.67854977</v>
      </c>
      <c r="Y88" s="22">
        <f t="shared" si="21"/>
        <v>0</v>
      </c>
      <c r="Z88" s="22" cm="1">
        <f t="array" ref="Z88">-_xlfn.IFS(M88="Closed",0,M89="Canceled",0,E88&gt;0,W88,E88=0,0)</f>
        <v>0</v>
      </c>
      <c r="AA88" s="22" cm="1">
        <f t="array" ref="AA88">_xlfn.IFS(M88="Closed",0,M88="Canceled",0,M88="Closed for Receiving",0,TRUE,SUM(W88:X88))+Z88</f>
        <v>103018.67854977</v>
      </c>
      <c r="AB88" s="22"/>
      <c r="AC88" s="22">
        <f t="shared" si="27"/>
        <v>103018.67854977</v>
      </c>
      <c r="AD88" s="3">
        <v>45777</v>
      </c>
      <c r="AE88" s="32">
        <f t="shared" si="24"/>
        <v>1.4666666666666666</v>
      </c>
      <c r="AF88" s="1">
        <v>1</v>
      </c>
      <c r="AG88" s="1">
        <f>(COUNTIF($E$4:$E88,$E88)=1)+0</f>
        <v>0</v>
      </c>
    </row>
    <row r="89" spans="3:33" x14ac:dyDescent="0.45">
      <c r="C89" s="17" t="str">
        <f t="shared" si="26"/>
        <v>14075409-13048707-7-7</v>
      </c>
      <c r="D89" s="17">
        <v>14075409</v>
      </c>
      <c r="E89" s="17">
        <v>13048707</v>
      </c>
      <c r="F89" s="18">
        <v>7</v>
      </c>
      <c r="G89" s="18">
        <v>7</v>
      </c>
      <c r="H89" s="19">
        <v>45726</v>
      </c>
      <c r="I89" s="19">
        <v>45733.346018518518</v>
      </c>
      <c r="J89" s="20" t="s">
        <v>167</v>
      </c>
      <c r="K89" s="20" t="s">
        <v>167</v>
      </c>
      <c r="L89" s="17" t="s">
        <v>130</v>
      </c>
      <c r="M89" s="17" t="s">
        <v>35</v>
      </c>
      <c r="N89" s="89" t="s">
        <v>160</v>
      </c>
      <c r="O89" s="21">
        <v>99877.601307809993</v>
      </c>
      <c r="P89" s="21">
        <v>103018.67854977</v>
      </c>
      <c r="Q89" s="21">
        <v>0</v>
      </c>
      <c r="R89" s="21"/>
      <c r="S89" s="25" t="s">
        <v>146</v>
      </c>
      <c r="T89" s="22" t="s">
        <v>103</v>
      </c>
      <c r="U89" s="22" t="s">
        <v>103</v>
      </c>
      <c r="V89" s="17" t="s">
        <v>11</v>
      </c>
      <c r="W89" s="22">
        <f t="shared" si="19"/>
        <v>0</v>
      </c>
      <c r="X89" s="22">
        <f t="shared" si="20"/>
        <v>103018.67854977</v>
      </c>
      <c r="Y89" s="22">
        <f t="shared" si="21"/>
        <v>0</v>
      </c>
      <c r="Z89" s="22" cm="1">
        <f t="array" ref="Z89">-_xlfn.IFS(M89="Closed",0,M90="Canceled",0,E89&gt;0,W89,E89=0,0)</f>
        <v>0</v>
      </c>
      <c r="AA89" s="22" cm="1">
        <f t="array" ref="AA89">_xlfn.IFS(M89="Closed",0,M89="Canceled",0,M89="Closed for Receiving",0,TRUE,SUM(W89:X89))+Z89</f>
        <v>103018.67854977</v>
      </c>
      <c r="AB89" s="22"/>
      <c r="AC89" s="22">
        <f t="shared" si="27"/>
        <v>103018.67854977</v>
      </c>
      <c r="AD89" s="3">
        <v>45777</v>
      </c>
      <c r="AE89" s="32">
        <f t="shared" si="24"/>
        <v>1.4666666666666666</v>
      </c>
      <c r="AF89" s="1">
        <v>1</v>
      </c>
      <c r="AG89" s="1">
        <f>(COUNTIF($E$4:$E89,$E89)=1)+0</f>
        <v>0</v>
      </c>
    </row>
    <row r="90" spans="3:33" x14ac:dyDescent="0.45">
      <c r="C90" s="17" t="str">
        <f t="shared" si="26"/>
        <v>14075409-13048707-8-8</v>
      </c>
      <c r="D90" s="17">
        <v>14075409</v>
      </c>
      <c r="E90" s="17">
        <v>13048707</v>
      </c>
      <c r="F90" s="18">
        <v>8</v>
      </c>
      <c r="G90" s="18">
        <v>8</v>
      </c>
      <c r="H90" s="19">
        <v>45726</v>
      </c>
      <c r="I90" s="19">
        <v>45733.346018518518</v>
      </c>
      <c r="J90" s="20" t="s">
        <v>167</v>
      </c>
      <c r="K90" s="20" t="s">
        <v>167</v>
      </c>
      <c r="L90" s="17" t="s">
        <v>130</v>
      </c>
      <c r="M90" s="17" t="s">
        <v>35</v>
      </c>
      <c r="N90" s="89" t="s">
        <v>160</v>
      </c>
      <c r="O90" s="21">
        <v>99877.601307809993</v>
      </c>
      <c r="P90" s="21">
        <v>103018.67854977</v>
      </c>
      <c r="Q90" s="21">
        <v>0</v>
      </c>
      <c r="R90" s="21"/>
      <c r="S90" s="25" t="s">
        <v>146</v>
      </c>
      <c r="T90" s="22" t="s">
        <v>103</v>
      </c>
      <c r="U90" s="22" t="s">
        <v>103</v>
      </c>
      <c r="V90" s="17" t="s">
        <v>11</v>
      </c>
      <c r="W90" s="22">
        <f t="shared" si="19"/>
        <v>0</v>
      </c>
      <c r="X90" s="22">
        <f t="shared" si="20"/>
        <v>103018.67854977</v>
      </c>
      <c r="Y90" s="22">
        <f t="shared" si="21"/>
        <v>0</v>
      </c>
      <c r="Z90" s="22" cm="1">
        <f t="array" ref="Z90">-_xlfn.IFS(M90="Closed",0,M91="Canceled",0,E90&gt;0,W90,E90=0,0)</f>
        <v>0</v>
      </c>
      <c r="AA90" s="22" cm="1">
        <f t="array" ref="AA90">_xlfn.IFS(M90="Closed",0,M90="Canceled",0,M90="Closed for Receiving",0,TRUE,SUM(W90:X90))+Z90</f>
        <v>103018.67854977</v>
      </c>
      <c r="AB90" s="22"/>
      <c r="AC90" s="22">
        <f t="shared" si="27"/>
        <v>103018.67854977</v>
      </c>
      <c r="AD90" s="3">
        <v>45777</v>
      </c>
      <c r="AE90" s="32">
        <f t="shared" si="24"/>
        <v>1.4666666666666666</v>
      </c>
      <c r="AF90" s="1">
        <v>1</v>
      </c>
      <c r="AG90" s="1">
        <f>(COUNTIF($E$4:$E90,$E90)=1)+0</f>
        <v>0</v>
      </c>
    </row>
    <row r="91" spans="3:33" x14ac:dyDescent="0.45">
      <c r="C91" s="17" t="str">
        <f t="shared" si="26"/>
        <v>14076045-0-1-0</v>
      </c>
      <c r="D91" s="17">
        <v>14076045</v>
      </c>
      <c r="E91" s="17">
        <v>0</v>
      </c>
      <c r="F91" s="18">
        <v>1</v>
      </c>
      <c r="G91" s="18">
        <v>0</v>
      </c>
      <c r="H91" s="19">
        <v>45739</v>
      </c>
      <c r="I91" s="19">
        <v>45741.416597222225</v>
      </c>
      <c r="J91" s="20" t="s">
        <v>168</v>
      </c>
      <c r="K91" s="20" t="s">
        <v>168</v>
      </c>
      <c r="L91" s="17" t="s">
        <v>82</v>
      </c>
      <c r="M91" s="17"/>
      <c r="N91" s="89" t="s">
        <v>166</v>
      </c>
      <c r="O91" s="21">
        <v>1083662</v>
      </c>
      <c r="P91" s="21">
        <v>0</v>
      </c>
      <c r="Q91" s="21">
        <v>0</v>
      </c>
      <c r="R91" s="21"/>
      <c r="S91" s="25" t="s">
        <v>146</v>
      </c>
      <c r="T91" s="22" t="s">
        <v>135</v>
      </c>
      <c r="U91" s="22" t="s">
        <v>83</v>
      </c>
      <c r="V91" s="17" t="s">
        <v>11</v>
      </c>
      <c r="W91" s="22">
        <f t="shared" si="19"/>
        <v>1083662</v>
      </c>
      <c r="X91" s="22">
        <f t="shared" si="20"/>
        <v>0</v>
      </c>
      <c r="Y91" s="22">
        <f t="shared" si="21"/>
        <v>0</v>
      </c>
      <c r="Z91" s="22" cm="1">
        <f t="array" ref="Z91">-_xlfn.IFS(M91="Closed",0,M92="Canceled",0,E91&gt;0,W91,E91=0,0)</f>
        <v>0</v>
      </c>
      <c r="AA91" s="22" cm="1">
        <f t="array" ref="AA91">_xlfn.IFS(M91="Closed",0,M91="Canceled",0,M91="Closed for Receiving",0,TRUE,SUM(W91:X91))+Z91</f>
        <v>1083662</v>
      </c>
      <c r="AB91" s="22"/>
      <c r="AC91" s="22">
        <f t="shared" si="27"/>
        <v>1083662</v>
      </c>
      <c r="AD91" s="3">
        <v>45777</v>
      </c>
      <c r="AE91" s="32">
        <f t="shared" si="24"/>
        <v>1.2</v>
      </c>
      <c r="AF91" s="1">
        <v>1</v>
      </c>
      <c r="AG91" s="1">
        <f>(COUNTIF($E$4:$E91,$E91)=1)+0</f>
        <v>0</v>
      </c>
    </row>
    <row r="92" spans="3:33" x14ac:dyDescent="0.45">
      <c r="C92" s="17" t="str">
        <f t="shared" si="26"/>
        <v>14076052-13049785-1-1</v>
      </c>
      <c r="D92" s="17">
        <v>14076052</v>
      </c>
      <c r="E92" s="17">
        <v>13049785</v>
      </c>
      <c r="F92" s="18">
        <v>1</v>
      </c>
      <c r="G92" s="18">
        <v>1</v>
      </c>
      <c r="H92" s="19">
        <v>45739</v>
      </c>
      <c r="I92" s="19">
        <v>45743.498101851852</v>
      </c>
      <c r="J92" s="20" t="s">
        <v>169</v>
      </c>
      <c r="K92" s="20" t="s">
        <v>169</v>
      </c>
      <c r="L92" s="17" t="s">
        <v>32</v>
      </c>
      <c r="M92" s="17" t="s">
        <v>35</v>
      </c>
      <c r="N92" s="89" t="s">
        <v>93</v>
      </c>
      <c r="O92" s="21">
        <v>2200</v>
      </c>
      <c r="P92" s="21">
        <v>1560</v>
      </c>
      <c r="Q92" s="21">
        <v>0</v>
      </c>
      <c r="R92" s="21"/>
      <c r="S92" s="25" t="s">
        <v>146</v>
      </c>
      <c r="T92" s="22" t="s">
        <v>101</v>
      </c>
      <c r="U92" s="22" t="s">
        <v>101</v>
      </c>
      <c r="V92" s="17" t="s">
        <v>12</v>
      </c>
      <c r="W92" s="22">
        <f t="shared" si="19"/>
        <v>640</v>
      </c>
      <c r="X92" s="22">
        <f t="shared" si="20"/>
        <v>1560</v>
      </c>
      <c r="Y92" s="22">
        <f t="shared" ref="Y92:Y99" si="28">+Q92</f>
        <v>0</v>
      </c>
      <c r="Z92" s="22" cm="1">
        <f t="array" ref="Z92">-_xlfn.IFS(M92="Closed",0,M93="Canceled",0,E92&gt;0,W92,E92=0,0)</f>
        <v>-640</v>
      </c>
      <c r="AA92" s="22" cm="1">
        <f t="array" ref="AA92">_xlfn.IFS(M92="Closed",0,M92="Canceled",0,M92="Closed for Receiving",0,TRUE,SUM(W92:X92))+Z92</f>
        <v>1560</v>
      </c>
      <c r="AB92" s="22"/>
      <c r="AC92" s="22">
        <f t="shared" ref="AC92:AC99" si="29">+Y92+AA92+AB92</f>
        <v>1560</v>
      </c>
      <c r="AD92" s="3">
        <v>45777</v>
      </c>
      <c r="AE92" s="32">
        <f t="shared" si="24"/>
        <v>1.1333333333333333</v>
      </c>
      <c r="AF92" s="1">
        <v>1</v>
      </c>
      <c r="AG92" s="1">
        <f>(COUNTIF($E$4:$E92,$E92)=1)+0</f>
        <v>1</v>
      </c>
    </row>
    <row r="93" spans="3:33" x14ac:dyDescent="0.45">
      <c r="C93" s="17" t="str">
        <f t="shared" si="26"/>
        <v>14073982-13049500-1-1</v>
      </c>
      <c r="D93" s="17">
        <v>14073982</v>
      </c>
      <c r="E93" s="17">
        <v>13049500</v>
      </c>
      <c r="F93" s="18">
        <v>1</v>
      </c>
      <c r="G93" s="18">
        <v>1</v>
      </c>
      <c r="H93" s="19">
        <v>45693</v>
      </c>
      <c r="I93" s="19">
        <v>45712.260208333333</v>
      </c>
      <c r="J93" s="20" t="s">
        <v>170</v>
      </c>
      <c r="K93" s="20" t="s">
        <v>170</v>
      </c>
      <c r="L93" s="17" t="s">
        <v>174</v>
      </c>
      <c r="M93" s="17" t="s">
        <v>35</v>
      </c>
      <c r="N93" s="89" t="s">
        <v>145</v>
      </c>
      <c r="O93" s="21">
        <v>136800</v>
      </c>
      <c r="P93" s="21">
        <v>136800</v>
      </c>
      <c r="Q93" s="21">
        <v>0</v>
      </c>
      <c r="R93" s="21"/>
      <c r="S93" s="25" t="s">
        <v>146</v>
      </c>
      <c r="T93" s="22" t="s">
        <v>101</v>
      </c>
      <c r="U93" s="22" t="s">
        <v>101</v>
      </c>
      <c r="V93" s="17" t="s">
        <v>12</v>
      </c>
      <c r="W93" s="22">
        <f t="shared" si="19"/>
        <v>0</v>
      </c>
      <c r="X93" s="22">
        <f t="shared" si="20"/>
        <v>136800</v>
      </c>
      <c r="Y93" s="22">
        <f t="shared" si="28"/>
        <v>0</v>
      </c>
      <c r="Z93" s="22" cm="1">
        <f t="array" ref="Z93">-_xlfn.IFS(M93="Closed",0,M94="Canceled",0,E93&gt;0,W93,E93=0,0)</f>
        <v>0</v>
      </c>
      <c r="AA93" s="22" cm="1">
        <f t="array" ref="AA93">_xlfn.IFS(M93="Closed",0,M93="Canceled",0,M93="Closed for Receiving",0,TRUE,SUM(W93:X93))+Z93</f>
        <v>136800</v>
      </c>
      <c r="AB93" s="22"/>
      <c r="AC93" s="22">
        <f t="shared" si="29"/>
        <v>136800</v>
      </c>
      <c r="AD93" s="3">
        <v>45777</v>
      </c>
      <c r="AE93" s="32">
        <f t="shared" si="24"/>
        <v>2.1666666666666665</v>
      </c>
      <c r="AF93" s="1">
        <v>1</v>
      </c>
      <c r="AG93" s="1"/>
    </row>
    <row r="94" spans="3:33" x14ac:dyDescent="0.45">
      <c r="C94" s="17" t="str">
        <f t="shared" si="26"/>
        <v>14076229-13049481-1-1</v>
      </c>
      <c r="D94" s="17">
        <v>14076229</v>
      </c>
      <c r="E94" s="17">
        <v>13049481</v>
      </c>
      <c r="F94" s="18">
        <v>1</v>
      </c>
      <c r="G94" s="18">
        <v>1</v>
      </c>
      <c r="H94" s="19">
        <v>45743</v>
      </c>
      <c r="I94" s="19">
        <v>45754.225810185184</v>
      </c>
      <c r="J94" s="20" t="s">
        <v>171</v>
      </c>
      <c r="K94" s="20" t="s">
        <v>171</v>
      </c>
      <c r="L94" s="17" t="s">
        <v>129</v>
      </c>
      <c r="M94" s="17" t="s">
        <v>35</v>
      </c>
      <c r="N94" s="89" t="s">
        <v>132</v>
      </c>
      <c r="O94" s="21">
        <v>61897.5</v>
      </c>
      <c r="P94" s="21">
        <v>61897.5</v>
      </c>
      <c r="Q94" s="21">
        <v>0</v>
      </c>
      <c r="R94" s="21"/>
      <c r="S94" s="25" t="s">
        <v>146</v>
      </c>
      <c r="T94" s="22" t="s">
        <v>138</v>
      </c>
      <c r="U94" s="22" t="s">
        <v>147</v>
      </c>
      <c r="V94" s="17" t="s">
        <v>11</v>
      </c>
      <c r="W94" s="22">
        <f t="shared" si="19"/>
        <v>0</v>
      </c>
      <c r="X94" s="22">
        <f t="shared" si="20"/>
        <v>61897.5</v>
      </c>
      <c r="Y94" s="22">
        <f t="shared" si="28"/>
        <v>0</v>
      </c>
      <c r="Z94" s="22" cm="1">
        <f t="array" ref="Z94">-_xlfn.IFS(M94="Closed",0,M95="Canceled",0,E94&gt;0,W94,E94=0,0)</f>
        <v>0</v>
      </c>
      <c r="AA94" s="22" cm="1">
        <f t="array" ref="AA94">_xlfn.IFS(M94="Closed",0,M94="Canceled",0,M94="Closed for Receiving",0,TRUE,SUM(W94:X94))+Z94</f>
        <v>61897.5</v>
      </c>
      <c r="AB94" s="22"/>
      <c r="AC94" s="22">
        <f t="shared" si="29"/>
        <v>61897.5</v>
      </c>
      <c r="AD94" s="3">
        <v>45777</v>
      </c>
      <c r="AE94" s="32">
        <f t="shared" si="24"/>
        <v>0.76666666666666672</v>
      </c>
      <c r="AF94" s="1">
        <v>1</v>
      </c>
      <c r="AG94" s="1"/>
    </row>
    <row r="95" spans="3:33" x14ac:dyDescent="0.45">
      <c r="C95" s="17" t="str">
        <f t="shared" si="26"/>
        <v>14076496-0-1-0</v>
      </c>
      <c r="D95" s="17">
        <v>14076496</v>
      </c>
      <c r="E95" s="17">
        <v>0</v>
      </c>
      <c r="F95" s="18">
        <v>1</v>
      </c>
      <c r="G95" s="18">
        <v>0</v>
      </c>
      <c r="H95" s="19">
        <v>45756</v>
      </c>
      <c r="I95" s="19">
        <v>45763.208506944444</v>
      </c>
      <c r="J95" s="20" t="s">
        <v>172</v>
      </c>
      <c r="K95" s="20" t="s">
        <v>172</v>
      </c>
      <c r="L95" s="17" t="s">
        <v>155</v>
      </c>
      <c r="M95" s="17"/>
      <c r="N95" s="89" t="s">
        <v>156</v>
      </c>
      <c r="O95" s="21">
        <v>262500</v>
      </c>
      <c r="P95" s="21">
        <v>0</v>
      </c>
      <c r="Q95" s="21">
        <v>0</v>
      </c>
      <c r="R95" s="21"/>
      <c r="S95" s="25" t="s">
        <v>146</v>
      </c>
      <c r="T95" s="22" t="s">
        <v>101</v>
      </c>
      <c r="U95" s="22" t="s">
        <v>172</v>
      </c>
      <c r="V95" s="17" t="s">
        <v>165</v>
      </c>
      <c r="W95" s="22">
        <f t="shared" si="19"/>
        <v>262500</v>
      </c>
      <c r="X95" s="22">
        <f t="shared" si="20"/>
        <v>0</v>
      </c>
      <c r="Y95" s="22">
        <f t="shared" si="28"/>
        <v>0</v>
      </c>
      <c r="Z95" s="22" cm="1">
        <f t="array" ref="Z95">-_xlfn.IFS(M95="Closed",0,M96="Canceled",0,E95&gt;0,W95,E95=0,0)</f>
        <v>0</v>
      </c>
      <c r="AA95" s="22" cm="1">
        <f t="array" ref="AA95">_xlfn.IFS(M95="Closed",0,M95="Canceled",0,M95="Closed for Receiving",0,TRUE,SUM(W95:X95))+Z95</f>
        <v>262500</v>
      </c>
      <c r="AB95" s="22"/>
      <c r="AC95" s="22">
        <f t="shared" si="29"/>
        <v>262500</v>
      </c>
      <c r="AD95" s="3">
        <v>45777</v>
      </c>
      <c r="AE95" s="32">
        <f t="shared" si="24"/>
        <v>0.46666666666666667</v>
      </c>
      <c r="AF95" s="1">
        <v>1</v>
      </c>
      <c r="AG95" s="1"/>
    </row>
    <row r="96" spans="3:33" x14ac:dyDescent="0.45">
      <c r="C96" s="17" t="str">
        <f t="shared" si="26"/>
        <v>14076496-0-2-0</v>
      </c>
      <c r="D96" s="17">
        <v>14076496</v>
      </c>
      <c r="E96" s="17">
        <v>0</v>
      </c>
      <c r="F96" s="18">
        <v>2</v>
      </c>
      <c r="G96" s="18">
        <v>0</v>
      </c>
      <c r="H96" s="19">
        <v>45756</v>
      </c>
      <c r="I96" s="19">
        <v>45763.208506944444</v>
      </c>
      <c r="J96" s="20" t="s">
        <v>172</v>
      </c>
      <c r="K96" s="20" t="s">
        <v>172</v>
      </c>
      <c r="L96" s="17" t="s">
        <v>155</v>
      </c>
      <c r="M96" s="17"/>
      <c r="N96" s="89" t="s">
        <v>156</v>
      </c>
      <c r="O96" s="21">
        <v>93750</v>
      </c>
      <c r="P96" s="21">
        <v>0</v>
      </c>
      <c r="Q96" s="21">
        <v>0</v>
      </c>
      <c r="R96" s="21"/>
      <c r="S96" s="25" t="s">
        <v>146</v>
      </c>
      <c r="T96" s="22" t="s">
        <v>101</v>
      </c>
      <c r="U96" s="22" t="s">
        <v>172</v>
      </c>
      <c r="V96" s="17" t="s">
        <v>165</v>
      </c>
      <c r="W96" s="22">
        <f t="shared" si="19"/>
        <v>93750</v>
      </c>
      <c r="X96" s="22">
        <f t="shared" si="20"/>
        <v>0</v>
      </c>
      <c r="Y96" s="22">
        <f t="shared" si="28"/>
        <v>0</v>
      </c>
      <c r="Z96" s="22" cm="1">
        <f t="array" ref="Z96">-_xlfn.IFS(M96="Closed",0,M97="Canceled",0,E96&gt;0,W96,E96=0,0)</f>
        <v>0</v>
      </c>
      <c r="AA96" s="22" cm="1">
        <f t="array" ref="AA96">_xlfn.IFS(M96="Closed",0,M96="Canceled",0,M96="Closed for Receiving",0,TRUE,SUM(W96:X96))+Z96</f>
        <v>93750</v>
      </c>
      <c r="AB96" s="22"/>
      <c r="AC96" s="22">
        <f t="shared" si="29"/>
        <v>93750</v>
      </c>
      <c r="AD96" s="3">
        <v>45777</v>
      </c>
      <c r="AE96" s="32">
        <f t="shared" si="24"/>
        <v>0.46666666666666667</v>
      </c>
      <c r="AF96" s="1">
        <v>1</v>
      </c>
      <c r="AG96" s="1"/>
    </row>
    <row r="97" spans="1:33" x14ac:dyDescent="0.45">
      <c r="C97" s="17" t="str">
        <f t="shared" si="26"/>
        <v>14076496-0-3-0</v>
      </c>
      <c r="D97" s="17">
        <v>14076496</v>
      </c>
      <c r="E97" s="17">
        <v>0</v>
      </c>
      <c r="F97" s="18">
        <v>3</v>
      </c>
      <c r="G97" s="18">
        <v>0</v>
      </c>
      <c r="H97" s="19">
        <v>45756</v>
      </c>
      <c r="I97" s="19">
        <v>45763.208506944444</v>
      </c>
      <c r="J97" s="20" t="s">
        <v>172</v>
      </c>
      <c r="K97" s="20" t="s">
        <v>172</v>
      </c>
      <c r="L97" s="17" t="s">
        <v>155</v>
      </c>
      <c r="M97" s="17"/>
      <c r="N97" s="89" t="s">
        <v>156</v>
      </c>
      <c r="O97" s="21">
        <v>38250</v>
      </c>
      <c r="P97" s="21">
        <v>0</v>
      </c>
      <c r="Q97" s="21">
        <v>0</v>
      </c>
      <c r="R97" s="21"/>
      <c r="S97" s="25" t="s">
        <v>146</v>
      </c>
      <c r="T97" s="22" t="s">
        <v>101</v>
      </c>
      <c r="U97" s="22" t="s">
        <v>172</v>
      </c>
      <c r="V97" s="17" t="s">
        <v>165</v>
      </c>
      <c r="W97" s="22">
        <f t="shared" si="19"/>
        <v>38250</v>
      </c>
      <c r="X97" s="22">
        <f t="shared" si="20"/>
        <v>0</v>
      </c>
      <c r="Y97" s="22">
        <f t="shared" si="28"/>
        <v>0</v>
      </c>
      <c r="Z97" s="22" cm="1">
        <f t="array" ref="Z97">-_xlfn.IFS(M97="Closed",0,M98="Canceled",0,E97&gt;0,W97,E97=0,0)</f>
        <v>0</v>
      </c>
      <c r="AA97" s="22" cm="1">
        <f t="array" ref="AA97">_xlfn.IFS(M97="Closed",0,M97="Canceled",0,M97="Closed for Receiving",0,TRUE,SUM(W97:X97))+Z97</f>
        <v>38250</v>
      </c>
      <c r="AB97" s="22"/>
      <c r="AC97" s="22">
        <f t="shared" si="29"/>
        <v>38250</v>
      </c>
      <c r="AD97" s="3">
        <v>45777</v>
      </c>
      <c r="AE97" s="32">
        <f t="shared" si="24"/>
        <v>0.46666666666666667</v>
      </c>
      <c r="AF97" s="1">
        <v>1</v>
      </c>
      <c r="AG97" s="1"/>
    </row>
    <row r="98" spans="1:33" x14ac:dyDescent="0.45">
      <c r="C98" s="17" t="str">
        <f t="shared" si="26"/>
        <v>14076496-0-4-0</v>
      </c>
      <c r="D98" s="17">
        <v>14076496</v>
      </c>
      <c r="E98" s="17">
        <v>0</v>
      </c>
      <c r="F98" s="18">
        <v>4</v>
      </c>
      <c r="G98" s="18">
        <v>0</v>
      </c>
      <c r="H98" s="19">
        <v>45756</v>
      </c>
      <c r="I98" s="19">
        <v>45763.208506944444</v>
      </c>
      <c r="J98" s="20" t="s">
        <v>172</v>
      </c>
      <c r="K98" s="20" t="s">
        <v>172</v>
      </c>
      <c r="L98" s="17" t="s">
        <v>155</v>
      </c>
      <c r="M98" s="17"/>
      <c r="N98" s="89" t="s">
        <v>156</v>
      </c>
      <c r="O98" s="21">
        <v>45000</v>
      </c>
      <c r="P98" s="21">
        <v>0</v>
      </c>
      <c r="Q98" s="21">
        <v>0</v>
      </c>
      <c r="R98" s="21"/>
      <c r="S98" s="25" t="s">
        <v>146</v>
      </c>
      <c r="T98" s="22" t="s">
        <v>101</v>
      </c>
      <c r="U98" s="22" t="s">
        <v>172</v>
      </c>
      <c r="V98" s="17" t="s">
        <v>165</v>
      </c>
      <c r="W98" s="22">
        <f t="shared" si="19"/>
        <v>45000</v>
      </c>
      <c r="X98" s="22">
        <f t="shared" si="20"/>
        <v>0</v>
      </c>
      <c r="Y98" s="22">
        <f t="shared" si="28"/>
        <v>0</v>
      </c>
      <c r="Z98" s="22" cm="1">
        <f t="array" ref="Z98">-_xlfn.IFS(M98="Closed",0,M99="Canceled",0,E98&gt;0,W98,E98=0,0)</f>
        <v>0</v>
      </c>
      <c r="AA98" s="22" cm="1">
        <f t="array" ref="AA98">_xlfn.IFS(M98="Closed",0,M98="Canceled",0,M98="Closed for Receiving",0,TRUE,SUM(W98:X98))+Z98</f>
        <v>45000</v>
      </c>
      <c r="AB98" s="22"/>
      <c r="AC98" s="22">
        <f t="shared" si="29"/>
        <v>45000</v>
      </c>
      <c r="AD98" s="3">
        <v>45777</v>
      </c>
      <c r="AE98" s="32">
        <f t="shared" si="24"/>
        <v>0.46666666666666667</v>
      </c>
      <c r="AF98" s="1">
        <v>1</v>
      </c>
      <c r="AG98" s="1"/>
    </row>
    <row r="99" spans="1:33" x14ac:dyDescent="0.45">
      <c r="A99">
        <v>8513</v>
      </c>
      <c r="C99" s="17" t="str">
        <f t="shared" si="26"/>
        <v>14076898-0-1-0</v>
      </c>
      <c r="D99" s="17">
        <v>14076898</v>
      </c>
      <c r="E99" s="17">
        <v>0</v>
      </c>
      <c r="F99" s="18">
        <v>1</v>
      </c>
      <c r="G99" s="18">
        <v>0</v>
      </c>
      <c r="H99" s="19">
        <v>45764</v>
      </c>
      <c r="I99" s="19">
        <v>45765.616747685184</v>
      </c>
      <c r="J99" s="20" t="s">
        <v>173</v>
      </c>
      <c r="K99" s="20" t="s">
        <v>173</v>
      </c>
      <c r="L99" s="17" t="s">
        <v>105</v>
      </c>
      <c r="M99" s="17"/>
      <c r="N99" s="89" t="s">
        <v>93</v>
      </c>
      <c r="O99" s="21">
        <v>14625</v>
      </c>
      <c r="P99" s="21">
        <v>0</v>
      </c>
      <c r="Q99" s="21">
        <v>0</v>
      </c>
      <c r="R99" s="21"/>
      <c r="S99" s="25" t="s">
        <v>146</v>
      </c>
      <c r="T99" s="22" t="s">
        <v>101</v>
      </c>
      <c r="U99" s="22" t="s">
        <v>101</v>
      </c>
      <c r="V99" s="17" t="s">
        <v>11</v>
      </c>
      <c r="W99" s="22">
        <f t="shared" si="19"/>
        <v>14625</v>
      </c>
      <c r="X99" s="22">
        <f t="shared" si="20"/>
        <v>0</v>
      </c>
      <c r="Y99" s="22">
        <f t="shared" si="28"/>
        <v>0</v>
      </c>
      <c r="Z99" s="22" cm="1">
        <f t="array" ref="Z99">-_xlfn.IFS(M99="Closed",0,M100="Canceled",0,E99&gt;0,W99,E99=0,0)</f>
        <v>0</v>
      </c>
      <c r="AA99" s="22" cm="1">
        <f t="array" ref="AA99">_xlfn.IFS(M99="Closed",0,M99="Canceled",0,M99="Closed for Receiving",0,TRUE,SUM(W99:X99))+Z99</f>
        <v>14625</v>
      </c>
      <c r="AB99" s="22"/>
      <c r="AC99" s="22">
        <f t="shared" si="29"/>
        <v>14625</v>
      </c>
      <c r="AD99" s="3">
        <v>45777</v>
      </c>
      <c r="AE99" s="32">
        <f t="shared" si="24"/>
        <v>0.4</v>
      </c>
      <c r="AF99" s="1">
        <v>1</v>
      </c>
      <c r="AG99" s="1"/>
    </row>
    <row r="100" spans="1:33" x14ac:dyDescent="0.45">
      <c r="T100"/>
      <c r="U100"/>
    </row>
    <row r="101" spans="1:33" x14ac:dyDescent="0.45">
      <c r="T101"/>
      <c r="U101"/>
    </row>
    <row r="102" spans="1:33" x14ac:dyDescent="0.45">
      <c r="T102"/>
      <c r="U102"/>
    </row>
    <row r="103" spans="1:33" x14ac:dyDescent="0.45">
      <c r="T103"/>
      <c r="U103"/>
    </row>
    <row r="104" spans="1:33" x14ac:dyDescent="0.45">
      <c r="T104"/>
      <c r="U104"/>
    </row>
    <row r="105" spans="1:33" x14ac:dyDescent="0.45">
      <c r="T105"/>
      <c r="U105"/>
    </row>
    <row r="106" spans="1:33" x14ac:dyDescent="0.45">
      <c r="T106"/>
      <c r="U106"/>
    </row>
    <row r="107" spans="1:33" x14ac:dyDescent="0.45">
      <c r="T107"/>
      <c r="U107"/>
    </row>
    <row r="108" spans="1:33" x14ac:dyDescent="0.45">
      <c r="T108"/>
      <c r="U108"/>
    </row>
    <row r="109" spans="1:33" x14ac:dyDescent="0.45">
      <c r="T109"/>
      <c r="U109"/>
    </row>
    <row r="110" spans="1:33" x14ac:dyDescent="0.45">
      <c r="T110"/>
      <c r="U110"/>
    </row>
    <row r="111" spans="1:33" x14ac:dyDescent="0.45">
      <c r="T111"/>
      <c r="U111"/>
    </row>
    <row r="112" spans="1:33" x14ac:dyDescent="0.45">
      <c r="T112"/>
      <c r="U112"/>
    </row>
    <row r="113" spans="20:21" x14ac:dyDescent="0.45">
      <c r="T113"/>
      <c r="U113"/>
    </row>
    <row r="114" spans="20:21" x14ac:dyDescent="0.45">
      <c r="T114"/>
      <c r="U114"/>
    </row>
    <row r="115" spans="20:21" x14ac:dyDescent="0.45">
      <c r="T115"/>
      <c r="U115"/>
    </row>
    <row r="116" spans="20:21" x14ac:dyDescent="0.45">
      <c r="T116"/>
      <c r="U116"/>
    </row>
    <row r="117" spans="20:21" x14ac:dyDescent="0.45">
      <c r="T117"/>
      <c r="U117"/>
    </row>
  </sheetData>
  <autoFilter ref="B3:AH99" xr:uid="{10074613-0098-4933-836E-ED3D001EB062}"/>
  <conditionalFormatting sqref="E4:E62">
    <cfRule type="duplicateValues" dxfId="1" priority="18"/>
  </conditionalFormatting>
  <conditionalFormatting sqref="E63:E99">
    <cfRule type="duplicateValues" dxfId="0" priority="2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15B59-E550-4710-BA42-5E26A6BD15D8}">
  <sheetPr>
    <tabColor rgb="FFC00000"/>
  </sheetPr>
  <dimension ref="B2:C5"/>
  <sheetViews>
    <sheetView showGridLines="0" workbookViewId="0">
      <selection activeCell="K4" sqref="K4:K18"/>
    </sheetView>
  </sheetViews>
  <sheetFormatPr defaultRowHeight="14.25" x14ac:dyDescent="0.45"/>
  <cols>
    <col min="2" max="2" width="12.53125" customWidth="1"/>
    <col min="3" max="3" width="15.265625" customWidth="1"/>
  </cols>
  <sheetData>
    <row r="2" spans="2:3" ht="15.75" x14ac:dyDescent="0.5">
      <c r="B2" s="70"/>
      <c r="C2" s="70"/>
    </row>
    <row r="3" spans="2:3" ht="15.75" x14ac:dyDescent="0.5">
      <c r="B3" s="70"/>
      <c r="C3" s="70"/>
    </row>
    <row r="4" spans="2:3" ht="15.75" x14ac:dyDescent="0.5">
      <c r="B4" s="71" t="s">
        <v>78</v>
      </c>
      <c r="C4" s="72">
        <v>45777</v>
      </c>
    </row>
    <row r="5" spans="2:3" ht="15.75" x14ac:dyDescent="0.5">
      <c r="B5" s="70"/>
      <c r="C5" s="7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Projects Summary</vt:lpstr>
      <vt:lpstr>PR Data</vt:lpstr>
      <vt:lpstr>Month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Khalid M. Shoukry</dc:creator>
  <cp:lastModifiedBy>Adeel Gulzar</cp:lastModifiedBy>
  <dcterms:created xsi:type="dcterms:W3CDTF">2023-09-21T12:56:13Z</dcterms:created>
  <dcterms:modified xsi:type="dcterms:W3CDTF">2026-08-29T12:04:39Z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