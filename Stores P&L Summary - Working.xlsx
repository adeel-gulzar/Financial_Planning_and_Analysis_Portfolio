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ffa\Documents\1 - My Portfolio\"/>
    </mc:Choice>
  </mc:AlternateContent>
  <xr:revisionPtr revIDLastSave="0" documentId="13_ncr:1_{AD7082A3-389F-4B59-B2CF-CCBA987AC640}" xr6:coauthVersionLast="47" xr6:coauthVersionMax="47" xr10:uidLastSave="{00000000-0000-0000-0000-000000000000}"/>
  <bookViews>
    <workbookView xWindow="-98" yWindow="-98" windowWidth="19396" windowHeight="11475" xr2:uid="{7CD40140-7A04-4BF2-A623-6E96B56B11A6}"/>
  </bookViews>
  <sheets>
    <sheet name="Store P&amp;L - Summary" sheetId="6" r:id="rId1"/>
    <sheet name="Store P&amp;L Y2025B &amp; Y2024A" sheetId="15" r:id="rId2"/>
    <sheet name="P&amp;L Data" sheetId="14" r:id="rId3"/>
    <sheet name="Y2025B &amp; Y2024A" sheetId="16" r:id="rId4"/>
  </sheets>
  <definedNames>
    <definedName name="___INDEX_SHEET___ASAP_Utilities" localSheetId="2">#REF!</definedName>
    <definedName name="___INDEX_SHEET___ASAP_Utilities">#REF!</definedName>
    <definedName name="_xlnm._FilterDatabase" localSheetId="2" hidden="1">'P&amp;L Data'!$B$3:$W$291</definedName>
    <definedName name="_xlnm._FilterDatabase" localSheetId="0" hidden="1">'Store P&amp;L - Summary'!$A$5:$CY$45</definedName>
    <definedName name="_xlnm._FilterDatabase" localSheetId="1" hidden="1">'Store P&amp;L Y2025B &amp; Y2024A'!$A$5:$AQ$45</definedName>
    <definedName name="_xlnm._FilterDatabase" localSheetId="3" hidden="1">'Y2025B &amp; Y2024A'!$B$3:$G$279</definedName>
    <definedName name="AccountType" localSheetId="2">#REF!</definedName>
    <definedName name="AccountType">#REF!</definedName>
    <definedName name="CountryCode">"OFFSET($B$1,0,0,COUNT($B:$B),1)"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43" i="15" l="1"/>
  <c r="AN43" i="15"/>
  <c r="AK43" i="15"/>
  <c r="AH43" i="15"/>
  <c r="AE43" i="15"/>
  <c r="AB43" i="15"/>
  <c r="Y43" i="15"/>
  <c r="V43" i="15"/>
  <c r="S43" i="15"/>
  <c r="P43" i="15"/>
  <c r="M43" i="15"/>
  <c r="J43" i="15"/>
  <c r="AQ42" i="15"/>
  <c r="AN42" i="15"/>
  <c r="AK42" i="15"/>
  <c r="AH42" i="15"/>
  <c r="AE42" i="15"/>
  <c r="AB42" i="15"/>
  <c r="Y42" i="15"/>
  <c r="V42" i="15"/>
  <c r="S42" i="15"/>
  <c r="P42" i="15"/>
  <c r="M42" i="15"/>
  <c r="J42" i="15"/>
  <c r="AQ39" i="15"/>
  <c r="AN39" i="15"/>
  <c r="AK39" i="15"/>
  <c r="AH39" i="15"/>
  <c r="AE39" i="15"/>
  <c r="AB39" i="15"/>
  <c r="Y39" i="15"/>
  <c r="V39" i="15"/>
  <c r="S39" i="15"/>
  <c r="P39" i="15"/>
  <c r="M39" i="15"/>
  <c r="J39" i="15"/>
  <c r="AQ38" i="15"/>
  <c r="AN38" i="15"/>
  <c r="AK38" i="15"/>
  <c r="AH38" i="15"/>
  <c r="AE38" i="15"/>
  <c r="AB38" i="15"/>
  <c r="Y38" i="15"/>
  <c r="V38" i="15"/>
  <c r="S38" i="15"/>
  <c r="P38" i="15"/>
  <c r="M38" i="15"/>
  <c r="J38" i="15"/>
  <c r="AQ36" i="15"/>
  <c r="AN36" i="15"/>
  <c r="AK36" i="15"/>
  <c r="AH36" i="15"/>
  <c r="AE36" i="15"/>
  <c r="AB36" i="15"/>
  <c r="Y36" i="15"/>
  <c r="V36" i="15"/>
  <c r="S36" i="15"/>
  <c r="P36" i="15"/>
  <c r="M36" i="15"/>
  <c r="J36" i="15"/>
  <c r="AQ35" i="15"/>
  <c r="AN35" i="15"/>
  <c r="AK35" i="15"/>
  <c r="AH35" i="15"/>
  <c r="AE35" i="15"/>
  <c r="AB35" i="15"/>
  <c r="Y35" i="15"/>
  <c r="V35" i="15"/>
  <c r="S35" i="15"/>
  <c r="P35" i="15"/>
  <c r="M35" i="15"/>
  <c r="J35" i="15"/>
  <c r="AQ33" i="15"/>
  <c r="AN33" i="15"/>
  <c r="AK33" i="15"/>
  <c r="AH33" i="15"/>
  <c r="AE33" i="15"/>
  <c r="AB33" i="15"/>
  <c r="Y33" i="15"/>
  <c r="V33" i="15"/>
  <c r="S33" i="15"/>
  <c r="P33" i="15"/>
  <c r="M33" i="15"/>
  <c r="J33" i="15"/>
  <c r="AQ32" i="15"/>
  <c r="AN32" i="15"/>
  <c r="AK32" i="15"/>
  <c r="AH32" i="15"/>
  <c r="AE32" i="15"/>
  <c r="AB32" i="15"/>
  <c r="Y32" i="15"/>
  <c r="V32" i="15"/>
  <c r="S32" i="15"/>
  <c r="P32" i="15"/>
  <c r="M32" i="15"/>
  <c r="J32" i="15"/>
  <c r="AQ29" i="15"/>
  <c r="AN29" i="15"/>
  <c r="AK29" i="15"/>
  <c r="AH29" i="15"/>
  <c r="AE29" i="15"/>
  <c r="AB29" i="15"/>
  <c r="Y29" i="15"/>
  <c r="V29" i="15"/>
  <c r="S29" i="15"/>
  <c r="P29" i="15"/>
  <c r="M29" i="15"/>
  <c r="J29" i="15"/>
  <c r="AQ28" i="15"/>
  <c r="AN28" i="15"/>
  <c r="AK28" i="15"/>
  <c r="AH28" i="15"/>
  <c r="AE28" i="15"/>
  <c r="AB28" i="15"/>
  <c r="Y28" i="15"/>
  <c r="V28" i="15"/>
  <c r="S28" i="15"/>
  <c r="P28" i="15"/>
  <c r="M28" i="15"/>
  <c r="J28" i="15"/>
  <c r="AQ25" i="15"/>
  <c r="AN25" i="15"/>
  <c r="AK25" i="15"/>
  <c r="AH25" i="15"/>
  <c r="AE25" i="15"/>
  <c r="AB25" i="15"/>
  <c r="Y25" i="15"/>
  <c r="V25" i="15"/>
  <c r="S25" i="15"/>
  <c r="P25" i="15"/>
  <c r="M25" i="15"/>
  <c r="J25" i="15"/>
  <c r="AQ24" i="15"/>
  <c r="AN24" i="15"/>
  <c r="AK24" i="15"/>
  <c r="AH24" i="15"/>
  <c r="AE24" i="15"/>
  <c r="AB24" i="15"/>
  <c r="Y24" i="15"/>
  <c r="V24" i="15"/>
  <c r="S24" i="15"/>
  <c r="P24" i="15"/>
  <c r="M24" i="15"/>
  <c r="J24" i="15"/>
  <c r="AQ22" i="15"/>
  <c r="AN22" i="15"/>
  <c r="AK22" i="15"/>
  <c r="AH22" i="15"/>
  <c r="AE22" i="15"/>
  <c r="AB22" i="15"/>
  <c r="Y22" i="15"/>
  <c r="V22" i="15"/>
  <c r="S22" i="15"/>
  <c r="P22" i="15"/>
  <c r="M22" i="15"/>
  <c r="J22" i="15"/>
  <c r="AQ21" i="15"/>
  <c r="AN21" i="15"/>
  <c r="AK21" i="15"/>
  <c r="AH21" i="15"/>
  <c r="AE21" i="15"/>
  <c r="AB21" i="15"/>
  <c r="Y21" i="15"/>
  <c r="V21" i="15"/>
  <c r="S21" i="15"/>
  <c r="P21" i="15"/>
  <c r="M21" i="15"/>
  <c r="J21" i="15"/>
  <c r="AQ19" i="15"/>
  <c r="AN19" i="15"/>
  <c r="AK19" i="15"/>
  <c r="AH19" i="15"/>
  <c r="AE19" i="15"/>
  <c r="AB19" i="15"/>
  <c r="Y19" i="15"/>
  <c r="V19" i="15"/>
  <c r="S19" i="15"/>
  <c r="P19" i="15"/>
  <c r="M19" i="15"/>
  <c r="J19" i="15"/>
  <c r="AQ18" i="15"/>
  <c r="AN18" i="15"/>
  <c r="AK18" i="15"/>
  <c r="AH18" i="15"/>
  <c r="AE18" i="15"/>
  <c r="AB18" i="15"/>
  <c r="Y18" i="15"/>
  <c r="V18" i="15"/>
  <c r="S18" i="15"/>
  <c r="P18" i="15"/>
  <c r="M18" i="15"/>
  <c r="J18" i="15"/>
  <c r="AQ15" i="15"/>
  <c r="AN15" i="15"/>
  <c r="AK15" i="15"/>
  <c r="AH15" i="15"/>
  <c r="AE15" i="15"/>
  <c r="AB15" i="15"/>
  <c r="Y15" i="15"/>
  <c r="V15" i="15"/>
  <c r="S15" i="15"/>
  <c r="P15" i="15"/>
  <c r="M15" i="15"/>
  <c r="J15" i="15"/>
  <c r="AQ14" i="15"/>
  <c r="AN14" i="15"/>
  <c r="AK14" i="15"/>
  <c r="AH14" i="15"/>
  <c r="AE14" i="15"/>
  <c r="AB14" i="15"/>
  <c r="Y14" i="15"/>
  <c r="V14" i="15"/>
  <c r="S14" i="15"/>
  <c r="P14" i="15"/>
  <c r="M14" i="15"/>
  <c r="J14" i="15"/>
  <c r="AQ12" i="15"/>
  <c r="AN12" i="15"/>
  <c r="AK12" i="15"/>
  <c r="AH12" i="15"/>
  <c r="AE12" i="15"/>
  <c r="AB12" i="15"/>
  <c r="Y12" i="15"/>
  <c r="V12" i="15"/>
  <c r="S12" i="15"/>
  <c r="P12" i="15"/>
  <c r="M12" i="15"/>
  <c r="J12" i="15"/>
  <c r="AQ11" i="15"/>
  <c r="AN11" i="15"/>
  <c r="AK11" i="15"/>
  <c r="AH11" i="15"/>
  <c r="AE11" i="15"/>
  <c r="AB11" i="15"/>
  <c r="Y11" i="15"/>
  <c r="V11" i="15"/>
  <c r="S11" i="15"/>
  <c r="P11" i="15"/>
  <c r="M11" i="15"/>
  <c r="J11" i="15"/>
  <c r="AQ9" i="15"/>
  <c r="AN9" i="15"/>
  <c r="AK9" i="15"/>
  <c r="AH9" i="15"/>
  <c r="AE9" i="15"/>
  <c r="AB9" i="15"/>
  <c r="Y9" i="15"/>
  <c r="V9" i="15"/>
  <c r="S9" i="15"/>
  <c r="P9" i="15"/>
  <c r="M9" i="15"/>
  <c r="J9" i="15"/>
  <c r="AQ7" i="15"/>
  <c r="AN7" i="15"/>
  <c r="AK7" i="15"/>
  <c r="AH7" i="15"/>
  <c r="AE7" i="15"/>
  <c r="AB7" i="15"/>
  <c r="Y7" i="15"/>
  <c r="V7" i="15"/>
  <c r="S7" i="15"/>
  <c r="P7" i="15"/>
  <c r="M7" i="15"/>
  <c r="J7" i="15"/>
  <c r="AQ6" i="15"/>
  <c r="AN6" i="15"/>
  <c r="AK6" i="15"/>
  <c r="AH6" i="15"/>
  <c r="AE6" i="15"/>
  <c r="AB6" i="15"/>
  <c r="Y6" i="15"/>
  <c r="V6" i="15"/>
  <c r="S6" i="15"/>
  <c r="P6" i="15"/>
  <c r="M6" i="15"/>
  <c r="J6" i="15"/>
  <c r="AP43" i="15"/>
  <c r="AM43" i="15"/>
  <c r="AJ43" i="15"/>
  <c r="AG43" i="15"/>
  <c r="AD43" i="15"/>
  <c r="AA43" i="15"/>
  <c r="X43" i="15"/>
  <c r="U43" i="15"/>
  <c r="R43" i="15"/>
  <c r="O43" i="15"/>
  <c r="L43" i="15"/>
  <c r="I43" i="15"/>
  <c r="AP42" i="15"/>
  <c r="AM42" i="15"/>
  <c r="AJ42" i="15"/>
  <c r="AG42" i="15"/>
  <c r="AD42" i="15"/>
  <c r="AA42" i="15"/>
  <c r="X42" i="15"/>
  <c r="U42" i="15"/>
  <c r="R42" i="15"/>
  <c r="O42" i="15"/>
  <c r="L42" i="15"/>
  <c r="I42" i="15"/>
  <c r="AP39" i="15"/>
  <c r="AM39" i="15"/>
  <c r="AJ39" i="15"/>
  <c r="AG39" i="15"/>
  <c r="AD39" i="15"/>
  <c r="AA39" i="15"/>
  <c r="X39" i="15"/>
  <c r="U39" i="15"/>
  <c r="R39" i="15"/>
  <c r="O39" i="15"/>
  <c r="L39" i="15"/>
  <c r="I39" i="15"/>
  <c r="AP38" i="15"/>
  <c r="AM38" i="15"/>
  <c r="AJ38" i="15"/>
  <c r="AG38" i="15"/>
  <c r="AD38" i="15"/>
  <c r="AA38" i="15"/>
  <c r="X38" i="15"/>
  <c r="U38" i="15"/>
  <c r="R38" i="15"/>
  <c r="O38" i="15"/>
  <c r="L38" i="15"/>
  <c r="I38" i="15"/>
  <c r="AP36" i="15"/>
  <c r="AM36" i="15"/>
  <c r="AJ36" i="15"/>
  <c r="AG36" i="15"/>
  <c r="AD36" i="15"/>
  <c r="AA36" i="15"/>
  <c r="X36" i="15"/>
  <c r="U36" i="15"/>
  <c r="R36" i="15"/>
  <c r="O36" i="15"/>
  <c r="L36" i="15"/>
  <c r="I36" i="15"/>
  <c r="AP35" i="15"/>
  <c r="AM35" i="15"/>
  <c r="AJ35" i="15"/>
  <c r="AG35" i="15"/>
  <c r="AD35" i="15"/>
  <c r="AA35" i="15"/>
  <c r="X35" i="15"/>
  <c r="U35" i="15"/>
  <c r="R35" i="15"/>
  <c r="O35" i="15"/>
  <c r="L35" i="15"/>
  <c r="I35" i="15"/>
  <c r="AP33" i="15"/>
  <c r="AM33" i="15"/>
  <c r="AJ33" i="15"/>
  <c r="AG33" i="15"/>
  <c r="AD33" i="15"/>
  <c r="AA33" i="15"/>
  <c r="X33" i="15"/>
  <c r="U33" i="15"/>
  <c r="R33" i="15"/>
  <c r="O33" i="15"/>
  <c r="L33" i="15"/>
  <c r="I33" i="15"/>
  <c r="AP32" i="15"/>
  <c r="AM32" i="15"/>
  <c r="AJ32" i="15"/>
  <c r="AG32" i="15"/>
  <c r="AD32" i="15"/>
  <c r="AA32" i="15"/>
  <c r="X32" i="15"/>
  <c r="U32" i="15"/>
  <c r="R32" i="15"/>
  <c r="O32" i="15"/>
  <c r="L32" i="15"/>
  <c r="I32" i="15"/>
  <c r="AP29" i="15"/>
  <c r="AM29" i="15"/>
  <c r="AJ29" i="15"/>
  <c r="AG29" i="15"/>
  <c r="AD29" i="15"/>
  <c r="AA29" i="15"/>
  <c r="X29" i="15"/>
  <c r="U29" i="15"/>
  <c r="R29" i="15"/>
  <c r="O29" i="15"/>
  <c r="L29" i="15"/>
  <c r="I29" i="15"/>
  <c r="AP28" i="15"/>
  <c r="AM28" i="15"/>
  <c r="AJ28" i="15"/>
  <c r="AG28" i="15"/>
  <c r="AD28" i="15"/>
  <c r="AA28" i="15"/>
  <c r="X28" i="15"/>
  <c r="U28" i="15"/>
  <c r="R28" i="15"/>
  <c r="O28" i="15"/>
  <c r="L28" i="15"/>
  <c r="I28" i="15"/>
  <c r="AP25" i="15"/>
  <c r="AM25" i="15"/>
  <c r="AJ25" i="15"/>
  <c r="AG25" i="15"/>
  <c r="AD25" i="15"/>
  <c r="AA25" i="15"/>
  <c r="X25" i="15"/>
  <c r="U25" i="15"/>
  <c r="R25" i="15"/>
  <c r="O25" i="15"/>
  <c r="L25" i="15"/>
  <c r="I25" i="15"/>
  <c r="AP24" i="15"/>
  <c r="AM24" i="15"/>
  <c r="AJ24" i="15"/>
  <c r="AG24" i="15"/>
  <c r="AD24" i="15"/>
  <c r="AA24" i="15"/>
  <c r="X24" i="15"/>
  <c r="U24" i="15"/>
  <c r="R24" i="15"/>
  <c r="O24" i="15"/>
  <c r="L24" i="15"/>
  <c r="I24" i="15"/>
  <c r="AP22" i="15"/>
  <c r="AM22" i="15"/>
  <c r="AJ22" i="15"/>
  <c r="AG22" i="15"/>
  <c r="AD22" i="15"/>
  <c r="AA22" i="15"/>
  <c r="X22" i="15"/>
  <c r="U22" i="15"/>
  <c r="R22" i="15"/>
  <c r="O22" i="15"/>
  <c r="L22" i="15"/>
  <c r="I22" i="15"/>
  <c r="AP21" i="15"/>
  <c r="AM21" i="15"/>
  <c r="AJ21" i="15"/>
  <c r="AG21" i="15"/>
  <c r="AD21" i="15"/>
  <c r="AA21" i="15"/>
  <c r="X21" i="15"/>
  <c r="U21" i="15"/>
  <c r="R21" i="15"/>
  <c r="O21" i="15"/>
  <c r="L21" i="15"/>
  <c r="I21" i="15"/>
  <c r="AP19" i="15"/>
  <c r="AM19" i="15"/>
  <c r="AJ19" i="15"/>
  <c r="AG19" i="15"/>
  <c r="AD19" i="15"/>
  <c r="AA19" i="15"/>
  <c r="X19" i="15"/>
  <c r="U19" i="15"/>
  <c r="R19" i="15"/>
  <c r="O19" i="15"/>
  <c r="L19" i="15"/>
  <c r="I19" i="15"/>
  <c r="AP18" i="15"/>
  <c r="AM18" i="15"/>
  <c r="AJ18" i="15"/>
  <c r="AG18" i="15"/>
  <c r="AD18" i="15"/>
  <c r="AA18" i="15"/>
  <c r="X18" i="15"/>
  <c r="U18" i="15"/>
  <c r="R18" i="15"/>
  <c r="O18" i="15"/>
  <c r="L18" i="15"/>
  <c r="I18" i="15"/>
  <c r="AP15" i="15"/>
  <c r="AM15" i="15"/>
  <c r="AJ15" i="15"/>
  <c r="AG15" i="15"/>
  <c r="AD15" i="15"/>
  <c r="AA15" i="15"/>
  <c r="X15" i="15"/>
  <c r="U15" i="15"/>
  <c r="R15" i="15"/>
  <c r="O15" i="15"/>
  <c r="L15" i="15"/>
  <c r="I15" i="15"/>
  <c r="AP14" i="15"/>
  <c r="AM14" i="15"/>
  <c r="AJ14" i="15"/>
  <c r="AG14" i="15"/>
  <c r="AD14" i="15"/>
  <c r="AA14" i="15"/>
  <c r="X14" i="15"/>
  <c r="U14" i="15"/>
  <c r="R14" i="15"/>
  <c r="O14" i="15"/>
  <c r="L14" i="15"/>
  <c r="I14" i="15"/>
  <c r="AP12" i="15"/>
  <c r="AM12" i="15"/>
  <c r="AJ12" i="15"/>
  <c r="AG12" i="15"/>
  <c r="AD12" i="15"/>
  <c r="AA12" i="15"/>
  <c r="X12" i="15"/>
  <c r="U12" i="15"/>
  <c r="R12" i="15"/>
  <c r="O12" i="15"/>
  <c r="L12" i="15"/>
  <c r="I12" i="15"/>
  <c r="AP11" i="15"/>
  <c r="AM11" i="15"/>
  <c r="AJ11" i="15"/>
  <c r="AG11" i="15"/>
  <c r="AD11" i="15"/>
  <c r="AA11" i="15"/>
  <c r="X11" i="15"/>
  <c r="U11" i="15"/>
  <c r="R11" i="15"/>
  <c r="O11" i="15"/>
  <c r="L11" i="15"/>
  <c r="I11" i="15"/>
  <c r="AP9" i="15"/>
  <c r="AM9" i="15"/>
  <c r="AJ9" i="15"/>
  <c r="AG9" i="15"/>
  <c r="AD9" i="15"/>
  <c r="AA9" i="15"/>
  <c r="X9" i="15"/>
  <c r="U9" i="15"/>
  <c r="R9" i="15"/>
  <c r="O9" i="15"/>
  <c r="L9" i="15"/>
  <c r="I9" i="15"/>
  <c r="AP7" i="15"/>
  <c r="AM7" i="15"/>
  <c r="AJ7" i="15"/>
  <c r="AG7" i="15"/>
  <c r="AD7" i="15"/>
  <c r="AA7" i="15"/>
  <c r="X7" i="15"/>
  <c r="U7" i="15"/>
  <c r="R7" i="15"/>
  <c r="O7" i="15"/>
  <c r="L7" i="15"/>
  <c r="I7" i="15"/>
  <c r="AP6" i="15"/>
  <c r="AM6" i="15"/>
  <c r="AJ6" i="15"/>
  <c r="AG6" i="15"/>
  <c r="AD6" i="15"/>
  <c r="AA6" i="15"/>
  <c r="X6" i="15"/>
  <c r="U6" i="15"/>
  <c r="R6" i="15"/>
  <c r="O6" i="15"/>
  <c r="L6" i="15"/>
  <c r="I6" i="15"/>
  <c r="CU43" i="6" l="1"/>
  <c r="CT43" i="6"/>
  <c r="CS43" i="6"/>
  <c r="CM43" i="6"/>
  <c r="CL43" i="6"/>
  <c r="CK43" i="6"/>
  <c r="CE43" i="6"/>
  <c r="CD43" i="6"/>
  <c r="CC43" i="6"/>
  <c r="BW43" i="6"/>
  <c r="BV43" i="6"/>
  <c r="BU43" i="6"/>
  <c r="BO43" i="6"/>
  <c r="BN43" i="6"/>
  <c r="BM43" i="6"/>
  <c r="BG43" i="6"/>
  <c r="BF43" i="6"/>
  <c r="BE43" i="6"/>
  <c r="AY43" i="6"/>
  <c r="AX43" i="6"/>
  <c r="AW43" i="6"/>
  <c r="AQ43" i="6"/>
  <c r="AP43" i="6"/>
  <c r="AO43" i="6"/>
  <c r="AI43" i="6"/>
  <c r="AH43" i="6"/>
  <c r="AG43" i="6"/>
  <c r="AA43" i="6"/>
  <c r="Z43" i="6"/>
  <c r="Y43" i="6"/>
  <c r="S43" i="6"/>
  <c r="R43" i="6"/>
  <c r="Q43" i="6"/>
  <c r="K43" i="6"/>
  <c r="J43" i="6"/>
  <c r="I43" i="6"/>
  <c r="CU42" i="6"/>
  <c r="CT42" i="6"/>
  <c r="CS42" i="6"/>
  <c r="CM42" i="6"/>
  <c r="CL42" i="6"/>
  <c r="CK42" i="6"/>
  <c r="CE42" i="6"/>
  <c r="CD42" i="6"/>
  <c r="CC42" i="6"/>
  <c r="BW42" i="6"/>
  <c r="BV42" i="6"/>
  <c r="BU42" i="6"/>
  <c r="BO42" i="6"/>
  <c r="BN42" i="6"/>
  <c r="BM42" i="6"/>
  <c r="BG42" i="6"/>
  <c r="BF42" i="6"/>
  <c r="BE42" i="6"/>
  <c r="AY42" i="6"/>
  <c r="AX42" i="6"/>
  <c r="AW42" i="6"/>
  <c r="AQ42" i="6"/>
  <c r="AP42" i="6"/>
  <c r="AO42" i="6"/>
  <c r="AI42" i="6"/>
  <c r="AH42" i="6"/>
  <c r="AG42" i="6"/>
  <c r="AA42" i="6"/>
  <c r="Z42" i="6"/>
  <c r="Y42" i="6"/>
  <c r="S42" i="6"/>
  <c r="R42" i="6"/>
  <c r="Q42" i="6"/>
  <c r="K42" i="6"/>
  <c r="J42" i="6"/>
  <c r="I42" i="6"/>
  <c r="CU39" i="6"/>
  <c r="CT39" i="6"/>
  <c r="CS39" i="6"/>
  <c r="CM39" i="6"/>
  <c r="CL39" i="6"/>
  <c r="CK39" i="6"/>
  <c r="CE39" i="6"/>
  <c r="CD39" i="6"/>
  <c r="CC39" i="6"/>
  <c r="BW39" i="6"/>
  <c r="BV39" i="6"/>
  <c r="BU39" i="6"/>
  <c r="BO39" i="6"/>
  <c r="BN39" i="6"/>
  <c r="BM39" i="6"/>
  <c r="BG39" i="6"/>
  <c r="BF39" i="6"/>
  <c r="BE39" i="6"/>
  <c r="AY39" i="6"/>
  <c r="AX39" i="6"/>
  <c r="AW39" i="6"/>
  <c r="AQ39" i="6"/>
  <c r="AP39" i="6"/>
  <c r="AO39" i="6"/>
  <c r="AI39" i="6"/>
  <c r="AH39" i="6"/>
  <c r="AG39" i="6"/>
  <c r="AA39" i="6"/>
  <c r="Z39" i="6"/>
  <c r="Y39" i="6"/>
  <c r="S39" i="6"/>
  <c r="R39" i="6"/>
  <c r="Q39" i="6"/>
  <c r="K39" i="6"/>
  <c r="J39" i="6"/>
  <c r="I39" i="6"/>
  <c r="CU38" i="6"/>
  <c r="CT38" i="6"/>
  <c r="CS38" i="6"/>
  <c r="CM38" i="6"/>
  <c r="CL38" i="6"/>
  <c r="CK38" i="6"/>
  <c r="CE38" i="6"/>
  <c r="CD38" i="6"/>
  <c r="CC38" i="6"/>
  <c r="BW38" i="6"/>
  <c r="BV38" i="6"/>
  <c r="BU38" i="6"/>
  <c r="BO38" i="6"/>
  <c r="BN38" i="6"/>
  <c r="BM38" i="6"/>
  <c r="BG38" i="6"/>
  <c r="BF38" i="6"/>
  <c r="BE38" i="6"/>
  <c r="AY38" i="6"/>
  <c r="AX38" i="6"/>
  <c r="AW38" i="6"/>
  <c r="AQ38" i="6"/>
  <c r="AP38" i="6"/>
  <c r="AO38" i="6"/>
  <c r="AI38" i="6"/>
  <c r="AH38" i="6"/>
  <c r="AG38" i="6"/>
  <c r="AA38" i="6"/>
  <c r="Z38" i="6"/>
  <c r="Y38" i="6"/>
  <c r="S38" i="6"/>
  <c r="R38" i="6"/>
  <c r="Q38" i="6"/>
  <c r="K38" i="6"/>
  <c r="J38" i="6"/>
  <c r="I38" i="6"/>
  <c r="CU36" i="6"/>
  <c r="CT36" i="6"/>
  <c r="CS36" i="6"/>
  <c r="CM36" i="6"/>
  <c r="CL36" i="6"/>
  <c r="CK36" i="6"/>
  <c r="CE36" i="6"/>
  <c r="CD36" i="6"/>
  <c r="CC36" i="6"/>
  <c r="BW36" i="6"/>
  <c r="BV36" i="6"/>
  <c r="BU36" i="6"/>
  <c r="BO36" i="6"/>
  <c r="BN36" i="6"/>
  <c r="BM36" i="6"/>
  <c r="BG36" i="6"/>
  <c r="BF36" i="6"/>
  <c r="BE36" i="6"/>
  <c r="AY36" i="6"/>
  <c r="AX36" i="6"/>
  <c r="AW36" i="6"/>
  <c r="AQ36" i="6"/>
  <c r="AP36" i="6"/>
  <c r="AO36" i="6"/>
  <c r="AI36" i="6"/>
  <c r="AH36" i="6"/>
  <c r="AG36" i="6"/>
  <c r="AA36" i="6"/>
  <c r="Z36" i="6"/>
  <c r="Y36" i="6"/>
  <c r="S36" i="6"/>
  <c r="R36" i="6"/>
  <c r="Q36" i="6"/>
  <c r="K36" i="6"/>
  <c r="J36" i="6"/>
  <c r="I36" i="6"/>
  <c r="CU35" i="6"/>
  <c r="CT35" i="6"/>
  <c r="CS35" i="6"/>
  <c r="CM35" i="6"/>
  <c r="CL35" i="6"/>
  <c r="CK35" i="6"/>
  <c r="CE35" i="6"/>
  <c r="CD35" i="6"/>
  <c r="CC35" i="6"/>
  <c r="BW35" i="6"/>
  <c r="BV35" i="6"/>
  <c r="BU35" i="6"/>
  <c r="BO35" i="6"/>
  <c r="BN35" i="6"/>
  <c r="BM35" i="6"/>
  <c r="BG35" i="6"/>
  <c r="BF35" i="6"/>
  <c r="BE35" i="6"/>
  <c r="AY35" i="6"/>
  <c r="AX35" i="6"/>
  <c r="AW35" i="6"/>
  <c r="AQ35" i="6"/>
  <c r="AP35" i="6"/>
  <c r="AO35" i="6"/>
  <c r="AI35" i="6"/>
  <c r="AH35" i="6"/>
  <c r="AG35" i="6"/>
  <c r="AA35" i="6"/>
  <c r="Z35" i="6"/>
  <c r="Y35" i="6"/>
  <c r="S35" i="6"/>
  <c r="R35" i="6"/>
  <c r="Q35" i="6"/>
  <c r="K35" i="6"/>
  <c r="J35" i="6"/>
  <c r="I35" i="6"/>
  <c r="CU33" i="6"/>
  <c r="CT33" i="6"/>
  <c r="CS33" i="6"/>
  <c r="CM33" i="6"/>
  <c r="CL33" i="6"/>
  <c r="CK33" i="6"/>
  <c r="CE33" i="6"/>
  <c r="CD33" i="6"/>
  <c r="CC33" i="6"/>
  <c r="BW33" i="6"/>
  <c r="BV33" i="6"/>
  <c r="BU33" i="6"/>
  <c r="BO33" i="6"/>
  <c r="BN33" i="6"/>
  <c r="BM33" i="6"/>
  <c r="BG33" i="6"/>
  <c r="BF33" i="6"/>
  <c r="BE33" i="6"/>
  <c r="AY33" i="6"/>
  <c r="AX33" i="6"/>
  <c r="AW33" i="6"/>
  <c r="AQ33" i="6"/>
  <c r="AP33" i="6"/>
  <c r="AO33" i="6"/>
  <c r="AI33" i="6"/>
  <c r="AH33" i="6"/>
  <c r="AG33" i="6"/>
  <c r="AA33" i="6"/>
  <c r="Z33" i="6"/>
  <c r="Y33" i="6"/>
  <c r="S33" i="6"/>
  <c r="R33" i="6"/>
  <c r="Q33" i="6"/>
  <c r="K33" i="6"/>
  <c r="J33" i="6"/>
  <c r="I33" i="6"/>
  <c r="CU32" i="6"/>
  <c r="CT32" i="6"/>
  <c r="CS32" i="6"/>
  <c r="CM32" i="6"/>
  <c r="CL32" i="6"/>
  <c r="CK32" i="6"/>
  <c r="CE32" i="6"/>
  <c r="CD32" i="6"/>
  <c r="CC32" i="6"/>
  <c r="BW32" i="6"/>
  <c r="BV32" i="6"/>
  <c r="BU32" i="6"/>
  <c r="BO32" i="6"/>
  <c r="BN32" i="6"/>
  <c r="BM32" i="6"/>
  <c r="BG32" i="6"/>
  <c r="BF32" i="6"/>
  <c r="BE32" i="6"/>
  <c r="AY32" i="6"/>
  <c r="AX32" i="6"/>
  <c r="AW32" i="6"/>
  <c r="AQ32" i="6"/>
  <c r="AP32" i="6"/>
  <c r="AO32" i="6"/>
  <c r="AI32" i="6"/>
  <c r="AH32" i="6"/>
  <c r="AG32" i="6"/>
  <c r="AA32" i="6"/>
  <c r="Z32" i="6"/>
  <c r="Y32" i="6"/>
  <c r="S32" i="6"/>
  <c r="R32" i="6"/>
  <c r="Q32" i="6"/>
  <c r="K32" i="6"/>
  <c r="J32" i="6"/>
  <c r="I32" i="6"/>
  <c r="CU29" i="6"/>
  <c r="CT29" i="6"/>
  <c r="CS29" i="6"/>
  <c r="CM29" i="6"/>
  <c r="CL29" i="6"/>
  <c r="CK29" i="6"/>
  <c r="CE29" i="6"/>
  <c r="CD29" i="6"/>
  <c r="CC29" i="6"/>
  <c r="BW29" i="6"/>
  <c r="BV29" i="6"/>
  <c r="BU29" i="6"/>
  <c r="BO29" i="6"/>
  <c r="BN29" i="6"/>
  <c r="BM29" i="6"/>
  <c r="BG29" i="6"/>
  <c r="BF29" i="6"/>
  <c r="BE29" i="6"/>
  <c r="AY29" i="6"/>
  <c r="AX29" i="6"/>
  <c r="AW29" i="6"/>
  <c r="AQ29" i="6"/>
  <c r="AP29" i="6"/>
  <c r="AO29" i="6"/>
  <c r="AI29" i="6"/>
  <c r="AH29" i="6"/>
  <c r="AG29" i="6"/>
  <c r="AA29" i="6"/>
  <c r="Z29" i="6"/>
  <c r="Y29" i="6"/>
  <c r="S29" i="6"/>
  <c r="R29" i="6"/>
  <c r="Q29" i="6"/>
  <c r="K29" i="6"/>
  <c r="J29" i="6"/>
  <c r="I29" i="6"/>
  <c r="CU28" i="6"/>
  <c r="CT28" i="6"/>
  <c r="CS28" i="6"/>
  <c r="CM28" i="6"/>
  <c r="CL28" i="6"/>
  <c r="CK28" i="6"/>
  <c r="CE28" i="6"/>
  <c r="CD28" i="6"/>
  <c r="CC28" i="6"/>
  <c r="BW28" i="6"/>
  <c r="BV28" i="6"/>
  <c r="BU28" i="6"/>
  <c r="BO28" i="6"/>
  <c r="BN28" i="6"/>
  <c r="BM28" i="6"/>
  <c r="BG28" i="6"/>
  <c r="BF28" i="6"/>
  <c r="BE28" i="6"/>
  <c r="AY28" i="6"/>
  <c r="AX28" i="6"/>
  <c r="AW28" i="6"/>
  <c r="AQ28" i="6"/>
  <c r="AP28" i="6"/>
  <c r="AO28" i="6"/>
  <c r="AI28" i="6"/>
  <c r="AH28" i="6"/>
  <c r="AG28" i="6"/>
  <c r="AA28" i="6"/>
  <c r="Z28" i="6"/>
  <c r="Y28" i="6"/>
  <c r="S28" i="6"/>
  <c r="R28" i="6"/>
  <c r="Q28" i="6"/>
  <c r="K28" i="6"/>
  <c r="J28" i="6"/>
  <c r="I28" i="6"/>
  <c r="CU25" i="6"/>
  <c r="CT25" i="6"/>
  <c r="CS25" i="6"/>
  <c r="CM25" i="6"/>
  <c r="CL25" i="6"/>
  <c r="CK25" i="6"/>
  <c r="CE25" i="6"/>
  <c r="CD25" i="6"/>
  <c r="CC25" i="6"/>
  <c r="BW25" i="6"/>
  <c r="BV25" i="6"/>
  <c r="BU25" i="6"/>
  <c r="BO25" i="6"/>
  <c r="BN25" i="6"/>
  <c r="BM25" i="6"/>
  <c r="BG25" i="6"/>
  <c r="BF25" i="6"/>
  <c r="BE25" i="6"/>
  <c r="AY25" i="6"/>
  <c r="AX25" i="6"/>
  <c r="AW25" i="6"/>
  <c r="AQ25" i="6"/>
  <c r="AP25" i="6"/>
  <c r="AO25" i="6"/>
  <c r="AI25" i="6"/>
  <c r="AH25" i="6"/>
  <c r="AG25" i="6"/>
  <c r="AA25" i="6"/>
  <c r="Z25" i="6"/>
  <c r="Y25" i="6"/>
  <c r="S25" i="6"/>
  <c r="R25" i="6"/>
  <c r="Q25" i="6"/>
  <c r="K25" i="6"/>
  <c r="J25" i="6"/>
  <c r="I25" i="6"/>
  <c r="CU24" i="6"/>
  <c r="CT24" i="6"/>
  <c r="CS24" i="6"/>
  <c r="CM24" i="6"/>
  <c r="CL24" i="6"/>
  <c r="CK24" i="6"/>
  <c r="CE24" i="6"/>
  <c r="CD24" i="6"/>
  <c r="CC24" i="6"/>
  <c r="BW24" i="6"/>
  <c r="BV24" i="6"/>
  <c r="BU24" i="6"/>
  <c r="BO24" i="6"/>
  <c r="BN24" i="6"/>
  <c r="BM24" i="6"/>
  <c r="BG24" i="6"/>
  <c r="BF24" i="6"/>
  <c r="BE24" i="6"/>
  <c r="AY24" i="6"/>
  <c r="AX24" i="6"/>
  <c r="AW24" i="6"/>
  <c r="AQ24" i="6"/>
  <c r="AP24" i="6"/>
  <c r="AO24" i="6"/>
  <c r="AI24" i="6"/>
  <c r="AH24" i="6"/>
  <c r="AG24" i="6"/>
  <c r="AA24" i="6"/>
  <c r="Z24" i="6"/>
  <c r="Y24" i="6"/>
  <c r="S24" i="6"/>
  <c r="R24" i="6"/>
  <c r="Q24" i="6"/>
  <c r="K24" i="6"/>
  <c r="J24" i="6"/>
  <c r="I24" i="6"/>
  <c r="CU22" i="6"/>
  <c r="CT22" i="6"/>
  <c r="CS22" i="6"/>
  <c r="CM22" i="6"/>
  <c r="CL22" i="6"/>
  <c r="CK22" i="6"/>
  <c r="CE22" i="6"/>
  <c r="CD22" i="6"/>
  <c r="CC22" i="6"/>
  <c r="BW22" i="6"/>
  <c r="BV22" i="6"/>
  <c r="BU22" i="6"/>
  <c r="BO22" i="6"/>
  <c r="BN22" i="6"/>
  <c r="BM22" i="6"/>
  <c r="BG22" i="6"/>
  <c r="BF22" i="6"/>
  <c r="BE22" i="6"/>
  <c r="AY22" i="6"/>
  <c r="AX22" i="6"/>
  <c r="AW22" i="6"/>
  <c r="AQ22" i="6"/>
  <c r="AP22" i="6"/>
  <c r="AO22" i="6"/>
  <c r="AI22" i="6"/>
  <c r="AH22" i="6"/>
  <c r="AG22" i="6"/>
  <c r="AA22" i="6"/>
  <c r="Z22" i="6"/>
  <c r="Y22" i="6"/>
  <c r="S22" i="6"/>
  <c r="R22" i="6"/>
  <c r="Q22" i="6"/>
  <c r="K22" i="6"/>
  <c r="J22" i="6"/>
  <c r="I22" i="6"/>
  <c r="CU21" i="6"/>
  <c r="CT21" i="6"/>
  <c r="CS21" i="6"/>
  <c r="CM21" i="6"/>
  <c r="CL21" i="6"/>
  <c r="CK21" i="6"/>
  <c r="CE21" i="6"/>
  <c r="CD21" i="6"/>
  <c r="CC21" i="6"/>
  <c r="BW21" i="6"/>
  <c r="BV21" i="6"/>
  <c r="BU21" i="6"/>
  <c r="BO21" i="6"/>
  <c r="BN21" i="6"/>
  <c r="BM21" i="6"/>
  <c r="BG21" i="6"/>
  <c r="BF21" i="6"/>
  <c r="BE21" i="6"/>
  <c r="AY21" i="6"/>
  <c r="AX21" i="6"/>
  <c r="AW21" i="6"/>
  <c r="AQ21" i="6"/>
  <c r="AP21" i="6"/>
  <c r="AO21" i="6"/>
  <c r="AI21" i="6"/>
  <c r="AH21" i="6"/>
  <c r="AG21" i="6"/>
  <c r="AA21" i="6"/>
  <c r="Z21" i="6"/>
  <c r="Y21" i="6"/>
  <c r="S21" i="6"/>
  <c r="R21" i="6"/>
  <c r="Q21" i="6"/>
  <c r="K21" i="6"/>
  <c r="J21" i="6"/>
  <c r="I21" i="6"/>
  <c r="CU19" i="6"/>
  <c r="CT19" i="6"/>
  <c r="CS19" i="6"/>
  <c r="CM19" i="6"/>
  <c r="CL19" i="6"/>
  <c r="CK19" i="6"/>
  <c r="CE19" i="6"/>
  <c r="CD19" i="6"/>
  <c r="CC19" i="6"/>
  <c r="BW19" i="6"/>
  <c r="BV19" i="6"/>
  <c r="BU19" i="6"/>
  <c r="BO19" i="6"/>
  <c r="BN19" i="6"/>
  <c r="BM19" i="6"/>
  <c r="BG19" i="6"/>
  <c r="BF19" i="6"/>
  <c r="BE19" i="6"/>
  <c r="AY19" i="6"/>
  <c r="AX19" i="6"/>
  <c r="AW19" i="6"/>
  <c r="AQ19" i="6"/>
  <c r="AP19" i="6"/>
  <c r="AO19" i="6"/>
  <c r="AI19" i="6"/>
  <c r="AH19" i="6"/>
  <c r="AG19" i="6"/>
  <c r="AA19" i="6"/>
  <c r="Z19" i="6"/>
  <c r="Y19" i="6"/>
  <c r="S19" i="6"/>
  <c r="R19" i="6"/>
  <c r="Q19" i="6"/>
  <c r="K19" i="6"/>
  <c r="J19" i="6"/>
  <c r="I19" i="6"/>
  <c r="CU18" i="6"/>
  <c r="CT18" i="6"/>
  <c r="CS18" i="6"/>
  <c r="CM18" i="6"/>
  <c r="CL18" i="6"/>
  <c r="CK18" i="6"/>
  <c r="CE18" i="6"/>
  <c r="CD18" i="6"/>
  <c r="CC18" i="6"/>
  <c r="BW18" i="6"/>
  <c r="BV18" i="6"/>
  <c r="BU18" i="6"/>
  <c r="BO18" i="6"/>
  <c r="BN18" i="6"/>
  <c r="BM18" i="6"/>
  <c r="BG18" i="6"/>
  <c r="BF18" i="6"/>
  <c r="BE18" i="6"/>
  <c r="AY18" i="6"/>
  <c r="AX18" i="6"/>
  <c r="AW18" i="6"/>
  <c r="AQ18" i="6"/>
  <c r="AP18" i="6"/>
  <c r="AO18" i="6"/>
  <c r="AI18" i="6"/>
  <c r="AH18" i="6"/>
  <c r="AG18" i="6"/>
  <c r="AA18" i="6"/>
  <c r="Z18" i="6"/>
  <c r="Y18" i="6"/>
  <c r="S18" i="6"/>
  <c r="R18" i="6"/>
  <c r="Q18" i="6"/>
  <c r="K18" i="6"/>
  <c r="J18" i="6"/>
  <c r="I18" i="6"/>
  <c r="CU15" i="6"/>
  <c r="CT15" i="6"/>
  <c r="CS15" i="6"/>
  <c r="CM15" i="6"/>
  <c r="CL15" i="6"/>
  <c r="CK15" i="6"/>
  <c r="CE15" i="6"/>
  <c r="CD15" i="6"/>
  <c r="CC15" i="6"/>
  <c r="BW15" i="6"/>
  <c r="BV15" i="6"/>
  <c r="BU15" i="6"/>
  <c r="BO15" i="6"/>
  <c r="BN15" i="6"/>
  <c r="BM15" i="6"/>
  <c r="BG15" i="6"/>
  <c r="BF15" i="6"/>
  <c r="BE15" i="6"/>
  <c r="AY15" i="6"/>
  <c r="AX15" i="6"/>
  <c r="AW15" i="6"/>
  <c r="AQ15" i="6"/>
  <c r="AP15" i="6"/>
  <c r="AO15" i="6"/>
  <c r="AI15" i="6"/>
  <c r="AH15" i="6"/>
  <c r="AG15" i="6"/>
  <c r="AA15" i="6"/>
  <c r="Z15" i="6"/>
  <c r="Y15" i="6"/>
  <c r="S15" i="6"/>
  <c r="R15" i="6"/>
  <c r="Q15" i="6"/>
  <c r="K15" i="6"/>
  <c r="J15" i="6"/>
  <c r="I15" i="6"/>
  <c r="CU14" i="6"/>
  <c r="CT14" i="6"/>
  <c r="CS14" i="6"/>
  <c r="CM14" i="6"/>
  <c r="CL14" i="6"/>
  <c r="CK14" i="6"/>
  <c r="CE14" i="6"/>
  <c r="CD14" i="6"/>
  <c r="CC14" i="6"/>
  <c r="BW14" i="6"/>
  <c r="BV14" i="6"/>
  <c r="BU14" i="6"/>
  <c r="BO14" i="6"/>
  <c r="BN14" i="6"/>
  <c r="BM14" i="6"/>
  <c r="BG14" i="6"/>
  <c r="BF14" i="6"/>
  <c r="BE14" i="6"/>
  <c r="AY14" i="6"/>
  <c r="AX14" i="6"/>
  <c r="AW14" i="6"/>
  <c r="AQ14" i="6"/>
  <c r="AP14" i="6"/>
  <c r="AO14" i="6"/>
  <c r="AI14" i="6"/>
  <c r="AH14" i="6"/>
  <c r="AG14" i="6"/>
  <c r="AA14" i="6"/>
  <c r="Z14" i="6"/>
  <c r="Y14" i="6"/>
  <c r="S14" i="6"/>
  <c r="R14" i="6"/>
  <c r="Q14" i="6"/>
  <c r="K14" i="6"/>
  <c r="J14" i="6"/>
  <c r="I14" i="6"/>
  <c r="CU12" i="6"/>
  <c r="CT12" i="6"/>
  <c r="CS12" i="6"/>
  <c r="CM12" i="6"/>
  <c r="CL12" i="6"/>
  <c r="CK12" i="6"/>
  <c r="CE12" i="6"/>
  <c r="CD12" i="6"/>
  <c r="CC12" i="6"/>
  <c r="BW12" i="6"/>
  <c r="BV12" i="6"/>
  <c r="BU12" i="6"/>
  <c r="BO12" i="6"/>
  <c r="BN12" i="6"/>
  <c r="BM12" i="6"/>
  <c r="BG12" i="6"/>
  <c r="BF12" i="6"/>
  <c r="BE12" i="6"/>
  <c r="AY12" i="6"/>
  <c r="AX12" i="6"/>
  <c r="AW12" i="6"/>
  <c r="AQ12" i="6"/>
  <c r="AP12" i="6"/>
  <c r="AO12" i="6"/>
  <c r="AI12" i="6"/>
  <c r="AH12" i="6"/>
  <c r="AG12" i="6"/>
  <c r="AA12" i="6"/>
  <c r="Z12" i="6"/>
  <c r="Y12" i="6"/>
  <c r="S12" i="6"/>
  <c r="R12" i="6"/>
  <c r="Q12" i="6"/>
  <c r="K12" i="6"/>
  <c r="J12" i="6"/>
  <c r="I12" i="6"/>
  <c r="CU11" i="6"/>
  <c r="CT11" i="6"/>
  <c r="CS11" i="6"/>
  <c r="CM11" i="6"/>
  <c r="CL11" i="6"/>
  <c r="CK11" i="6"/>
  <c r="CE11" i="6"/>
  <c r="CD11" i="6"/>
  <c r="CC11" i="6"/>
  <c r="BW11" i="6"/>
  <c r="BV11" i="6"/>
  <c r="BU11" i="6"/>
  <c r="BO11" i="6"/>
  <c r="BN11" i="6"/>
  <c r="BM11" i="6"/>
  <c r="BG11" i="6"/>
  <c r="BF11" i="6"/>
  <c r="BE11" i="6"/>
  <c r="AY11" i="6"/>
  <c r="AX11" i="6"/>
  <c r="AW11" i="6"/>
  <c r="AQ11" i="6"/>
  <c r="AP11" i="6"/>
  <c r="AO11" i="6"/>
  <c r="AI11" i="6"/>
  <c r="AH11" i="6"/>
  <c r="AG11" i="6"/>
  <c r="AA11" i="6"/>
  <c r="Z11" i="6"/>
  <c r="Y11" i="6"/>
  <c r="S11" i="6"/>
  <c r="R11" i="6"/>
  <c r="Q11" i="6"/>
  <c r="K11" i="6"/>
  <c r="J11" i="6"/>
  <c r="I11" i="6"/>
  <c r="CU9" i="6"/>
  <c r="CT9" i="6"/>
  <c r="CS9" i="6"/>
  <c r="CM9" i="6"/>
  <c r="CL9" i="6"/>
  <c r="CK9" i="6"/>
  <c r="CE9" i="6"/>
  <c r="CD9" i="6"/>
  <c r="CC9" i="6"/>
  <c r="BW9" i="6"/>
  <c r="BV9" i="6"/>
  <c r="BU9" i="6"/>
  <c r="BO9" i="6"/>
  <c r="BN9" i="6"/>
  <c r="BM9" i="6"/>
  <c r="BG9" i="6"/>
  <c r="BF9" i="6"/>
  <c r="BE9" i="6"/>
  <c r="AY9" i="6"/>
  <c r="AX9" i="6"/>
  <c r="AW9" i="6"/>
  <c r="AQ9" i="6"/>
  <c r="AP9" i="6"/>
  <c r="AO9" i="6"/>
  <c r="AI9" i="6"/>
  <c r="AH9" i="6"/>
  <c r="AG9" i="6"/>
  <c r="AA9" i="6"/>
  <c r="Z9" i="6"/>
  <c r="Y9" i="6"/>
  <c r="S9" i="6"/>
  <c r="R9" i="6"/>
  <c r="Q9" i="6"/>
  <c r="K9" i="6"/>
  <c r="J9" i="6"/>
  <c r="I9" i="6"/>
  <c r="CU7" i="6"/>
  <c r="CT7" i="6"/>
  <c r="CS7" i="6"/>
  <c r="CM7" i="6"/>
  <c r="CL7" i="6"/>
  <c r="CK7" i="6"/>
  <c r="CE7" i="6"/>
  <c r="CD7" i="6"/>
  <c r="CC7" i="6"/>
  <c r="BW7" i="6"/>
  <c r="BV7" i="6"/>
  <c r="BU7" i="6"/>
  <c r="BO7" i="6"/>
  <c r="BN7" i="6"/>
  <c r="BM7" i="6"/>
  <c r="BG7" i="6"/>
  <c r="BF7" i="6"/>
  <c r="BE7" i="6"/>
  <c r="AY7" i="6"/>
  <c r="AX7" i="6"/>
  <c r="AW7" i="6"/>
  <c r="AQ7" i="6"/>
  <c r="AP7" i="6"/>
  <c r="AO7" i="6"/>
  <c r="AI7" i="6"/>
  <c r="AH7" i="6"/>
  <c r="AG7" i="6"/>
  <c r="AA7" i="6"/>
  <c r="Z7" i="6"/>
  <c r="Y7" i="6"/>
  <c r="S7" i="6"/>
  <c r="R7" i="6"/>
  <c r="Q7" i="6"/>
  <c r="K7" i="6"/>
  <c r="J7" i="6"/>
  <c r="I7" i="6"/>
  <c r="CU6" i="6"/>
  <c r="CT6" i="6"/>
  <c r="CS6" i="6"/>
  <c r="CM6" i="6"/>
  <c r="CL6" i="6"/>
  <c r="CK6" i="6"/>
  <c r="CE6" i="6"/>
  <c r="CD6" i="6"/>
  <c r="CC6" i="6"/>
  <c r="BW6" i="6"/>
  <c r="BV6" i="6"/>
  <c r="BU6" i="6"/>
  <c r="BO6" i="6"/>
  <c r="BN6" i="6"/>
  <c r="BM6" i="6"/>
  <c r="BG6" i="6"/>
  <c r="BF6" i="6"/>
  <c r="BE6" i="6"/>
  <c r="AY6" i="6"/>
  <c r="AX6" i="6"/>
  <c r="AW6" i="6"/>
  <c r="AQ6" i="6"/>
  <c r="AP6" i="6"/>
  <c r="AO6" i="6"/>
  <c r="AI6" i="6"/>
  <c r="AH6" i="6"/>
  <c r="AG6" i="6"/>
  <c r="AA6" i="6"/>
  <c r="Z6" i="6"/>
  <c r="Y6" i="6"/>
  <c r="S6" i="6"/>
  <c r="R6" i="6"/>
  <c r="Q6" i="6"/>
  <c r="K6" i="6"/>
  <c r="J6" i="6"/>
  <c r="I6" i="6"/>
  <c r="CK44" i="6"/>
  <c r="CK45" i="6" l="1"/>
  <c r="CL44" i="6"/>
  <c r="CL45" i="6" s="1"/>
  <c r="CM44" i="6"/>
  <c r="CQ44" i="6" s="1"/>
  <c r="CE44" i="6"/>
  <c r="CE45" i="6" s="1"/>
  <c r="CC44" i="6"/>
  <c r="CC45" i="6" s="1"/>
  <c r="CD44" i="6"/>
  <c r="CD45" i="6" s="1"/>
  <c r="CY43" i="6"/>
  <c r="X10" i="15"/>
  <c r="P16" i="15"/>
  <c r="AM16" i="15"/>
  <c r="AA10" i="15"/>
  <c r="AP10" i="15"/>
  <c r="L13" i="15"/>
  <c r="AP20" i="15"/>
  <c r="V26" i="15"/>
  <c r="L44" i="15"/>
  <c r="L45" i="15" s="1"/>
  <c r="V10" i="15"/>
  <c r="AB13" i="15"/>
  <c r="AB10" i="15"/>
  <c r="AK10" i="15"/>
  <c r="AM13" i="15"/>
  <c r="X16" i="15"/>
  <c r="S10" i="15"/>
  <c r="AN10" i="15"/>
  <c r="R13" i="15"/>
  <c r="AA23" i="15"/>
  <c r="AJ26" i="15"/>
  <c r="R20" i="15"/>
  <c r="R26" i="15"/>
  <c r="V34" i="15"/>
  <c r="P44" i="15"/>
  <c r="P45" i="15" s="1"/>
  <c r="AN44" i="15"/>
  <c r="AN45" i="15" s="1"/>
  <c r="V37" i="15"/>
  <c r="L37" i="15"/>
  <c r="Y37" i="15"/>
  <c r="R10" i="15"/>
  <c r="M10" i="15"/>
  <c r="I10" i="15"/>
  <c r="P10" i="15"/>
  <c r="AG10" i="15"/>
  <c r="J10" i="15"/>
  <c r="AH10" i="15"/>
  <c r="I13" i="15"/>
  <c r="AA13" i="15"/>
  <c r="V16" i="15"/>
  <c r="Y16" i="15"/>
  <c r="AN16" i="15"/>
  <c r="R16" i="15"/>
  <c r="S16" i="15"/>
  <c r="AH16" i="15"/>
  <c r="I16" i="15"/>
  <c r="J16" i="15"/>
  <c r="AQ16" i="15"/>
  <c r="J20" i="15"/>
  <c r="M16" i="15"/>
  <c r="AD16" i="15"/>
  <c r="Y23" i="15"/>
  <c r="AH26" i="15"/>
  <c r="AB23" i="15"/>
  <c r="M23" i="15"/>
  <c r="U23" i="15"/>
  <c r="V23" i="15"/>
  <c r="AN23" i="15"/>
  <c r="X23" i="15"/>
  <c r="AK23" i="15"/>
  <c r="AH30" i="15"/>
  <c r="AH31" i="15" s="1"/>
  <c r="AG34" i="15"/>
  <c r="M26" i="15"/>
  <c r="AE26" i="15"/>
  <c r="AH34" i="15"/>
  <c r="AD30" i="15"/>
  <c r="AD31" i="15" s="1"/>
  <c r="AG26" i="15"/>
  <c r="AD26" i="15"/>
  <c r="J30" i="15"/>
  <c r="J31" i="15" s="1"/>
  <c r="Y30" i="15"/>
  <c r="Y31" i="15" s="1"/>
  <c r="AN30" i="15"/>
  <c r="AN31" i="15" s="1"/>
  <c r="Y34" i="15"/>
  <c r="Y41" i="15" s="1"/>
  <c r="AP37" i="15"/>
  <c r="I34" i="15"/>
  <c r="I41" i="15" s="1"/>
  <c r="R34" i="15"/>
  <c r="P37" i="15"/>
  <c r="M34" i="15"/>
  <c r="AB37" i="15"/>
  <c r="U34" i="15"/>
  <c r="R37" i="15"/>
  <c r="AM37" i="15"/>
  <c r="AH40" i="15"/>
  <c r="AE44" i="15"/>
  <c r="AE45" i="15" s="1"/>
  <c r="AA40" i="15"/>
  <c r="V44" i="15"/>
  <c r="V45" i="15" s="1"/>
  <c r="M40" i="15"/>
  <c r="AK40" i="15"/>
  <c r="U40" i="15"/>
  <c r="X44" i="15"/>
  <c r="X45" i="15" s="1"/>
  <c r="V40" i="15"/>
  <c r="AG44" i="15"/>
  <c r="AG45" i="15" s="1"/>
  <c r="AH44" i="15"/>
  <c r="AH45" i="15" s="1"/>
  <c r="AE37" i="15"/>
  <c r="AN40" i="15"/>
  <c r="J44" i="15"/>
  <c r="J45" i="15" s="1"/>
  <c r="Y40" i="15"/>
  <c r="R44" i="15"/>
  <c r="R45" i="15" s="1"/>
  <c r="AB44" i="15"/>
  <c r="AB45" i="15" s="1"/>
  <c r="AJ44" i="15"/>
  <c r="AJ45" i="15" s="1"/>
  <c r="J40" i="15"/>
  <c r="AP40" i="15"/>
  <c r="M44" i="15"/>
  <c r="M45" i="15" s="1"/>
  <c r="S8" i="15"/>
  <c r="AM8" i="15"/>
  <c r="X8" i="15"/>
  <c r="AN8" i="15"/>
  <c r="J8" i="15"/>
  <c r="AD8" i="15"/>
  <c r="P8" i="15"/>
  <c r="AJ8" i="15"/>
  <c r="O8" i="15"/>
  <c r="AJ10" i="15"/>
  <c r="U8" i="15"/>
  <c r="AK8" i="15"/>
  <c r="Y8" i="15"/>
  <c r="V8" i="15"/>
  <c r="AP8" i="15"/>
  <c r="I8" i="15"/>
  <c r="AA8" i="15"/>
  <c r="AQ8" i="15"/>
  <c r="AE8" i="15"/>
  <c r="J13" i="15"/>
  <c r="L8" i="15"/>
  <c r="AB8" i="15"/>
  <c r="AE10" i="15"/>
  <c r="M8" i="15"/>
  <c r="AG8" i="15"/>
  <c r="O10" i="15"/>
  <c r="R8" i="15"/>
  <c r="AH8" i="15"/>
  <c r="U10" i="15"/>
  <c r="AD10" i="15"/>
  <c r="AJ13" i="15"/>
  <c r="AB40" i="15"/>
  <c r="AK13" i="15"/>
  <c r="AQ10" i="15"/>
  <c r="L10" i="15"/>
  <c r="AD13" i="15"/>
  <c r="AA16" i="15"/>
  <c r="AE13" i="15"/>
  <c r="O13" i="15"/>
  <c r="AM10" i="15"/>
  <c r="P13" i="15"/>
  <c r="Y10" i="15"/>
  <c r="X13" i="15"/>
  <c r="AN13" i="15"/>
  <c r="Y13" i="15"/>
  <c r="U13" i="15"/>
  <c r="V13" i="15"/>
  <c r="AP13" i="15"/>
  <c r="M13" i="15"/>
  <c r="AG13" i="15"/>
  <c r="AQ13" i="15"/>
  <c r="AH13" i="15"/>
  <c r="S13" i="15"/>
  <c r="L16" i="15"/>
  <c r="AE16" i="15"/>
  <c r="AJ16" i="15"/>
  <c r="AK16" i="15"/>
  <c r="AP16" i="15"/>
  <c r="O16" i="15"/>
  <c r="AG16" i="15"/>
  <c r="U26" i="15"/>
  <c r="U16" i="15"/>
  <c r="AB16" i="15"/>
  <c r="AA20" i="15"/>
  <c r="AQ20" i="15"/>
  <c r="AQ27" i="15" s="1"/>
  <c r="U20" i="15"/>
  <c r="AK20" i="15"/>
  <c r="AK27" i="15" s="1"/>
  <c r="AP23" i="15"/>
  <c r="AQ23" i="15"/>
  <c r="V20" i="15"/>
  <c r="L20" i="15"/>
  <c r="AG20" i="15"/>
  <c r="S20" i="15"/>
  <c r="AM20" i="15"/>
  <c r="M20" i="15"/>
  <c r="AH20" i="15"/>
  <c r="X20" i="15"/>
  <c r="X27" i="15" s="1"/>
  <c r="AN20" i="15"/>
  <c r="I20" i="15"/>
  <c r="I27" i="15" s="1"/>
  <c r="Y20" i="15"/>
  <c r="Y27" i="15" s="1"/>
  <c r="R23" i="15"/>
  <c r="AG23" i="15"/>
  <c r="AD20" i="15"/>
  <c r="AD27" i="15" s="1"/>
  <c r="AH23" i="15"/>
  <c r="J26" i="15"/>
  <c r="O20" i="15"/>
  <c r="AE20" i="15"/>
  <c r="L23" i="15"/>
  <c r="P20" i="15"/>
  <c r="AJ20" i="15"/>
  <c r="AB20" i="15"/>
  <c r="AB27" i="15" s="1"/>
  <c r="AB26" i="15"/>
  <c r="P23" i="15"/>
  <c r="AJ23" i="15"/>
  <c r="AQ26" i="15"/>
  <c r="AA26" i="15"/>
  <c r="L26" i="15"/>
  <c r="AK26" i="15"/>
  <c r="S23" i="15"/>
  <c r="AM23" i="15"/>
  <c r="P26" i="15"/>
  <c r="I23" i="15"/>
  <c r="Y26" i="15"/>
  <c r="J23" i="15"/>
  <c r="AD23" i="15"/>
  <c r="I26" i="15"/>
  <c r="O23" i="15"/>
  <c r="AE23" i="15"/>
  <c r="L30" i="15"/>
  <c r="L31" i="15" s="1"/>
  <c r="AG30" i="15"/>
  <c r="AG31" i="15" s="1"/>
  <c r="AD34" i="15"/>
  <c r="AP26" i="15"/>
  <c r="AB30" i="15"/>
  <c r="AB31" i="15" s="1"/>
  <c r="AP30" i="15"/>
  <c r="AP31" i="15" s="1"/>
  <c r="S26" i="15"/>
  <c r="AM26" i="15"/>
  <c r="U30" i="15"/>
  <c r="U31" i="15" s="1"/>
  <c r="X26" i="15"/>
  <c r="AN26" i="15"/>
  <c r="I30" i="15"/>
  <c r="I31" i="15" s="1"/>
  <c r="P30" i="15"/>
  <c r="P31" i="15" s="1"/>
  <c r="V30" i="15"/>
  <c r="V31" i="15" s="1"/>
  <c r="AJ30" i="15"/>
  <c r="AJ31" i="15" s="1"/>
  <c r="AK30" i="15"/>
  <c r="AK31" i="15" s="1"/>
  <c r="O26" i="15"/>
  <c r="AM30" i="15"/>
  <c r="AM31" i="15" s="1"/>
  <c r="O30" i="15"/>
  <c r="O31" i="15" s="1"/>
  <c r="AE30" i="15"/>
  <c r="AE31" i="15" s="1"/>
  <c r="AQ30" i="15"/>
  <c r="AQ31" i="15" s="1"/>
  <c r="AA30" i="15"/>
  <c r="AA31" i="15" s="1"/>
  <c r="M30" i="15"/>
  <c r="M31" i="15" s="1"/>
  <c r="R30" i="15"/>
  <c r="R31" i="15" s="1"/>
  <c r="S30" i="15"/>
  <c r="S31" i="15" s="1"/>
  <c r="X30" i="15"/>
  <c r="X31" i="15" s="1"/>
  <c r="J34" i="15"/>
  <c r="AJ34" i="15"/>
  <c r="X34" i="15"/>
  <c r="X37" i="15"/>
  <c r="L34" i="15"/>
  <c r="L41" i="15" s="1"/>
  <c r="AM34" i="15"/>
  <c r="AM41" i="15" s="1"/>
  <c r="S34" i="15"/>
  <c r="AK37" i="15"/>
  <c r="AA34" i="15"/>
  <c r="AA41" i="15" s="1"/>
  <c r="P34" i="15"/>
  <c r="AB34" i="15"/>
  <c r="AB41" i="15" s="1"/>
  <c r="S37" i="15"/>
  <c r="AQ34" i="15"/>
  <c r="AD37" i="15"/>
  <c r="AM44" i="15"/>
  <c r="AM45" i="15" s="1"/>
  <c r="AN34" i="15"/>
  <c r="I37" i="15"/>
  <c r="AQ37" i="15"/>
  <c r="J37" i="15"/>
  <c r="AJ37" i="15"/>
  <c r="O37" i="15"/>
  <c r="U37" i="15"/>
  <c r="AA37" i="15"/>
  <c r="AG37" i="15"/>
  <c r="AH37" i="15"/>
  <c r="AE34" i="15"/>
  <c r="AN37" i="15"/>
  <c r="AK34" i="15"/>
  <c r="AK41" i="15" s="1"/>
  <c r="AP34" i="15"/>
  <c r="AG40" i="15"/>
  <c r="O34" i="15"/>
  <c r="M37" i="15"/>
  <c r="L40" i="15"/>
  <c r="AM40" i="15"/>
  <c r="R40" i="15"/>
  <c r="S40" i="15"/>
  <c r="Y44" i="15"/>
  <c r="Y45" i="15" s="1"/>
  <c r="X40" i="15"/>
  <c r="I44" i="15"/>
  <c r="I45" i="15" s="1"/>
  <c r="AD40" i="15"/>
  <c r="I40" i="15"/>
  <c r="AE40" i="15"/>
  <c r="AJ40" i="15"/>
  <c r="O40" i="15"/>
  <c r="P40" i="15"/>
  <c r="AQ40" i="15"/>
  <c r="AA44" i="15"/>
  <c r="AA45" i="15" s="1"/>
  <c r="AQ44" i="15"/>
  <c r="AQ45" i="15" s="1"/>
  <c r="S44" i="15"/>
  <c r="S45" i="15" s="1"/>
  <c r="AD44" i="15"/>
  <c r="AD45" i="15" s="1"/>
  <c r="O44" i="15"/>
  <c r="O45" i="15" s="1"/>
  <c r="U44" i="15"/>
  <c r="U45" i="15" s="1"/>
  <c r="AK44" i="15"/>
  <c r="AK45" i="15" s="1"/>
  <c r="AP44" i="15"/>
  <c r="AP45" i="15" s="1"/>
  <c r="BY32" i="6"/>
  <c r="W28" i="6"/>
  <c r="T22" i="6"/>
  <c r="BK12" i="6"/>
  <c r="CH25" i="6"/>
  <c r="T28" i="6"/>
  <c r="CI33" i="6"/>
  <c r="BA38" i="6"/>
  <c r="AS42" i="6"/>
  <c r="CY18" i="6"/>
  <c r="CX25" i="6"/>
  <c r="CV29" i="6"/>
  <c r="BR38" i="6"/>
  <c r="CY14" i="6"/>
  <c r="U35" i="6"/>
  <c r="CP39" i="6"/>
  <c r="BK42" i="6"/>
  <c r="AR29" i="6"/>
  <c r="CX36" i="6"/>
  <c r="CX39" i="6"/>
  <c r="AL43" i="6"/>
  <c r="BP43" i="6"/>
  <c r="CP15" i="6"/>
  <c r="CP18" i="6"/>
  <c r="L35" i="6"/>
  <c r="V12" i="6"/>
  <c r="AZ12" i="6"/>
  <c r="CP21" i="6"/>
  <c r="AB22" i="6"/>
  <c r="CI25" i="6"/>
  <c r="CO32" i="6"/>
  <c r="AR39" i="6"/>
  <c r="BX39" i="6"/>
  <c r="T14" i="6"/>
  <c r="AL19" i="6"/>
  <c r="BR19" i="6"/>
  <c r="BI6" i="6"/>
  <c r="W14" i="6"/>
  <c r="CI18" i="6"/>
  <c r="CY24" i="6"/>
  <c r="AL33" i="6"/>
  <c r="BJ36" i="6"/>
  <c r="CQ38" i="6"/>
  <c r="CY35" i="6"/>
  <c r="AR9" i="6"/>
  <c r="BZ12" i="6"/>
  <c r="AJ15" i="6"/>
  <c r="BP15" i="6"/>
  <c r="M35" i="6"/>
  <c r="BC9" i="6"/>
  <c r="AS29" i="6"/>
  <c r="CY42" i="6"/>
  <c r="CQ22" i="6"/>
  <c r="BK33" i="6"/>
  <c r="BY19" i="6"/>
  <c r="AE24" i="6"/>
  <c r="BK24" i="6"/>
  <c r="CQ24" i="6"/>
  <c r="U29" i="6"/>
  <c r="CW36" i="6"/>
  <c r="T39" i="6"/>
  <c r="AR42" i="6"/>
  <c r="BX43" i="6"/>
  <c r="BJ11" i="6"/>
  <c r="CN11" i="6"/>
  <c r="CF15" i="6"/>
  <c r="BJ28" i="6"/>
  <c r="BZ32" i="6"/>
  <c r="V42" i="6"/>
  <c r="AZ43" i="6"/>
  <c r="CF21" i="6"/>
  <c r="AK25" i="6"/>
  <c r="CW25" i="6"/>
  <c r="BK28" i="6"/>
  <c r="AM33" i="6"/>
  <c r="U42" i="6"/>
  <c r="W21" i="6"/>
  <c r="M36" i="6"/>
  <c r="CO39" i="6"/>
  <c r="O6" i="6"/>
  <c r="U9" i="6"/>
  <c r="AC15" i="6"/>
  <c r="AE19" i="6"/>
  <c r="AM29" i="6"/>
  <c r="CI36" i="6"/>
  <c r="BI42" i="6"/>
  <c r="CV42" i="6"/>
  <c r="BC6" i="6"/>
  <c r="CY21" i="6"/>
  <c r="BK36" i="6"/>
  <c r="BY39" i="6"/>
  <c r="AB7" i="6"/>
  <c r="BK7" i="6"/>
  <c r="CN7" i="6"/>
  <c r="BH12" i="6"/>
  <c r="AJ21" i="6"/>
  <c r="AT29" i="6"/>
  <c r="BK6" i="6"/>
  <c r="BS6" i="6"/>
  <c r="CX6" i="6"/>
  <c r="AK6" i="6"/>
  <c r="AK9" i="6"/>
  <c r="AB11" i="6"/>
  <c r="U19" i="6"/>
  <c r="W19" i="6"/>
  <c r="BB6" i="6"/>
  <c r="BH6" i="6"/>
  <c r="CP6" i="6"/>
  <c r="AK7" i="6"/>
  <c r="CN9" i="6"/>
  <c r="AD11" i="6"/>
  <c r="AB14" i="6"/>
  <c r="T18" i="6"/>
  <c r="BJ22" i="6"/>
  <c r="CY7" i="6"/>
  <c r="CA7" i="6"/>
  <c r="AT9" i="6"/>
  <c r="AE11" i="6"/>
  <c r="AE14" i="6"/>
  <c r="CQ14" i="6"/>
  <c r="CQ15" i="6"/>
  <c r="BB19" i="6"/>
  <c r="CI19" i="6"/>
  <c r="AC22" i="6"/>
  <c r="BS11" i="6"/>
  <c r="CQ18" i="6"/>
  <c r="CH21" i="6"/>
  <c r="M33" i="6"/>
  <c r="CY11" i="6"/>
  <c r="BP12" i="6"/>
  <c r="BZ14" i="6"/>
  <c r="U11" i="6"/>
  <c r="CN21" i="6"/>
  <c r="BC15" i="6"/>
  <c r="BX18" i="6"/>
  <c r="N21" i="6"/>
  <c r="L12" i="6"/>
  <c r="CA32" i="6"/>
  <c r="AT33" i="6"/>
  <c r="AM35" i="6"/>
  <c r="BP35" i="6"/>
  <c r="BS36" i="6"/>
  <c r="CY36" i="6"/>
  <c r="BP38" i="6"/>
  <c r="AU28" i="6"/>
  <c r="CA33" i="6"/>
  <c r="T43" i="6"/>
  <c r="BA28" i="6"/>
  <c r="BK25" i="6"/>
  <c r="CN25" i="6"/>
  <c r="BY35" i="6"/>
  <c r="AU42" i="6"/>
  <c r="BA43" i="6"/>
  <c r="CA24" i="6"/>
  <c r="AD28" i="6"/>
  <c r="AD32" i="6"/>
  <c r="CX42" i="6"/>
  <c r="BC35" i="6"/>
  <c r="U36" i="6"/>
  <c r="BC42" i="6"/>
  <c r="BI43" i="6"/>
  <c r="U24" i="6"/>
  <c r="CQ32" i="6"/>
  <c r="AS39" i="6"/>
  <c r="AM43" i="6"/>
  <c r="CW28" i="6"/>
  <c r="BK35" i="6"/>
  <c r="CW43" i="6"/>
  <c r="W24" i="6"/>
  <c r="CP35" i="6"/>
  <c r="AM6" i="6"/>
  <c r="AJ7" i="6"/>
  <c r="BR7" i="6"/>
  <c r="CP7" i="6"/>
  <c r="U7" i="6"/>
  <c r="W7" i="6"/>
  <c r="CW7" i="6"/>
  <c r="T7" i="6"/>
  <c r="AT7" i="6"/>
  <c r="CA6" i="6"/>
  <c r="CV6" i="6"/>
  <c r="V7" i="6"/>
  <c r="AE7" i="6"/>
  <c r="BB7" i="6"/>
  <c r="CO12" i="6"/>
  <c r="CQ12" i="6"/>
  <c r="CI9" i="6"/>
  <c r="CH9" i="6"/>
  <c r="AT11" i="6"/>
  <c r="AR11" i="6"/>
  <c r="CY6" i="6"/>
  <c r="AC7" i="6"/>
  <c r="BJ7" i="6"/>
  <c r="AM7" i="6"/>
  <c r="W12" i="6"/>
  <c r="BA12" i="6"/>
  <c r="CW14" i="6"/>
  <c r="AL15" i="6"/>
  <c r="AE21" i="6"/>
  <c r="AU7" i="6"/>
  <c r="AB9" i="6"/>
  <c r="AE12" i="6"/>
  <c r="BI12" i="6"/>
  <c r="O14" i="6"/>
  <c r="CX14" i="6"/>
  <c r="N15" i="6"/>
  <c r="O15" i="6"/>
  <c r="L15" i="6"/>
  <c r="BJ9" i="6"/>
  <c r="CA22" i="6"/>
  <c r="BY22" i="6"/>
  <c r="BJ12" i="6"/>
  <c r="AJ18" i="6"/>
  <c r="BR18" i="6"/>
  <c r="BP18" i="6"/>
  <c r="AJ9" i="6"/>
  <c r="BX11" i="6"/>
  <c r="CX11" i="6"/>
  <c r="CX9" i="6"/>
  <c r="CV12" i="6"/>
  <c r="U14" i="6"/>
  <c r="AB15" i="6"/>
  <c r="CY9" i="6"/>
  <c r="BZ11" i="6"/>
  <c r="M12" i="6"/>
  <c r="BA14" i="6"/>
  <c r="AU9" i="6"/>
  <c r="AC11" i="6"/>
  <c r="CI11" i="6"/>
  <c r="V18" i="6"/>
  <c r="T25" i="6"/>
  <c r="W25" i="6"/>
  <c r="U25" i="6"/>
  <c r="AD21" i="6"/>
  <c r="V22" i="6"/>
  <c r="BX22" i="6"/>
  <c r="AT24" i="6"/>
  <c r="V25" i="6"/>
  <c r="CH28" i="6"/>
  <c r="V33" i="6"/>
  <c r="W33" i="6"/>
  <c r="W22" i="6"/>
  <c r="AU25" i="6"/>
  <c r="AM15" i="6"/>
  <c r="BQ18" i="6"/>
  <c r="BC19" i="6"/>
  <c r="AL21" i="6"/>
  <c r="BZ25" i="6"/>
  <c r="AU18" i="6"/>
  <c r="BS21" i="6"/>
  <c r="CI22" i="6"/>
  <c r="T24" i="6"/>
  <c r="BB25" i="6"/>
  <c r="BY25" i="6"/>
  <c r="AM28" i="6"/>
  <c r="BK32" i="6"/>
  <c r="T12" i="6"/>
  <c r="CA12" i="6"/>
  <c r="BZ18" i="6"/>
  <c r="AK21" i="6"/>
  <c r="V24" i="6"/>
  <c r="CI24" i="6"/>
  <c r="AD25" i="6"/>
  <c r="BC25" i="6"/>
  <c r="AJ28" i="6"/>
  <c r="CI29" i="6"/>
  <c r="BK38" i="6"/>
  <c r="BH38" i="6"/>
  <c r="CP19" i="6"/>
  <c r="AK28" i="6"/>
  <c r="CQ19" i="6"/>
  <c r="AM25" i="6"/>
  <c r="AM19" i="6"/>
  <c r="AS21" i="6"/>
  <c r="BS22" i="6"/>
  <c r="BJ25" i="6"/>
  <c r="V28" i="6"/>
  <c r="BZ28" i="6"/>
  <c r="L43" i="6"/>
  <c r="O19" i="6"/>
  <c r="AR19" i="6"/>
  <c r="V21" i="6"/>
  <c r="CI21" i="6"/>
  <c r="CX22" i="6"/>
  <c r="O24" i="6"/>
  <c r="AL24" i="6"/>
  <c r="BJ24" i="6"/>
  <c r="CX33" i="6"/>
  <c r="CW33" i="6"/>
  <c r="BK29" i="6"/>
  <c r="BH32" i="6"/>
  <c r="CI32" i="6"/>
  <c r="CI38" i="6"/>
  <c r="BC39" i="6"/>
  <c r="BI32" i="6"/>
  <c r="U33" i="6"/>
  <c r="CA35" i="6"/>
  <c r="V39" i="6"/>
  <c r="CA39" i="6"/>
  <c r="BJ42" i="6"/>
  <c r="BJ32" i="6"/>
  <c r="AB28" i="6"/>
  <c r="CX29" i="6"/>
  <c r="AL35" i="6"/>
  <c r="AM36" i="6"/>
  <c r="BH36" i="6"/>
  <c r="BA39" i="6"/>
  <c r="AU43" i="6"/>
  <c r="AE28" i="6"/>
  <c r="BS32" i="6"/>
  <c r="CN32" i="6"/>
  <c r="BH35" i="6"/>
  <c r="BI36" i="6"/>
  <c r="CP38" i="6"/>
  <c r="BK39" i="6"/>
  <c r="BH42" i="6"/>
  <c r="CP42" i="6"/>
  <c r="U43" i="6"/>
  <c r="BC43" i="6"/>
  <c r="AK35" i="6"/>
  <c r="BI35" i="6"/>
  <c r="CQ35" i="6"/>
  <c r="BX29" i="6"/>
  <c r="AJ33" i="6"/>
  <c r="BH33" i="6"/>
  <c r="AU36" i="6"/>
  <c r="BX32" i="6"/>
  <c r="L33" i="6"/>
  <c r="BR39" i="6"/>
  <c r="BR42" i="6"/>
  <c r="AK43" i="6"/>
  <c r="T36" i="6"/>
  <c r="BY36" i="6"/>
  <c r="AU39" i="6"/>
  <c r="CY39" i="6"/>
  <c r="BJ43" i="6"/>
  <c r="BZ42" i="6"/>
  <c r="BA6" i="6"/>
  <c r="BX9" i="6"/>
  <c r="BZ9" i="6"/>
  <c r="BY9" i="6"/>
  <c r="CX7" i="6"/>
  <c r="CV7" i="6"/>
  <c r="AL11" i="6"/>
  <c r="CN29" i="6"/>
  <c r="CP29" i="6"/>
  <c r="AJ6" i="6"/>
  <c r="CN6" i="6"/>
  <c r="AL6" i="6"/>
  <c r="CQ6" i="6"/>
  <c r="AR6" i="6"/>
  <c r="AS6" i="6"/>
  <c r="AC9" i="6"/>
  <c r="AD9" i="6"/>
  <c r="AJ11" i="6"/>
  <c r="CI7" i="6"/>
  <c r="AE9" i="6"/>
  <c r="AK11" i="6"/>
  <c r="AC6" i="6"/>
  <c r="M7" i="6"/>
  <c r="AM9" i="6"/>
  <c r="V11" i="6"/>
  <c r="BK11" i="6"/>
  <c r="CF11" i="6"/>
  <c r="CG11" i="6"/>
  <c r="CH11" i="6"/>
  <c r="CO7" i="6"/>
  <c r="BK9" i="6"/>
  <c r="CF9" i="6"/>
  <c r="V9" i="6"/>
  <c r="BS9" i="6"/>
  <c r="CG9" i="6"/>
  <c r="CO11" i="6"/>
  <c r="BC11" i="6"/>
  <c r="BS7" i="6"/>
  <c r="AM11" i="6"/>
  <c r="BY11" i="6"/>
  <c r="N18" i="6"/>
  <c r="O18" i="6"/>
  <c r="AU11" i="6"/>
  <c r="O12" i="6"/>
  <c r="AC12" i="6"/>
  <c r="BB12" i="6"/>
  <c r="BH14" i="6"/>
  <c r="AL12" i="6"/>
  <c r="CP14" i="6"/>
  <c r="BQ15" i="6"/>
  <c r="BR15" i="6"/>
  <c r="CW12" i="6"/>
  <c r="L14" i="6"/>
  <c r="L18" i="6"/>
  <c r="CX12" i="6"/>
  <c r="M14" i="6"/>
  <c r="W15" i="6"/>
  <c r="T15" i="6"/>
  <c r="CW15" i="6"/>
  <c r="CY15" i="6"/>
  <c r="AM12" i="6"/>
  <c r="CY12" i="6"/>
  <c r="N14" i="6"/>
  <c r="CA18" i="6"/>
  <c r="BY18" i="6"/>
  <c r="AU12" i="6"/>
  <c r="AM14" i="6"/>
  <c r="BZ15" i="6"/>
  <c r="BY15" i="6"/>
  <c r="BX15" i="6"/>
  <c r="U15" i="6"/>
  <c r="AB18" i="6"/>
  <c r="AC18" i="6"/>
  <c r="V14" i="6"/>
  <c r="V15" i="6"/>
  <c r="CI15" i="6"/>
  <c r="CP12" i="6"/>
  <c r="BC14" i="6"/>
  <c r="CA14" i="6"/>
  <c r="CA15" i="6"/>
  <c r="U18" i="6"/>
  <c r="CW18" i="6"/>
  <c r="AS19" i="6"/>
  <c r="CY19" i="6"/>
  <c r="AM21" i="6"/>
  <c r="U22" i="6"/>
  <c r="BC33" i="6"/>
  <c r="BB33" i="6"/>
  <c r="AZ33" i="6"/>
  <c r="BC18" i="6"/>
  <c r="CX18" i="6"/>
  <c r="N19" i="6"/>
  <c r="AB19" i="6"/>
  <c r="CV19" i="6"/>
  <c r="AR21" i="6"/>
  <c r="BR21" i="6"/>
  <c r="CQ21" i="6"/>
  <c r="AC19" i="6"/>
  <c r="CA21" i="6"/>
  <c r="BS24" i="6"/>
  <c r="BR24" i="6"/>
  <c r="BQ24" i="6"/>
  <c r="AB21" i="6"/>
  <c r="CG19" i="6"/>
  <c r="AC21" i="6"/>
  <c r="BB21" i="6"/>
  <c r="BY21" i="6"/>
  <c r="CV21" i="6"/>
  <c r="BH22" i="6"/>
  <c r="BK22" i="6"/>
  <c r="CF19" i="6"/>
  <c r="BC21" i="6"/>
  <c r="AL18" i="6"/>
  <c r="AJ19" i="6"/>
  <c r="BS19" i="6"/>
  <c r="CH19" i="6"/>
  <c r="O21" i="6"/>
  <c r="W18" i="6"/>
  <c r="AM18" i="6"/>
  <c r="CF18" i="6"/>
  <c r="V19" i="6"/>
  <c r="AK19" i="6"/>
  <c r="CN19" i="6"/>
  <c r="AL22" i="6"/>
  <c r="AJ22" i="6"/>
  <c r="BI22" i="6"/>
  <c r="AE22" i="6"/>
  <c r="CY22" i="6"/>
  <c r="AJ24" i="6"/>
  <c r="AT25" i="6"/>
  <c r="CO29" i="6"/>
  <c r="AR43" i="6"/>
  <c r="AT43" i="6"/>
  <c r="BB28" i="6"/>
  <c r="CX32" i="6"/>
  <c r="CY32" i="6"/>
  <c r="CW32" i="6"/>
  <c r="AU24" i="6"/>
  <c r="BC28" i="6"/>
  <c r="AD19" i="6"/>
  <c r="CA19" i="6"/>
  <c r="U21" i="6"/>
  <c r="CG21" i="6"/>
  <c r="AD24" i="6"/>
  <c r="AE25" i="6"/>
  <c r="BA25" i="6"/>
  <c r="CA25" i="6"/>
  <c r="BH28" i="6"/>
  <c r="BX28" i="6"/>
  <c r="CX28" i="6"/>
  <c r="AZ29" i="6"/>
  <c r="BY29" i="6"/>
  <c r="CQ33" i="6"/>
  <c r="CP33" i="6"/>
  <c r="CO33" i="6"/>
  <c r="CN33" i="6"/>
  <c r="AT22" i="6"/>
  <c r="CX24" i="6"/>
  <c r="AB25" i="6"/>
  <c r="BY28" i="6"/>
  <c r="AJ29" i="6"/>
  <c r="BA29" i="6"/>
  <c r="BZ29" i="6"/>
  <c r="CW29" i="6"/>
  <c r="AB24" i="6"/>
  <c r="AK29" i="6"/>
  <c r="CA29" i="6"/>
  <c r="N36" i="6"/>
  <c r="L36" i="6"/>
  <c r="BR36" i="6"/>
  <c r="BP36" i="6"/>
  <c r="CV38" i="6"/>
  <c r="CX38" i="6"/>
  <c r="CW38" i="6"/>
  <c r="CY38" i="6"/>
  <c r="AU22" i="6"/>
  <c r="AC24" i="6"/>
  <c r="BH24" i="6"/>
  <c r="BH25" i="6"/>
  <c r="BX25" i="6"/>
  <c r="BI28" i="6"/>
  <c r="AL29" i="6"/>
  <c r="BH29" i="6"/>
  <c r="W35" i="6"/>
  <c r="AD22" i="6"/>
  <c r="BQ22" i="6"/>
  <c r="BI29" i="6"/>
  <c r="BC36" i="6"/>
  <c r="CA38" i="6"/>
  <c r="BY38" i="6"/>
  <c r="BX38" i="6"/>
  <c r="O22" i="6"/>
  <c r="BR22" i="6"/>
  <c r="BX24" i="6"/>
  <c r="U28" i="6"/>
  <c r="AT28" i="6"/>
  <c r="CI28" i="6"/>
  <c r="V29" i="6"/>
  <c r="AU29" i="6"/>
  <c r="CW35" i="6"/>
  <c r="BI24" i="6"/>
  <c r="BY24" i="6"/>
  <c r="AJ25" i="6"/>
  <c r="BI25" i="6"/>
  <c r="BS28" i="6"/>
  <c r="W29" i="6"/>
  <c r="CH29" i="6"/>
  <c r="AS32" i="6"/>
  <c r="AU32" i="6"/>
  <c r="CP32" i="6"/>
  <c r="BI33" i="6"/>
  <c r="CY33" i="6"/>
  <c r="V35" i="6"/>
  <c r="BZ35" i="6"/>
  <c r="CX35" i="6"/>
  <c r="V36" i="6"/>
  <c r="V38" i="6"/>
  <c r="T38" i="6"/>
  <c r="L32" i="6"/>
  <c r="AT32" i="6"/>
  <c r="BA36" i="6"/>
  <c r="M32" i="6"/>
  <c r="BA33" i="6"/>
  <c r="BB36" i="6"/>
  <c r="BJ38" i="6"/>
  <c r="BI38" i="6"/>
  <c r="BX33" i="6"/>
  <c r="BQ36" i="6"/>
  <c r="O33" i="6"/>
  <c r="O35" i="6"/>
  <c r="AJ35" i="6"/>
  <c r="AZ35" i="6"/>
  <c r="AJ36" i="6"/>
  <c r="CV36" i="6"/>
  <c r="BY33" i="6"/>
  <c r="BA35" i="6"/>
  <c r="CN35" i="6"/>
  <c r="AB32" i="6"/>
  <c r="BJ33" i="6"/>
  <c r="BZ33" i="6"/>
  <c r="BB35" i="6"/>
  <c r="BX35" i="6"/>
  <c r="CO35" i="6"/>
  <c r="BX36" i="6"/>
  <c r="CQ43" i="6"/>
  <c r="CP43" i="6"/>
  <c r="CO43" i="6"/>
  <c r="BJ35" i="6"/>
  <c r="BH39" i="6"/>
  <c r="BP42" i="6"/>
  <c r="BI39" i="6"/>
  <c r="CO42" i="6"/>
  <c r="BJ39" i="6"/>
  <c r="BR43" i="6"/>
  <c r="U39" i="6"/>
  <c r="AT39" i="6"/>
  <c r="AK42" i="6"/>
  <c r="AZ42" i="6"/>
  <c r="O36" i="6"/>
  <c r="AD36" i="6"/>
  <c r="U38" i="6"/>
  <c r="BA42" i="6"/>
  <c r="BX42" i="6"/>
  <c r="BZ43" i="6"/>
  <c r="CX43" i="6"/>
  <c r="CO38" i="6"/>
  <c r="AZ39" i="6"/>
  <c r="AL42" i="6"/>
  <c r="BY42" i="6"/>
  <c r="CW42" i="6"/>
  <c r="O43" i="6"/>
  <c r="CV39" i="6"/>
  <c r="W42" i="6"/>
  <c r="CA42" i="6"/>
  <c r="BK43" i="6"/>
  <c r="CA43" i="6"/>
  <c r="AK39" i="6"/>
  <c r="CW39" i="6"/>
  <c r="T42" i="6"/>
  <c r="AT42" i="6"/>
  <c r="W43" i="6"/>
  <c r="BH43" i="6"/>
  <c r="L6" i="6"/>
  <c r="AB6" i="6"/>
  <c r="BX6" i="6"/>
  <c r="M6" i="6"/>
  <c r="AD6" i="6"/>
  <c r="BJ6" i="6"/>
  <c r="BY6" i="6"/>
  <c r="CO6" i="6"/>
  <c r="N6" i="6"/>
  <c r="AE6" i="6"/>
  <c r="BZ6" i="6"/>
  <c r="T6" i="6"/>
  <c r="BR6" i="6"/>
  <c r="CI6" i="6"/>
  <c r="CF6" i="6"/>
  <c r="U6" i="6"/>
  <c r="AZ6" i="6"/>
  <c r="BP6" i="6"/>
  <c r="V6" i="6"/>
  <c r="BQ6" i="6"/>
  <c r="CG6" i="6"/>
  <c r="W6" i="6"/>
  <c r="CH6" i="6"/>
  <c r="AU6" i="6"/>
  <c r="AT6" i="6"/>
  <c r="O11" i="6"/>
  <c r="N11" i="6"/>
  <c r="M11" i="6"/>
  <c r="L11" i="6"/>
  <c r="CI12" i="6"/>
  <c r="CH12" i="6"/>
  <c r="CG12" i="6"/>
  <c r="CF12" i="6"/>
  <c r="BS14" i="6"/>
  <c r="BR14" i="6"/>
  <c r="BQ14" i="6"/>
  <c r="BP14" i="6"/>
  <c r="AL7" i="6"/>
  <c r="AZ7" i="6"/>
  <c r="BA7" i="6"/>
  <c r="BQ7" i="6"/>
  <c r="L7" i="6"/>
  <c r="BC7" i="6"/>
  <c r="CF7" i="6"/>
  <c r="N7" i="6"/>
  <c r="CG7" i="6"/>
  <c r="O7" i="6"/>
  <c r="CH7" i="6"/>
  <c r="CW6" i="6"/>
  <c r="AD7" i="6"/>
  <c r="AR7" i="6"/>
  <c r="CQ9" i="6"/>
  <c r="AS7" i="6"/>
  <c r="BH7" i="6"/>
  <c r="CQ7" i="6"/>
  <c r="BI7" i="6"/>
  <c r="BX7" i="6"/>
  <c r="BY7" i="6"/>
  <c r="O9" i="6"/>
  <c r="N9" i="6"/>
  <c r="M9" i="6"/>
  <c r="L9" i="6"/>
  <c r="BZ7" i="6"/>
  <c r="CQ11" i="6"/>
  <c r="BP7" i="6"/>
  <c r="W9" i="6"/>
  <c r="W11" i="6"/>
  <c r="AL14" i="6"/>
  <c r="AJ14" i="6"/>
  <c r="AL9" i="6"/>
  <c r="AZ9" i="6"/>
  <c r="CA9" i="6"/>
  <c r="CO9" i="6"/>
  <c r="AZ11" i="6"/>
  <c r="CA11" i="6"/>
  <c r="BA9" i="6"/>
  <c r="CP9" i="6"/>
  <c r="BA11" i="6"/>
  <c r="CP11" i="6"/>
  <c r="BB9" i="6"/>
  <c r="BP9" i="6"/>
  <c r="BB11" i="6"/>
  <c r="BP11" i="6"/>
  <c r="BQ9" i="6"/>
  <c r="BQ11" i="6"/>
  <c r="BS12" i="6"/>
  <c r="BR9" i="6"/>
  <c r="BR11" i="6"/>
  <c r="AS9" i="6"/>
  <c r="CV9" i="6"/>
  <c r="AS11" i="6"/>
  <c r="CV11" i="6"/>
  <c r="BH9" i="6"/>
  <c r="CW9" i="6"/>
  <c r="BH11" i="6"/>
  <c r="CW11" i="6"/>
  <c r="T9" i="6"/>
  <c r="BI9" i="6"/>
  <c r="T11" i="6"/>
  <c r="BI11" i="6"/>
  <c r="CI14" i="6"/>
  <c r="CG14" i="6"/>
  <c r="BK18" i="6"/>
  <c r="BJ18" i="6"/>
  <c r="BI18" i="6"/>
  <c r="BH18" i="6"/>
  <c r="N12" i="6"/>
  <c r="AB12" i="6"/>
  <c r="BC12" i="6"/>
  <c r="BQ12" i="6"/>
  <c r="AZ14" i="6"/>
  <c r="BR12" i="6"/>
  <c r="AK14" i="6"/>
  <c r="AD12" i="6"/>
  <c r="AR12" i="6"/>
  <c r="BB14" i="6"/>
  <c r="CF14" i="6"/>
  <c r="CV14" i="6"/>
  <c r="AU15" i="6"/>
  <c r="AS12" i="6"/>
  <c r="AD14" i="6"/>
  <c r="CH14" i="6"/>
  <c r="AT12" i="6"/>
  <c r="AT14" i="6"/>
  <c r="AR14" i="6"/>
  <c r="CX15" i="6"/>
  <c r="CV15" i="6"/>
  <c r="U12" i="6"/>
  <c r="BX12" i="6"/>
  <c r="AJ12" i="6"/>
  <c r="BY12" i="6"/>
  <c r="AC14" i="6"/>
  <c r="AS14" i="6"/>
  <c r="BI14" i="6"/>
  <c r="BX14" i="6"/>
  <c r="CN14" i="6"/>
  <c r="AK12" i="6"/>
  <c r="CN12" i="6"/>
  <c r="AU14" i="6"/>
  <c r="BJ14" i="6"/>
  <c r="BY14" i="6"/>
  <c r="CO14" i="6"/>
  <c r="BK15" i="6"/>
  <c r="BJ15" i="6"/>
  <c r="BI15" i="6"/>
  <c r="BH15" i="6"/>
  <c r="BK14" i="6"/>
  <c r="AD15" i="6"/>
  <c r="AR15" i="6"/>
  <c r="BS15" i="6"/>
  <c r="CG15" i="6"/>
  <c r="AD18" i="6"/>
  <c r="AR18" i="6"/>
  <c r="BS18" i="6"/>
  <c r="CG18" i="6"/>
  <c r="AE15" i="6"/>
  <c r="AS15" i="6"/>
  <c r="CH15" i="6"/>
  <c r="AE18" i="6"/>
  <c r="AS18" i="6"/>
  <c r="CH18" i="6"/>
  <c r="CV18" i="6"/>
  <c r="AT15" i="6"/>
  <c r="AT18" i="6"/>
  <c r="BK21" i="6"/>
  <c r="BJ21" i="6"/>
  <c r="BI21" i="6"/>
  <c r="BH21" i="6"/>
  <c r="AK15" i="6"/>
  <c r="CN15" i="6"/>
  <c r="AK18" i="6"/>
  <c r="CN18" i="6"/>
  <c r="AZ15" i="6"/>
  <c r="CO15" i="6"/>
  <c r="AZ18" i="6"/>
  <c r="CO18" i="6"/>
  <c r="BA15" i="6"/>
  <c r="BA18" i="6"/>
  <c r="M15" i="6"/>
  <c r="BB15" i="6"/>
  <c r="M18" i="6"/>
  <c r="BB18" i="6"/>
  <c r="BK19" i="6"/>
  <c r="BJ19" i="6"/>
  <c r="BI19" i="6"/>
  <c r="BH19" i="6"/>
  <c r="AM24" i="6"/>
  <c r="AK24" i="6"/>
  <c r="AT19" i="6"/>
  <c r="CW19" i="6"/>
  <c r="AT21" i="6"/>
  <c r="CW21" i="6"/>
  <c r="T19" i="6"/>
  <c r="AU19" i="6"/>
  <c r="CX19" i="6"/>
  <c r="T21" i="6"/>
  <c r="AU21" i="6"/>
  <c r="CX21" i="6"/>
  <c r="BX19" i="6"/>
  <c r="BX21" i="6"/>
  <c r="AM22" i="6"/>
  <c r="AK22" i="6"/>
  <c r="BZ19" i="6"/>
  <c r="BZ21" i="6"/>
  <c r="BC24" i="6"/>
  <c r="BB24" i="6"/>
  <c r="BA24" i="6"/>
  <c r="AZ24" i="6"/>
  <c r="O25" i="6"/>
  <c r="N25" i="6"/>
  <c r="M25" i="6"/>
  <c r="L25" i="6"/>
  <c r="AZ19" i="6"/>
  <c r="CO19" i="6"/>
  <c r="AZ21" i="6"/>
  <c r="CO21" i="6"/>
  <c r="L19" i="6"/>
  <c r="BA19" i="6"/>
  <c r="L21" i="6"/>
  <c r="BA21" i="6"/>
  <c r="M19" i="6"/>
  <c r="BP19" i="6"/>
  <c r="M21" i="6"/>
  <c r="BP21" i="6"/>
  <c r="BQ19" i="6"/>
  <c r="BQ21" i="6"/>
  <c r="BC22" i="6"/>
  <c r="BB22" i="6"/>
  <c r="BA22" i="6"/>
  <c r="AZ22" i="6"/>
  <c r="AM32" i="6"/>
  <c r="AL32" i="6"/>
  <c r="AK32" i="6"/>
  <c r="AJ32" i="6"/>
  <c r="BZ22" i="6"/>
  <c r="CN22" i="6"/>
  <c r="BZ24" i="6"/>
  <c r="CN24" i="6"/>
  <c r="O28" i="6"/>
  <c r="N28" i="6"/>
  <c r="M28" i="6"/>
  <c r="L28" i="6"/>
  <c r="CA28" i="6"/>
  <c r="CO22" i="6"/>
  <c r="CO24" i="6"/>
  <c r="L22" i="6"/>
  <c r="CP22" i="6"/>
  <c r="L24" i="6"/>
  <c r="CP24" i="6"/>
  <c r="M22" i="6"/>
  <c r="BP22" i="6"/>
  <c r="M24" i="6"/>
  <c r="BP24" i="6"/>
  <c r="N22" i="6"/>
  <c r="N24" i="6"/>
  <c r="CF22" i="6"/>
  <c r="CF24" i="6"/>
  <c r="AR22" i="6"/>
  <c r="CG22" i="6"/>
  <c r="AR24" i="6"/>
  <c r="CG24" i="6"/>
  <c r="O29" i="6"/>
  <c r="N29" i="6"/>
  <c r="M29" i="6"/>
  <c r="L29" i="6"/>
  <c r="AS22" i="6"/>
  <c r="CH22" i="6"/>
  <c r="CV22" i="6"/>
  <c r="AS24" i="6"/>
  <c r="CH24" i="6"/>
  <c r="CV24" i="6"/>
  <c r="BS25" i="6"/>
  <c r="BR25" i="6"/>
  <c r="BQ25" i="6"/>
  <c r="BP25" i="6"/>
  <c r="CQ25" i="6"/>
  <c r="CP25" i="6"/>
  <c r="CO25" i="6"/>
  <c r="CW22" i="6"/>
  <c r="CW24" i="6"/>
  <c r="CQ28" i="6"/>
  <c r="CP28" i="6"/>
  <c r="CO28" i="6"/>
  <c r="CN28" i="6"/>
  <c r="CY25" i="6"/>
  <c r="CY28" i="6"/>
  <c r="BC29" i="6"/>
  <c r="AU35" i="6"/>
  <c r="AT35" i="6"/>
  <c r="AS35" i="6"/>
  <c r="AR35" i="6"/>
  <c r="BS33" i="6"/>
  <c r="BR33" i="6"/>
  <c r="BQ33" i="6"/>
  <c r="BP33" i="6"/>
  <c r="CI35" i="6"/>
  <c r="CH35" i="6"/>
  <c r="CG35" i="6"/>
  <c r="CF35" i="6"/>
  <c r="AE43" i="6"/>
  <c r="AD43" i="6"/>
  <c r="AC43" i="6"/>
  <c r="AB43" i="6"/>
  <c r="AL25" i="6"/>
  <c r="AZ25" i="6"/>
  <c r="AL28" i="6"/>
  <c r="AZ28" i="6"/>
  <c r="AE33" i="6"/>
  <c r="AD33" i="6"/>
  <c r="AC33" i="6"/>
  <c r="AB33" i="6"/>
  <c r="BP28" i="6"/>
  <c r="W32" i="6"/>
  <c r="V32" i="6"/>
  <c r="U32" i="6"/>
  <c r="T32" i="6"/>
  <c r="BQ28" i="6"/>
  <c r="BC32" i="6"/>
  <c r="BB32" i="6"/>
  <c r="BA32" i="6"/>
  <c r="AZ32" i="6"/>
  <c r="AC25" i="6"/>
  <c r="CF25" i="6"/>
  <c r="AC28" i="6"/>
  <c r="BR28" i="6"/>
  <c r="CF28" i="6"/>
  <c r="AE29" i="6"/>
  <c r="AD29" i="6"/>
  <c r="AC29" i="6"/>
  <c r="AB29" i="6"/>
  <c r="AR25" i="6"/>
  <c r="CG25" i="6"/>
  <c r="AR28" i="6"/>
  <c r="CG28" i="6"/>
  <c r="BS29" i="6"/>
  <c r="BR29" i="6"/>
  <c r="BQ29" i="6"/>
  <c r="BP29" i="6"/>
  <c r="AS25" i="6"/>
  <c r="CV25" i="6"/>
  <c r="AS28" i="6"/>
  <c r="CV28" i="6"/>
  <c r="CQ29" i="6"/>
  <c r="T29" i="6"/>
  <c r="AR32" i="6"/>
  <c r="BJ29" i="6"/>
  <c r="CY29" i="6"/>
  <c r="N32" i="6"/>
  <c r="CH33" i="6"/>
  <c r="CG33" i="6"/>
  <c r="CF33" i="6"/>
  <c r="BR32" i="6"/>
  <c r="AE35" i="6"/>
  <c r="BS35" i="6"/>
  <c r="BB29" i="6"/>
  <c r="CH32" i="6"/>
  <c r="CF32" i="6"/>
  <c r="BS38" i="6"/>
  <c r="BQ38" i="6"/>
  <c r="CF29" i="6"/>
  <c r="O32" i="6"/>
  <c r="BP32" i="6"/>
  <c r="AK33" i="6"/>
  <c r="CG29" i="6"/>
  <c r="AE32" i="6"/>
  <c r="AC32" i="6"/>
  <c r="BQ32" i="6"/>
  <c r="CG32" i="6"/>
  <c r="AE38" i="6"/>
  <c r="AC38" i="6"/>
  <c r="AU33" i="6"/>
  <c r="AS33" i="6"/>
  <c r="AR33" i="6"/>
  <c r="AL38" i="6"/>
  <c r="AK38" i="6"/>
  <c r="AM38" i="6"/>
  <c r="AJ38" i="6"/>
  <c r="BC38" i="6"/>
  <c r="AZ38" i="6"/>
  <c r="W36" i="6"/>
  <c r="CO36" i="6"/>
  <c r="CN36" i="6"/>
  <c r="O38" i="6"/>
  <c r="N38" i="6"/>
  <c r="AD38" i="6"/>
  <c r="AB38" i="6"/>
  <c r="N33" i="6"/>
  <c r="N35" i="6"/>
  <c r="AB35" i="6"/>
  <c r="BQ35" i="6"/>
  <c r="AS36" i="6"/>
  <c r="AR36" i="6"/>
  <c r="CA36" i="6"/>
  <c r="CP36" i="6"/>
  <c r="L38" i="6"/>
  <c r="BB38" i="6"/>
  <c r="AE39" i="6"/>
  <c r="AD39" i="6"/>
  <c r="AC39" i="6"/>
  <c r="AB39" i="6"/>
  <c r="AC35" i="6"/>
  <c r="BR35" i="6"/>
  <c r="CQ36" i="6"/>
  <c r="M38" i="6"/>
  <c r="AD35" i="6"/>
  <c r="W38" i="6"/>
  <c r="CV32" i="6"/>
  <c r="CV33" i="6"/>
  <c r="CV35" i="6"/>
  <c r="AT36" i="6"/>
  <c r="AS38" i="6"/>
  <c r="AR38" i="6"/>
  <c r="AU38" i="6"/>
  <c r="T33" i="6"/>
  <c r="T35" i="6"/>
  <c r="AE36" i="6"/>
  <c r="AC36" i="6"/>
  <c r="AZ36" i="6"/>
  <c r="CH36" i="6"/>
  <c r="CG36" i="6"/>
  <c r="CF36" i="6"/>
  <c r="CH42" i="6"/>
  <c r="CG42" i="6"/>
  <c r="CF42" i="6"/>
  <c r="CI42" i="6"/>
  <c r="AB36" i="6"/>
  <c r="CH38" i="6"/>
  <c r="CG38" i="6"/>
  <c r="CF38" i="6"/>
  <c r="AL36" i="6"/>
  <c r="AK36" i="6"/>
  <c r="AT38" i="6"/>
  <c r="CH39" i="6"/>
  <c r="CG39" i="6"/>
  <c r="CF39" i="6"/>
  <c r="AM42" i="6"/>
  <c r="BZ36" i="6"/>
  <c r="BZ38" i="6"/>
  <c r="CN38" i="6"/>
  <c r="CI39" i="6"/>
  <c r="BS43" i="6"/>
  <c r="BQ43" i="6"/>
  <c r="BP39" i="6"/>
  <c r="CQ39" i="6"/>
  <c r="AE42" i="6"/>
  <c r="AD42" i="6"/>
  <c r="AC42" i="6"/>
  <c r="AB42" i="6"/>
  <c r="O39" i="6"/>
  <c r="N39" i="6"/>
  <c r="M39" i="6"/>
  <c r="BS39" i="6"/>
  <c r="BQ39" i="6"/>
  <c r="CQ42" i="6"/>
  <c r="BZ39" i="6"/>
  <c r="O42" i="6"/>
  <c r="N42" i="6"/>
  <c r="M42" i="6"/>
  <c r="L39" i="6"/>
  <c r="AJ39" i="6"/>
  <c r="BS42" i="6"/>
  <c r="BQ42" i="6"/>
  <c r="CI43" i="6"/>
  <c r="CH43" i="6"/>
  <c r="CG43" i="6"/>
  <c r="CF43" i="6"/>
  <c r="W39" i="6"/>
  <c r="AL39" i="6"/>
  <c r="AM39" i="6"/>
  <c r="L42" i="6"/>
  <c r="AJ42" i="6"/>
  <c r="V43" i="6"/>
  <c r="AJ43" i="6"/>
  <c r="BY43" i="6"/>
  <c r="CN39" i="6"/>
  <c r="CN42" i="6"/>
  <c r="CN43" i="6"/>
  <c r="BB39" i="6"/>
  <c r="BB42" i="6"/>
  <c r="M43" i="6"/>
  <c r="BB43" i="6"/>
  <c r="N43" i="6"/>
  <c r="AS43" i="6"/>
  <c r="CV43" i="6"/>
  <c r="CP44" i="6"/>
  <c r="CL26" i="6"/>
  <c r="CC23" i="6"/>
  <c r="CL10" i="6"/>
  <c r="CL40" i="6"/>
  <c r="CE13" i="6"/>
  <c r="CK16" i="6"/>
  <c r="CK37" i="6"/>
  <c r="CM10" i="6"/>
  <c r="CM37" i="6"/>
  <c r="CK8" i="6"/>
  <c r="CL8" i="6"/>
  <c r="CL30" i="6"/>
  <c r="CL31" i="6" s="1"/>
  <c r="CE10" i="6"/>
  <c r="CM8" i="6"/>
  <c r="CL23" i="6"/>
  <c r="CM26" i="6"/>
  <c r="CM23" i="6"/>
  <c r="CM40" i="6"/>
  <c r="CD23" i="6"/>
  <c r="CC37" i="6"/>
  <c r="CM16" i="6"/>
  <c r="CM34" i="6"/>
  <c r="CD37" i="6"/>
  <c r="CM30" i="6"/>
  <c r="CM31" i="6" s="1"/>
  <c r="CK13" i="6"/>
  <c r="CL16" i="6"/>
  <c r="CK23" i="6"/>
  <c r="CD10" i="6"/>
  <c r="CM13" i="6"/>
  <c r="CL37" i="6"/>
  <c r="CD16" i="6"/>
  <c r="CD8" i="6"/>
  <c r="CL13" i="6"/>
  <c r="CK30" i="6"/>
  <c r="CK31" i="6" s="1"/>
  <c r="CK10" i="6"/>
  <c r="CK20" i="6"/>
  <c r="CL20" i="6"/>
  <c r="CM20" i="6"/>
  <c r="CK34" i="6"/>
  <c r="CK41" i="6" s="1"/>
  <c r="CK26" i="6"/>
  <c r="CL34" i="6"/>
  <c r="CK40" i="6"/>
  <c r="CC13" i="6"/>
  <c r="CC30" i="6"/>
  <c r="CD13" i="6"/>
  <c r="CC8" i="6"/>
  <c r="CE37" i="6"/>
  <c r="CD26" i="6"/>
  <c r="CE8" i="6"/>
  <c r="CE26" i="6"/>
  <c r="CD20" i="6"/>
  <c r="CD30" i="6"/>
  <c r="CD31" i="6" s="1"/>
  <c r="CC16" i="6"/>
  <c r="CE30" i="6"/>
  <c r="CD40" i="6"/>
  <c r="CE40" i="6"/>
  <c r="CE16" i="6"/>
  <c r="CC10" i="6"/>
  <c r="CE23" i="6"/>
  <c r="CE34" i="6"/>
  <c r="CC20" i="6"/>
  <c r="CE20" i="6"/>
  <c r="CC34" i="6"/>
  <c r="CC26" i="6"/>
  <c r="CD34" i="6"/>
  <c r="CC40" i="6"/>
  <c r="BW44" i="6"/>
  <c r="BW45" i="6" s="1"/>
  <c r="BU44" i="6"/>
  <c r="BU45" i="6" s="1"/>
  <c r="AY44" i="6"/>
  <c r="AY45" i="6" s="1"/>
  <c r="S44" i="6"/>
  <c r="S45" i="6" s="1"/>
  <c r="BO44" i="6"/>
  <c r="BO45" i="6" s="1"/>
  <c r="BM44" i="6"/>
  <c r="BM45" i="6" s="1"/>
  <c r="AQ44" i="6"/>
  <c r="AQ45" i="6" s="1"/>
  <c r="AO44" i="6"/>
  <c r="AO45" i="6" s="1"/>
  <c r="CD41" i="6" l="1"/>
  <c r="CE41" i="6"/>
  <c r="CC41" i="6"/>
  <c r="CE27" i="6"/>
  <c r="CL41" i="6"/>
  <c r="CM41" i="6"/>
  <c r="CG41" i="6"/>
  <c r="CI41" i="6"/>
  <c r="CH41" i="6"/>
  <c r="CF41" i="6"/>
  <c r="AU45" i="6"/>
  <c r="AS45" i="6"/>
  <c r="CG45" i="6"/>
  <c r="CI45" i="6"/>
  <c r="CH45" i="6"/>
  <c r="CF45" i="6"/>
  <c r="BQ45" i="6"/>
  <c r="BS45" i="6"/>
  <c r="CA45" i="6"/>
  <c r="BY45" i="6"/>
  <c r="CC27" i="6"/>
  <c r="CM45" i="6"/>
  <c r="CO45" i="6" s="1"/>
  <c r="CM27" i="6"/>
  <c r="CL27" i="6"/>
  <c r="CP41" i="6"/>
  <c r="CN41" i="6"/>
  <c r="CQ41" i="6"/>
  <c r="CO41" i="6"/>
  <c r="CK27" i="6"/>
  <c r="CN45" i="6"/>
  <c r="CP45" i="6"/>
  <c r="CD27" i="6"/>
  <c r="CH27" i="6" s="1"/>
  <c r="CQ31" i="6"/>
  <c r="CO31" i="6"/>
  <c r="CP31" i="6"/>
  <c r="CN31" i="6"/>
  <c r="CG27" i="6"/>
  <c r="CI27" i="6"/>
  <c r="CC31" i="6"/>
  <c r="CE31" i="6"/>
  <c r="CH44" i="6"/>
  <c r="CI44" i="6"/>
  <c r="U27" i="15"/>
  <c r="AP27" i="15"/>
  <c r="R27" i="15"/>
  <c r="AA27" i="15"/>
  <c r="AN27" i="15"/>
  <c r="AH27" i="15"/>
  <c r="M27" i="15"/>
  <c r="J27" i="15"/>
  <c r="AJ27" i="15"/>
  <c r="AM27" i="15"/>
  <c r="P27" i="15"/>
  <c r="S27" i="15"/>
  <c r="AG27" i="15"/>
  <c r="AE27" i="15"/>
  <c r="L27" i="15"/>
  <c r="O27" i="15"/>
  <c r="V27" i="15"/>
  <c r="AP41" i="15"/>
  <c r="AE41" i="15"/>
  <c r="P41" i="15"/>
  <c r="AQ41" i="15"/>
  <c r="V41" i="15"/>
  <c r="AD41" i="15"/>
  <c r="AH41" i="15"/>
  <c r="S41" i="15"/>
  <c r="X41" i="15"/>
  <c r="U41" i="15"/>
  <c r="AJ41" i="15"/>
  <c r="AG41" i="15"/>
  <c r="J41" i="15"/>
  <c r="M41" i="15"/>
  <c r="AN41" i="15"/>
  <c r="O41" i="15"/>
  <c r="R41" i="15"/>
  <c r="R17" i="15"/>
  <c r="L17" i="15"/>
  <c r="AM17" i="15"/>
  <c r="AH17" i="15"/>
  <c r="O17" i="15"/>
  <c r="Y17" i="15"/>
  <c r="AE17" i="15"/>
  <c r="P17" i="15"/>
  <c r="S17" i="15"/>
  <c r="J17" i="15"/>
  <c r="X17" i="15"/>
  <c r="M17" i="15"/>
  <c r="AQ17" i="15"/>
  <c r="AN17" i="15"/>
  <c r="V17" i="15"/>
  <c r="AJ17" i="15"/>
  <c r="AD17" i="15"/>
  <c r="AG17" i="15"/>
  <c r="AA17" i="15"/>
  <c r="I17" i="15"/>
  <c r="AB17" i="15"/>
  <c r="AP17" i="15"/>
  <c r="AK17" i="15"/>
  <c r="U17" i="15"/>
  <c r="CA44" i="6"/>
  <c r="CF44" i="6"/>
  <c r="CG44" i="6"/>
  <c r="AI44" i="6"/>
  <c r="AI45" i="6" s="1"/>
  <c r="CO44" i="6"/>
  <c r="BE44" i="6"/>
  <c r="BE45" i="6" s="1"/>
  <c r="CS44" i="6"/>
  <c r="CS45" i="6" s="1"/>
  <c r="Y44" i="6"/>
  <c r="Y45" i="6" s="1"/>
  <c r="AW44" i="6"/>
  <c r="AW45" i="6" s="1"/>
  <c r="BC45" i="6" s="1"/>
  <c r="BF44" i="6"/>
  <c r="BF45" i="6" s="1"/>
  <c r="CT44" i="6"/>
  <c r="CT45" i="6" s="1"/>
  <c r="Z44" i="6"/>
  <c r="Z45" i="6" s="1"/>
  <c r="AB45" i="6" s="1"/>
  <c r="AX44" i="6"/>
  <c r="AX45" i="6" s="1"/>
  <c r="K44" i="6"/>
  <c r="K45" i="6" s="1"/>
  <c r="BG44" i="6"/>
  <c r="BG45" i="6" s="1"/>
  <c r="CU44" i="6"/>
  <c r="CU45" i="6" s="1"/>
  <c r="AA44" i="6"/>
  <c r="AA45" i="6" s="1"/>
  <c r="AU44" i="6"/>
  <c r="BS44" i="6"/>
  <c r="Q44" i="6"/>
  <c r="Q45" i="6" s="1"/>
  <c r="AG44" i="6"/>
  <c r="AG45" i="6" s="1"/>
  <c r="CN44" i="6"/>
  <c r="AP44" i="6"/>
  <c r="BN44" i="6"/>
  <c r="R44" i="6"/>
  <c r="R45" i="6" s="1"/>
  <c r="AH44" i="6"/>
  <c r="AH45" i="6" s="1"/>
  <c r="BV44" i="6"/>
  <c r="I44" i="6"/>
  <c r="I45" i="6" s="1"/>
  <c r="J44" i="6"/>
  <c r="J45" i="6" s="1"/>
  <c r="CF23" i="6"/>
  <c r="CI23" i="6"/>
  <c r="CQ37" i="6"/>
  <c r="CH23" i="6"/>
  <c r="CP37" i="6"/>
  <c r="CP8" i="6"/>
  <c r="CH37" i="6"/>
  <c r="CM17" i="6"/>
  <c r="CO37" i="6"/>
  <c r="CL17" i="6"/>
  <c r="CF37" i="6"/>
  <c r="CC17" i="6"/>
  <c r="CO16" i="6"/>
  <c r="CD17" i="6"/>
  <c r="CQ16" i="6"/>
  <c r="CN8" i="6"/>
  <c r="CQ8" i="6"/>
  <c r="CK17" i="6"/>
  <c r="CP16" i="6"/>
  <c r="CO8" i="6"/>
  <c r="CI37" i="6"/>
  <c r="CQ30" i="6"/>
  <c r="CP30" i="6"/>
  <c r="CO30" i="6"/>
  <c r="CN30" i="6"/>
  <c r="CN16" i="6"/>
  <c r="CE17" i="6"/>
  <c r="CQ10" i="6"/>
  <c r="CP10" i="6"/>
  <c r="CO10" i="6"/>
  <c r="CN10" i="6"/>
  <c r="CN37" i="6"/>
  <c r="CQ40" i="6"/>
  <c r="CP40" i="6"/>
  <c r="CO40" i="6"/>
  <c r="CN40" i="6"/>
  <c r="CQ26" i="6"/>
  <c r="CP26" i="6"/>
  <c r="CO26" i="6"/>
  <c r="CN26" i="6"/>
  <c r="CQ34" i="6"/>
  <c r="CP34" i="6"/>
  <c r="CN34" i="6"/>
  <c r="CO34" i="6"/>
  <c r="CN23" i="6"/>
  <c r="CQ23" i="6"/>
  <c r="CP23" i="6"/>
  <c r="CO23" i="6"/>
  <c r="CQ20" i="6"/>
  <c r="CP20" i="6"/>
  <c r="CO20" i="6"/>
  <c r="CN20" i="6"/>
  <c r="CP13" i="6"/>
  <c r="CO13" i="6"/>
  <c r="CN13" i="6"/>
  <c r="CQ13" i="6"/>
  <c r="BW26" i="6"/>
  <c r="CI34" i="6"/>
  <c r="CH34" i="6"/>
  <c r="CF34" i="6"/>
  <c r="CG34" i="6"/>
  <c r="CG23" i="6"/>
  <c r="AI37" i="6"/>
  <c r="CG37" i="6"/>
  <c r="CH10" i="6"/>
  <c r="CI10" i="6"/>
  <c r="CG10" i="6"/>
  <c r="CF10" i="6"/>
  <c r="CG13" i="6"/>
  <c r="CI13" i="6"/>
  <c r="CH13" i="6"/>
  <c r="CF13" i="6"/>
  <c r="BV23" i="6"/>
  <c r="CG8" i="6"/>
  <c r="CI8" i="6"/>
  <c r="CH8" i="6"/>
  <c r="CF8" i="6"/>
  <c r="CI40" i="6"/>
  <c r="CH40" i="6"/>
  <c r="CF40" i="6"/>
  <c r="CG40" i="6"/>
  <c r="CI26" i="6"/>
  <c r="CH26" i="6"/>
  <c r="CG26" i="6"/>
  <c r="CF26" i="6"/>
  <c r="CI30" i="6"/>
  <c r="CH30" i="6"/>
  <c r="CG30" i="6"/>
  <c r="CF30" i="6"/>
  <c r="BW37" i="6"/>
  <c r="CI20" i="6"/>
  <c r="CH20" i="6"/>
  <c r="CF20" i="6"/>
  <c r="CG20" i="6"/>
  <c r="CH16" i="6"/>
  <c r="CG16" i="6"/>
  <c r="CI16" i="6"/>
  <c r="CF16" i="6"/>
  <c r="BW34" i="6"/>
  <c r="BV10" i="6"/>
  <c r="BW13" i="6"/>
  <c r="AX10" i="6"/>
  <c r="AY30" i="6"/>
  <c r="BU16" i="6"/>
  <c r="BW10" i="6"/>
  <c r="BV13" i="6"/>
  <c r="BV16" i="6"/>
  <c r="BV30" i="6"/>
  <c r="BV37" i="6"/>
  <c r="AX30" i="6"/>
  <c r="AX40" i="6"/>
  <c r="BW16" i="6"/>
  <c r="BV26" i="6"/>
  <c r="BV40" i="6"/>
  <c r="AY40" i="6"/>
  <c r="BW23" i="6"/>
  <c r="BW40" i="6"/>
  <c r="BU8" i="6"/>
  <c r="AX8" i="6"/>
  <c r="BV8" i="6"/>
  <c r="AX23" i="6"/>
  <c r="BW8" i="6"/>
  <c r="BU40" i="6"/>
  <c r="AY23" i="6"/>
  <c r="AX34" i="6"/>
  <c r="BW30" i="6"/>
  <c r="AH30" i="6"/>
  <c r="AY13" i="6"/>
  <c r="BU13" i="6"/>
  <c r="BU23" i="6"/>
  <c r="BU37" i="6"/>
  <c r="BU10" i="6"/>
  <c r="BU20" i="6"/>
  <c r="BV20" i="6"/>
  <c r="BW20" i="6"/>
  <c r="BU34" i="6"/>
  <c r="BU26" i="6"/>
  <c r="BU30" i="6"/>
  <c r="BV34" i="6"/>
  <c r="AX26" i="6"/>
  <c r="AX37" i="6"/>
  <c r="AI16" i="6"/>
  <c r="AY26" i="6"/>
  <c r="AW13" i="6"/>
  <c r="AX13" i="6"/>
  <c r="AX16" i="6"/>
  <c r="AG23" i="6"/>
  <c r="AK44" i="6"/>
  <c r="AW16" i="6"/>
  <c r="AW30" i="6"/>
  <c r="AW26" i="6"/>
  <c r="AY8" i="6"/>
  <c r="AW10" i="6"/>
  <c r="AW23" i="6"/>
  <c r="AX20" i="6"/>
  <c r="AY10" i="6"/>
  <c r="AI30" i="6"/>
  <c r="AW8" i="6"/>
  <c r="AY34" i="6"/>
  <c r="AW37" i="6"/>
  <c r="AY16" i="6"/>
  <c r="AW20" i="6"/>
  <c r="AY37" i="6"/>
  <c r="AY20" i="6"/>
  <c r="AW34" i="6"/>
  <c r="AW40" i="6"/>
  <c r="Z23" i="6"/>
  <c r="AG10" i="6"/>
  <c r="AI34" i="6"/>
  <c r="AG37" i="6"/>
  <c r="AH40" i="6"/>
  <c r="AG8" i="6"/>
  <c r="AH37" i="6"/>
  <c r="AH8" i="6"/>
  <c r="AG13" i="6"/>
  <c r="AI8" i="6"/>
  <c r="AH13" i="6"/>
  <c r="AH26" i="6"/>
  <c r="AI13" i="6"/>
  <c r="AI26" i="6"/>
  <c r="AG30" i="6"/>
  <c r="Z8" i="6"/>
  <c r="AA34" i="6"/>
  <c r="Y30" i="6"/>
  <c r="S20" i="6"/>
  <c r="AG16" i="6"/>
  <c r="AG20" i="6"/>
  <c r="AI40" i="6"/>
  <c r="Z13" i="6"/>
  <c r="AA37" i="6"/>
  <c r="AH10" i="6"/>
  <c r="AH16" i="6"/>
  <c r="Z20" i="6"/>
  <c r="AI10" i="6"/>
  <c r="S34" i="6"/>
  <c r="Y10" i="6"/>
  <c r="AA10" i="6"/>
  <c r="AA20" i="6"/>
  <c r="AH23" i="6"/>
  <c r="Z10" i="6"/>
  <c r="AG40" i="6"/>
  <c r="AH20" i="6"/>
  <c r="AI20" i="6"/>
  <c r="AG34" i="6"/>
  <c r="AG26" i="6"/>
  <c r="AH34" i="6"/>
  <c r="AH41" i="6" s="1"/>
  <c r="AI23" i="6"/>
  <c r="R8" i="6"/>
  <c r="R40" i="6"/>
  <c r="AA26" i="6"/>
  <c r="Z30" i="6"/>
  <c r="Y37" i="6"/>
  <c r="Q16" i="6"/>
  <c r="S40" i="6"/>
  <c r="Y8" i="6"/>
  <c r="AA13" i="6"/>
  <c r="AA30" i="6"/>
  <c r="Z37" i="6"/>
  <c r="Z40" i="6"/>
  <c r="R30" i="6"/>
  <c r="S30" i="6"/>
  <c r="AA8" i="6"/>
  <c r="S8" i="6"/>
  <c r="R13" i="6"/>
  <c r="S13" i="6"/>
  <c r="Y13" i="6"/>
  <c r="R16" i="6"/>
  <c r="R26" i="6"/>
  <c r="Y16" i="6"/>
  <c r="AA23" i="6"/>
  <c r="S16" i="6"/>
  <c r="R23" i="6"/>
  <c r="Q37" i="6"/>
  <c r="S23" i="6"/>
  <c r="R37" i="6"/>
  <c r="AA40" i="6"/>
  <c r="S37" i="6"/>
  <c r="Z16" i="6"/>
  <c r="Y26" i="6"/>
  <c r="Q8" i="6"/>
  <c r="AA16" i="6"/>
  <c r="Z26" i="6"/>
  <c r="Z34" i="6"/>
  <c r="Y20" i="6"/>
  <c r="Y34" i="6"/>
  <c r="Y23" i="6"/>
  <c r="Y40" i="6"/>
  <c r="Q10" i="6"/>
  <c r="Q20" i="6"/>
  <c r="R10" i="6"/>
  <c r="Q13" i="6"/>
  <c r="R20" i="6"/>
  <c r="S10" i="6"/>
  <c r="Q34" i="6"/>
  <c r="Q26" i="6"/>
  <c r="Q30" i="6"/>
  <c r="R34" i="6"/>
  <c r="S26" i="6"/>
  <c r="Q23" i="6"/>
  <c r="Q40" i="6"/>
  <c r="BQ44" i="6"/>
  <c r="CT40" i="6"/>
  <c r="BO40" i="6"/>
  <c r="AQ40" i="6"/>
  <c r="BG37" i="6"/>
  <c r="CT37" i="6"/>
  <c r="BN37" i="6"/>
  <c r="BF37" i="6"/>
  <c r="BE37" i="6"/>
  <c r="AP37" i="6"/>
  <c r="J37" i="6"/>
  <c r="CS34" i="6"/>
  <c r="CU34" i="6"/>
  <c r="CU30" i="6"/>
  <c r="CT30" i="6"/>
  <c r="BO30" i="6"/>
  <c r="BM30" i="6"/>
  <c r="BG30" i="6"/>
  <c r="BF30" i="6"/>
  <c r="AQ30" i="6"/>
  <c r="AP30" i="6"/>
  <c r="AO30" i="6"/>
  <c r="J30" i="6"/>
  <c r="CU26" i="6"/>
  <c r="BO26" i="6"/>
  <c r="BM26" i="6"/>
  <c r="BG26" i="6"/>
  <c r="AQ26" i="6"/>
  <c r="AP26" i="6"/>
  <c r="AO26" i="6"/>
  <c r="BN23" i="6"/>
  <c r="AP23" i="6"/>
  <c r="J23" i="6"/>
  <c r="BM20" i="6"/>
  <c r="BF20" i="6"/>
  <c r="CT16" i="6"/>
  <c r="BG16" i="6"/>
  <c r="BF16" i="6"/>
  <c r="AO16" i="6"/>
  <c r="J16" i="6"/>
  <c r="CU13" i="6"/>
  <c r="CT13" i="6"/>
  <c r="BN13" i="6"/>
  <c r="BG13" i="6"/>
  <c r="BF13" i="6"/>
  <c r="J13" i="6"/>
  <c r="BM10" i="6"/>
  <c r="BE10" i="6"/>
  <c r="CU10" i="6"/>
  <c r="BO10" i="6"/>
  <c r="BG10" i="6"/>
  <c r="AQ10" i="6"/>
  <c r="AP10" i="6"/>
  <c r="AO10" i="6"/>
  <c r="K10" i="6"/>
  <c r="BN8" i="6"/>
  <c r="AP8" i="6"/>
  <c r="CU8" i="6"/>
  <c r="CT8" i="6"/>
  <c r="BO8" i="6"/>
  <c r="BG8" i="6"/>
  <c r="BF8" i="6"/>
  <c r="BE8" i="6"/>
  <c r="AQ8" i="6"/>
  <c r="K8" i="6"/>
  <c r="J8" i="6"/>
  <c r="I8" i="6"/>
  <c r="CN27" i="6" l="1"/>
  <c r="AG41" i="6"/>
  <c r="AA27" i="6"/>
  <c r="Y41" i="6"/>
  <c r="CF27" i="6"/>
  <c r="AY27" i="6"/>
  <c r="AC45" i="6"/>
  <c r="Z41" i="6"/>
  <c r="AB41" i="6" s="1"/>
  <c r="R41" i="6"/>
  <c r="BB45" i="6"/>
  <c r="BW41" i="6"/>
  <c r="CQ27" i="6"/>
  <c r="CO27" i="6"/>
  <c r="AD41" i="6"/>
  <c r="AE41" i="6"/>
  <c r="AY41" i="6"/>
  <c r="BZ44" i="6"/>
  <c r="BV45" i="6"/>
  <c r="CP27" i="6"/>
  <c r="Q41" i="6"/>
  <c r="AX41" i="6"/>
  <c r="AL41" i="6"/>
  <c r="AJ41" i="6"/>
  <c r="BA45" i="6"/>
  <c r="AZ45" i="6"/>
  <c r="AW41" i="6"/>
  <c r="AI27" i="6"/>
  <c r="AG27" i="6"/>
  <c r="AK27" i="6" s="1"/>
  <c r="AX27" i="6"/>
  <c r="BV41" i="6"/>
  <c r="BR44" i="6"/>
  <c r="BN45" i="6"/>
  <c r="AD45" i="6"/>
  <c r="AE45" i="6"/>
  <c r="AH27" i="6"/>
  <c r="AT44" i="6"/>
  <c r="AP45" i="6"/>
  <c r="CY45" i="6"/>
  <c r="CV45" i="6"/>
  <c r="CX45" i="6"/>
  <c r="CW45" i="6"/>
  <c r="S41" i="6"/>
  <c r="AI41" i="6"/>
  <c r="AK41" i="6" s="1"/>
  <c r="BJ45" i="6"/>
  <c r="BH45" i="6"/>
  <c r="BI45" i="6"/>
  <c r="BK45" i="6"/>
  <c r="BU41" i="6"/>
  <c r="AL45" i="6"/>
  <c r="AK45" i="6"/>
  <c r="AM45" i="6"/>
  <c r="AJ45" i="6"/>
  <c r="CQ45" i="6"/>
  <c r="Q27" i="6"/>
  <c r="AA41" i="6"/>
  <c r="AC41" i="6" s="1"/>
  <c r="T45" i="6"/>
  <c r="U45" i="6"/>
  <c r="V45" i="6"/>
  <c r="W45" i="6"/>
  <c r="BF31" i="6"/>
  <c r="BW27" i="6"/>
  <c r="AY31" i="6"/>
  <c r="S27" i="6"/>
  <c r="AW31" i="6"/>
  <c r="BM31" i="6"/>
  <c r="AG31" i="6"/>
  <c r="BU27" i="6"/>
  <c r="AP31" i="6"/>
  <c r="BO31" i="6"/>
  <c r="CT31" i="6"/>
  <c r="Z31" i="6"/>
  <c r="AQ31" i="6"/>
  <c r="CU31" i="6"/>
  <c r="AW27" i="6"/>
  <c r="BA27" i="6" s="1"/>
  <c r="Z27" i="6"/>
  <c r="J31" i="6"/>
  <c r="Q31" i="6"/>
  <c r="BU31" i="6"/>
  <c r="CH31" i="6"/>
  <c r="CF31" i="6"/>
  <c r="CG31" i="6"/>
  <c r="AA31" i="6"/>
  <c r="Y31" i="6"/>
  <c r="BV27" i="6"/>
  <c r="Y27" i="6"/>
  <c r="AH31" i="6"/>
  <c r="BG31" i="6"/>
  <c r="BW31" i="6"/>
  <c r="AX31" i="6"/>
  <c r="AO31" i="6"/>
  <c r="S31" i="6"/>
  <c r="AI31" i="6"/>
  <c r="CI31" i="6"/>
  <c r="R27" i="6"/>
  <c r="R31" i="6"/>
  <c r="BV31" i="6"/>
  <c r="AB46" i="15"/>
  <c r="Y46" i="15"/>
  <c r="S46" i="15"/>
  <c r="AH46" i="15"/>
  <c r="M46" i="15"/>
  <c r="X46" i="15"/>
  <c r="J46" i="15"/>
  <c r="O46" i="15"/>
  <c r="AJ46" i="15"/>
  <c r="V46" i="15"/>
  <c r="AN46" i="15"/>
  <c r="R46" i="15"/>
  <c r="AD46" i="15"/>
  <c r="P46" i="15"/>
  <c r="U46" i="15"/>
  <c r="AE46" i="15"/>
  <c r="AK46" i="15"/>
  <c r="I46" i="15"/>
  <c r="AM46" i="15"/>
  <c r="AG46" i="15"/>
  <c r="AA46" i="15"/>
  <c r="AP46" i="15"/>
  <c r="AQ46" i="15"/>
  <c r="L46" i="15"/>
  <c r="AE44" i="6"/>
  <c r="T44" i="6"/>
  <c r="AJ44" i="6"/>
  <c r="AD44" i="6"/>
  <c r="AR44" i="6"/>
  <c r="AM44" i="6"/>
  <c r="AL44" i="6"/>
  <c r="AS44" i="6"/>
  <c r="BP44" i="6"/>
  <c r="BX44" i="6"/>
  <c r="W44" i="6"/>
  <c r="V44" i="6"/>
  <c r="BB44" i="6"/>
  <c r="BC44" i="6"/>
  <c r="BI44" i="6"/>
  <c r="AC44" i="6"/>
  <c r="BY44" i="6"/>
  <c r="CY44" i="6"/>
  <c r="CX44" i="6"/>
  <c r="BK44" i="6"/>
  <c r="BJ44" i="6"/>
  <c r="AB44" i="6"/>
  <c r="BH44" i="6"/>
  <c r="AZ44" i="6"/>
  <c r="BA44" i="6"/>
  <c r="U44" i="6"/>
  <c r="N44" i="6"/>
  <c r="O44" i="6"/>
  <c r="CH17" i="6"/>
  <c r="CP17" i="6"/>
  <c r="CN17" i="6"/>
  <c r="CA16" i="6"/>
  <c r="BZ16" i="6"/>
  <c r="CO17" i="6"/>
  <c r="CF17" i="6"/>
  <c r="T8" i="6"/>
  <c r="CM46" i="6"/>
  <c r="AD30" i="6"/>
  <c r="CI17" i="6"/>
  <c r="AC10" i="6"/>
  <c r="CC46" i="6"/>
  <c r="CK46" i="6"/>
  <c r="CG17" i="6"/>
  <c r="CL46" i="6"/>
  <c r="CQ17" i="6"/>
  <c r="CD46" i="6"/>
  <c r="CE46" i="6"/>
  <c r="AK23" i="6"/>
  <c r="AL23" i="6"/>
  <c r="BX16" i="6"/>
  <c r="AE30" i="6"/>
  <c r="BW17" i="6"/>
  <c r="BY16" i="6"/>
  <c r="AB10" i="6"/>
  <c r="AE10" i="6"/>
  <c r="AY17" i="6"/>
  <c r="U16" i="6"/>
  <c r="BV17" i="6"/>
  <c r="CA37" i="6"/>
  <c r="BZ37" i="6"/>
  <c r="BY37" i="6"/>
  <c r="BX37" i="6"/>
  <c r="CA40" i="6"/>
  <c r="BZ40" i="6"/>
  <c r="BY40" i="6"/>
  <c r="BX40" i="6"/>
  <c r="U8" i="6"/>
  <c r="V16" i="6"/>
  <c r="AD10" i="6"/>
  <c r="BZ10" i="6"/>
  <c r="BY10" i="6"/>
  <c r="BX10" i="6"/>
  <c r="CA10" i="6"/>
  <c r="CA30" i="6"/>
  <c r="BZ30" i="6"/>
  <c r="BY30" i="6"/>
  <c r="BX30" i="6"/>
  <c r="BY23" i="6"/>
  <c r="BX23" i="6"/>
  <c r="CA23" i="6"/>
  <c r="BZ23" i="6"/>
  <c r="BX8" i="6"/>
  <c r="CA8" i="6"/>
  <c r="BZ8" i="6"/>
  <c r="BY8" i="6"/>
  <c r="CA26" i="6"/>
  <c r="BZ26" i="6"/>
  <c r="BY26" i="6"/>
  <c r="BX26" i="6"/>
  <c r="BZ20" i="6"/>
  <c r="BY20" i="6"/>
  <c r="BX20" i="6"/>
  <c r="CA20" i="6"/>
  <c r="BY13" i="6"/>
  <c r="BX13" i="6"/>
  <c r="CA13" i="6"/>
  <c r="BZ13" i="6"/>
  <c r="BU17" i="6"/>
  <c r="CA34" i="6"/>
  <c r="BZ34" i="6"/>
  <c r="BY34" i="6"/>
  <c r="BX34" i="6"/>
  <c r="BC8" i="6"/>
  <c r="BB8" i="6"/>
  <c r="BA8" i="6"/>
  <c r="AZ8" i="6"/>
  <c r="AZ23" i="6"/>
  <c r="BC23" i="6"/>
  <c r="BB23" i="6"/>
  <c r="BA23" i="6"/>
  <c r="Z17" i="6"/>
  <c r="W16" i="6"/>
  <c r="AX17" i="6"/>
  <c r="AI17" i="6"/>
  <c r="BB34" i="6"/>
  <c r="BA34" i="6"/>
  <c r="AZ34" i="6"/>
  <c r="BC34" i="6"/>
  <c r="BB16" i="6"/>
  <c r="BA16" i="6"/>
  <c r="AZ16" i="6"/>
  <c r="BC16" i="6"/>
  <c r="BA13" i="6"/>
  <c r="BC13" i="6"/>
  <c r="BB13" i="6"/>
  <c r="AZ13" i="6"/>
  <c r="BC40" i="6"/>
  <c r="BB40" i="6"/>
  <c r="BA40" i="6"/>
  <c r="AZ40" i="6"/>
  <c r="BB37" i="6"/>
  <c r="BA37" i="6"/>
  <c r="AZ37" i="6"/>
  <c r="BC37" i="6"/>
  <c r="BC20" i="6"/>
  <c r="BB20" i="6"/>
  <c r="AZ20" i="6"/>
  <c r="BA20" i="6"/>
  <c r="AZ10" i="6"/>
  <c r="BA10" i="6"/>
  <c r="BC10" i="6"/>
  <c r="BB10" i="6"/>
  <c r="S17" i="6"/>
  <c r="BC30" i="6"/>
  <c r="BA30" i="6"/>
  <c r="AZ30" i="6"/>
  <c r="BB30" i="6"/>
  <c r="AW17" i="6"/>
  <c r="R17" i="6"/>
  <c r="BC26" i="6"/>
  <c r="BA26" i="6"/>
  <c r="AZ26" i="6"/>
  <c r="BB26" i="6"/>
  <c r="T16" i="6"/>
  <c r="V8" i="6"/>
  <c r="AM13" i="6"/>
  <c r="AL13" i="6"/>
  <c r="AJ13" i="6"/>
  <c r="AK13" i="6"/>
  <c r="AM10" i="6"/>
  <c r="AK10" i="6"/>
  <c r="AJ10" i="6"/>
  <c r="AL10" i="6"/>
  <c r="W8" i="6"/>
  <c r="AM37" i="6"/>
  <c r="AL37" i="6"/>
  <c r="AK37" i="6"/>
  <c r="AJ37" i="6"/>
  <c r="W37" i="6"/>
  <c r="AA17" i="6"/>
  <c r="AM20" i="6"/>
  <c r="AK20" i="6"/>
  <c r="AJ20" i="6"/>
  <c r="AL20" i="6"/>
  <c r="AM30" i="6"/>
  <c r="AL30" i="6"/>
  <c r="AK30" i="6"/>
  <c r="AJ30" i="6"/>
  <c r="AL8" i="6"/>
  <c r="AM8" i="6"/>
  <c r="AK8" i="6"/>
  <c r="AJ8" i="6"/>
  <c r="AM23" i="6"/>
  <c r="AH17" i="6"/>
  <c r="AM26" i="6"/>
  <c r="AL26" i="6"/>
  <c r="AK26" i="6"/>
  <c r="AJ26" i="6"/>
  <c r="AJ23" i="6"/>
  <c r="AG17" i="6"/>
  <c r="Q17" i="6"/>
  <c r="AM16" i="6"/>
  <c r="AL16" i="6"/>
  <c r="AK16" i="6"/>
  <c r="AJ16" i="6"/>
  <c r="AM34" i="6"/>
  <c r="AL34" i="6"/>
  <c r="AK34" i="6"/>
  <c r="AJ34" i="6"/>
  <c r="AM40" i="6"/>
  <c r="AL40" i="6"/>
  <c r="AK40" i="6"/>
  <c r="AJ40" i="6"/>
  <c r="T37" i="6"/>
  <c r="U37" i="6"/>
  <c r="AC23" i="6"/>
  <c r="AB23" i="6"/>
  <c r="AE23" i="6"/>
  <c r="AD23" i="6"/>
  <c r="V37" i="6"/>
  <c r="AE20" i="6"/>
  <c r="AD20" i="6"/>
  <c r="AB20" i="6"/>
  <c r="AC20" i="6"/>
  <c r="AD16" i="6"/>
  <c r="AE16" i="6"/>
  <c r="AC16" i="6"/>
  <c r="AB16" i="6"/>
  <c r="AD13" i="6"/>
  <c r="AC13" i="6"/>
  <c r="AE13" i="6"/>
  <c r="AB13" i="6"/>
  <c r="AE26" i="6"/>
  <c r="AD26" i="6"/>
  <c r="AC26" i="6"/>
  <c r="AB26" i="6"/>
  <c r="Y17" i="6"/>
  <c r="AD37" i="6"/>
  <c r="AB37" i="6"/>
  <c r="AE37" i="6"/>
  <c r="AC37" i="6"/>
  <c r="AB30" i="6"/>
  <c r="AC30" i="6"/>
  <c r="AE40" i="6"/>
  <c r="AC40" i="6"/>
  <c r="AB40" i="6"/>
  <c r="AD40" i="6"/>
  <c r="AE34" i="6"/>
  <c r="AD34" i="6"/>
  <c r="AC34" i="6"/>
  <c r="AB34" i="6"/>
  <c r="AC8" i="6"/>
  <c r="AE8" i="6"/>
  <c r="AD8" i="6"/>
  <c r="AB8" i="6"/>
  <c r="W40" i="6"/>
  <c r="V40" i="6"/>
  <c r="U40" i="6"/>
  <c r="T40" i="6"/>
  <c r="W34" i="6"/>
  <c r="V34" i="6"/>
  <c r="U34" i="6"/>
  <c r="T34" i="6"/>
  <c r="W10" i="6"/>
  <c r="V10" i="6"/>
  <c r="U10" i="6"/>
  <c r="T10" i="6"/>
  <c r="W30" i="6"/>
  <c r="V30" i="6"/>
  <c r="U30" i="6"/>
  <c r="T30" i="6"/>
  <c r="W26" i="6"/>
  <c r="V26" i="6"/>
  <c r="U26" i="6"/>
  <c r="T26" i="6"/>
  <c r="U23" i="6"/>
  <c r="T23" i="6"/>
  <c r="W23" i="6"/>
  <c r="V23" i="6"/>
  <c r="W20" i="6"/>
  <c r="V20" i="6"/>
  <c r="U20" i="6"/>
  <c r="T20" i="6"/>
  <c r="W13" i="6"/>
  <c r="V13" i="6"/>
  <c r="U13" i="6"/>
  <c r="T13" i="6"/>
  <c r="BG17" i="6"/>
  <c r="BI10" i="6"/>
  <c r="BK10" i="6"/>
  <c r="BS30" i="6"/>
  <c r="BQ30" i="6"/>
  <c r="BJ8" i="6"/>
  <c r="BI8" i="6"/>
  <c r="BH8" i="6"/>
  <c r="BK8" i="6"/>
  <c r="BQ10" i="6"/>
  <c r="BS10" i="6"/>
  <c r="BK37" i="6"/>
  <c r="BJ37" i="6"/>
  <c r="BI37" i="6"/>
  <c r="BH37" i="6"/>
  <c r="BS26" i="6"/>
  <c r="BQ26" i="6"/>
  <c r="AU26" i="6"/>
  <c r="AT26" i="6"/>
  <c r="AS26" i="6"/>
  <c r="AR26" i="6"/>
  <c r="AU30" i="6"/>
  <c r="AT30" i="6"/>
  <c r="AS30" i="6"/>
  <c r="AR30" i="6"/>
  <c r="AS10" i="6"/>
  <c r="AR10" i="6"/>
  <c r="AU10" i="6"/>
  <c r="AT10" i="6"/>
  <c r="O8" i="6"/>
  <c r="N8" i="6"/>
  <c r="M8" i="6"/>
  <c r="L8" i="6"/>
  <c r="BM13" i="6"/>
  <c r="CU16" i="6"/>
  <c r="J10" i="6"/>
  <c r="J17" i="6" s="1"/>
  <c r="AO13" i="6"/>
  <c r="BO13" i="6"/>
  <c r="BF10" i="6"/>
  <c r="CT10" i="6"/>
  <c r="CT17" i="6" s="1"/>
  <c r="AP13" i="6"/>
  <c r="CS8" i="6"/>
  <c r="AQ13" i="6"/>
  <c r="CS10" i="6"/>
  <c r="CS13" i="6"/>
  <c r="I10" i="6"/>
  <c r="BE13" i="6"/>
  <c r="I13" i="6"/>
  <c r="BN10" i="6"/>
  <c r="AO8" i="6"/>
  <c r="BM8" i="6"/>
  <c r="K13" i="6"/>
  <c r="BM16" i="6"/>
  <c r="AQ20" i="6"/>
  <c r="AP16" i="6"/>
  <c r="BN16" i="6"/>
  <c r="CU20" i="6"/>
  <c r="AQ16" i="6"/>
  <c r="BO16" i="6"/>
  <c r="BE20" i="6"/>
  <c r="I16" i="6"/>
  <c r="BG20" i="6"/>
  <c r="BG27" i="6" s="1"/>
  <c r="K16" i="6"/>
  <c r="BE16" i="6"/>
  <c r="CS16" i="6"/>
  <c r="I20" i="6"/>
  <c r="CS20" i="6"/>
  <c r="CT20" i="6"/>
  <c r="AP20" i="6"/>
  <c r="AP27" i="6" s="1"/>
  <c r="BN20" i="6"/>
  <c r="CY34" i="6"/>
  <c r="AO23" i="6"/>
  <c r="J20" i="6"/>
  <c r="BO23" i="6"/>
  <c r="BN26" i="6"/>
  <c r="BP26" i="6" s="1"/>
  <c r="K20" i="6"/>
  <c r="AQ23" i="6"/>
  <c r="J26" i="6"/>
  <c r="BM23" i="6"/>
  <c r="BM27" i="6" s="1"/>
  <c r="K26" i="6"/>
  <c r="I23" i="6"/>
  <c r="CS23" i="6"/>
  <c r="BE23" i="6"/>
  <c r="CT23" i="6"/>
  <c r="BO20" i="6"/>
  <c r="K23" i="6"/>
  <c r="BF23" i="6"/>
  <c r="CU23" i="6"/>
  <c r="AO20" i="6"/>
  <c r="AO27" i="6" s="1"/>
  <c r="BG23" i="6"/>
  <c r="BN34" i="6"/>
  <c r="BN41" i="6" s="1"/>
  <c r="BF26" i="6"/>
  <c r="CT26" i="6"/>
  <c r="I26" i="6"/>
  <c r="CS26" i="6"/>
  <c r="BE26" i="6"/>
  <c r="BN30" i="6"/>
  <c r="AO34" i="6"/>
  <c r="I30" i="6"/>
  <c r="CS30" i="6"/>
  <c r="BE30" i="6"/>
  <c r="K30" i="6"/>
  <c r="AP34" i="6"/>
  <c r="AP41" i="6" s="1"/>
  <c r="BO34" i="6"/>
  <c r="AO37" i="6"/>
  <c r="CS37" i="6"/>
  <c r="AQ34" i="6"/>
  <c r="AQ37" i="6"/>
  <c r="CU37" i="6"/>
  <c r="I34" i="6"/>
  <c r="J34" i="6"/>
  <c r="K34" i="6"/>
  <c r="BE34" i="6"/>
  <c r="BM34" i="6"/>
  <c r="BG34" i="6"/>
  <c r="BO37" i="6"/>
  <c r="K37" i="6"/>
  <c r="I40" i="6"/>
  <c r="CS40" i="6"/>
  <c r="BM37" i="6"/>
  <c r="J40" i="6"/>
  <c r="BE40" i="6"/>
  <c r="K40" i="6"/>
  <c r="BF40" i="6"/>
  <c r="CU40" i="6"/>
  <c r="BG40" i="6"/>
  <c r="BM40" i="6"/>
  <c r="I37" i="6"/>
  <c r="AO40" i="6"/>
  <c r="BN40" i="6"/>
  <c r="BF34" i="6"/>
  <c r="CT34" i="6"/>
  <c r="CT41" i="6" s="1"/>
  <c r="AP40" i="6"/>
  <c r="CU41" i="6" l="1"/>
  <c r="BB27" i="6"/>
  <c r="AM41" i="6"/>
  <c r="AM27" i="6"/>
  <c r="BA41" i="6"/>
  <c r="CS41" i="6"/>
  <c r="CX41" i="6" s="1"/>
  <c r="AZ41" i="6"/>
  <c r="AL27" i="6"/>
  <c r="BE41" i="6"/>
  <c r="T27" i="6"/>
  <c r="K41" i="6"/>
  <c r="J41" i="6"/>
  <c r="U27" i="6"/>
  <c r="CY41" i="6"/>
  <c r="CV41" i="6"/>
  <c r="CW41" i="6"/>
  <c r="AR45" i="6"/>
  <c r="AT45" i="6"/>
  <c r="AJ27" i="6"/>
  <c r="V41" i="6"/>
  <c r="U41" i="6"/>
  <c r="T41" i="6"/>
  <c r="W41" i="6"/>
  <c r="BX41" i="6"/>
  <c r="BY41" i="6"/>
  <c r="BZ41" i="6"/>
  <c r="CA41" i="6"/>
  <c r="AQ41" i="6"/>
  <c r="BR45" i="6"/>
  <c r="BP45" i="6"/>
  <c r="BZ45" i="6"/>
  <c r="BX45" i="6"/>
  <c r="W27" i="6"/>
  <c r="BO41" i="6"/>
  <c r="I41" i="6"/>
  <c r="BF27" i="6"/>
  <c r="BN27" i="6"/>
  <c r="BR27" i="6" s="1"/>
  <c r="AQ27" i="6"/>
  <c r="AU27" i="6" s="1"/>
  <c r="BO27" i="6"/>
  <c r="BS27" i="6" s="1"/>
  <c r="BC41" i="6"/>
  <c r="BB41" i="6"/>
  <c r="BF41" i="6"/>
  <c r="BG41" i="6"/>
  <c r="BK41" i="6" s="1"/>
  <c r="CT27" i="6"/>
  <c r="BM41" i="6"/>
  <c r="AO41" i="6"/>
  <c r="I27" i="6"/>
  <c r="K31" i="6"/>
  <c r="BE31" i="6"/>
  <c r="CS31" i="6"/>
  <c r="I31" i="6"/>
  <c r="CS27" i="6"/>
  <c r="AB31" i="6"/>
  <c r="AE31" i="6"/>
  <c r="AD31" i="6"/>
  <c r="AC31" i="6"/>
  <c r="BN31" i="6"/>
  <c r="BP31" i="6" s="1"/>
  <c r="V27" i="6"/>
  <c r="BC31" i="6"/>
  <c r="BB31" i="6"/>
  <c r="AZ31" i="6"/>
  <c r="BA31" i="6"/>
  <c r="AS31" i="6"/>
  <c r="AU31" i="6"/>
  <c r="AT31" i="6"/>
  <c r="AR31" i="6"/>
  <c r="Q46" i="6"/>
  <c r="K27" i="6"/>
  <c r="BE27" i="6"/>
  <c r="BY31" i="6"/>
  <c r="BX31" i="6"/>
  <c r="CA31" i="6"/>
  <c r="BZ31" i="6"/>
  <c r="AD27" i="6"/>
  <c r="AE27" i="6"/>
  <c r="AC27" i="6"/>
  <c r="CA27" i="6"/>
  <c r="BZ27" i="6"/>
  <c r="BX27" i="6"/>
  <c r="BY27" i="6"/>
  <c r="W31" i="6"/>
  <c r="T31" i="6"/>
  <c r="V31" i="6"/>
  <c r="U31" i="6"/>
  <c r="AB27" i="6"/>
  <c r="AL31" i="6"/>
  <c r="AJ31" i="6"/>
  <c r="AM31" i="6"/>
  <c r="AK31" i="6"/>
  <c r="AR27" i="6"/>
  <c r="AT27" i="6"/>
  <c r="J27" i="6"/>
  <c r="CU27" i="6"/>
  <c r="BC27" i="6"/>
  <c r="AZ27" i="6"/>
  <c r="BS31" i="6"/>
  <c r="BQ31" i="6"/>
  <c r="CU17" i="6"/>
  <c r="BU46" i="6"/>
  <c r="AU16" i="6"/>
  <c r="CW44" i="6"/>
  <c r="CV44" i="6"/>
  <c r="L44" i="6"/>
  <c r="M44" i="6"/>
  <c r="CQ46" i="6"/>
  <c r="CO46" i="6"/>
  <c r="CN46" i="6"/>
  <c r="CP46" i="6"/>
  <c r="CH46" i="6"/>
  <c r="BW46" i="6"/>
  <c r="CG46" i="6"/>
  <c r="CI46" i="6"/>
  <c r="V17" i="6"/>
  <c r="CF46" i="6"/>
  <c r="BV46" i="6"/>
  <c r="AI46" i="6"/>
  <c r="T17" i="6"/>
  <c r="CA17" i="6"/>
  <c r="BZ17" i="6"/>
  <c r="BY17" i="6"/>
  <c r="BX17" i="6"/>
  <c r="U17" i="6"/>
  <c r="W17" i="6"/>
  <c r="Z46" i="6"/>
  <c r="AY46" i="6"/>
  <c r="S46" i="6"/>
  <c r="BB17" i="6"/>
  <c r="AZ17" i="6"/>
  <c r="BC17" i="6"/>
  <c r="BA17" i="6"/>
  <c r="AX46" i="6"/>
  <c r="AM17" i="6"/>
  <c r="AL17" i="6"/>
  <c r="AK17" i="6"/>
  <c r="AJ17" i="6"/>
  <c r="R46" i="6"/>
  <c r="AH46" i="6"/>
  <c r="Y46" i="6"/>
  <c r="AE17" i="6"/>
  <c r="AD17" i="6"/>
  <c r="AC17" i="6"/>
  <c r="AB17" i="6"/>
  <c r="AA46" i="6"/>
  <c r="BO17" i="6"/>
  <c r="AP17" i="6"/>
  <c r="AO17" i="6"/>
  <c r="BE17" i="6"/>
  <c r="BF17" i="6"/>
  <c r="AQ17" i="6"/>
  <c r="BM17" i="6"/>
  <c r="CS17" i="6"/>
  <c r="BN17" i="6"/>
  <c r="BS20" i="6"/>
  <c r="BR20" i="6"/>
  <c r="AR16" i="6"/>
  <c r="BR10" i="6"/>
  <c r="BI40" i="6"/>
  <c r="BH40" i="6"/>
  <c r="BK40" i="6"/>
  <c r="BJ40" i="6"/>
  <c r="BQ34" i="6"/>
  <c r="BP34" i="6"/>
  <c r="BS34" i="6"/>
  <c r="BR34" i="6"/>
  <c r="BR26" i="6"/>
  <c r="BP20" i="6"/>
  <c r="BS40" i="6"/>
  <c r="BR40" i="6"/>
  <c r="BQ40" i="6"/>
  <c r="BP40" i="6"/>
  <c r="BR37" i="6"/>
  <c r="BQ37" i="6"/>
  <c r="BS37" i="6"/>
  <c r="BP37" i="6"/>
  <c r="BK30" i="6"/>
  <c r="BJ30" i="6"/>
  <c r="BI30" i="6"/>
  <c r="BH30" i="6"/>
  <c r="BK16" i="6"/>
  <c r="BJ16" i="6"/>
  <c r="BI16" i="6"/>
  <c r="BH16" i="6"/>
  <c r="BQ20" i="6"/>
  <c r="AU13" i="6"/>
  <c r="AT13" i="6"/>
  <c r="AS13" i="6"/>
  <c r="AR13" i="6"/>
  <c r="BI34" i="6"/>
  <c r="BH34" i="6"/>
  <c r="BK34" i="6"/>
  <c r="BJ34" i="6"/>
  <c r="AU37" i="6"/>
  <c r="AT37" i="6"/>
  <c r="AS37" i="6"/>
  <c r="AR37" i="6"/>
  <c r="AS20" i="6"/>
  <c r="AR20" i="6"/>
  <c r="AU20" i="6"/>
  <c r="AT20" i="6"/>
  <c r="BS23" i="6"/>
  <c r="BR23" i="6"/>
  <c r="BQ23" i="6"/>
  <c r="BP23" i="6"/>
  <c r="BR8" i="6"/>
  <c r="BQ8" i="6"/>
  <c r="BP8" i="6"/>
  <c r="BS8" i="6"/>
  <c r="AS16" i="6"/>
  <c r="BP30" i="6"/>
  <c r="AU8" i="6"/>
  <c r="AT8" i="6"/>
  <c r="AS8" i="6"/>
  <c r="AR8" i="6"/>
  <c r="AT16" i="6"/>
  <c r="BP10" i="6"/>
  <c r="BR30" i="6"/>
  <c r="BJ10" i="6"/>
  <c r="BS13" i="6"/>
  <c r="BR13" i="6"/>
  <c r="BQ13" i="6"/>
  <c r="BP13" i="6"/>
  <c r="AU34" i="6"/>
  <c r="AT34" i="6"/>
  <c r="AS34" i="6"/>
  <c r="AR34" i="6"/>
  <c r="BK13" i="6"/>
  <c r="BJ13" i="6"/>
  <c r="BI13" i="6"/>
  <c r="BH13" i="6"/>
  <c r="BH10" i="6"/>
  <c r="BK23" i="6"/>
  <c r="BJ23" i="6"/>
  <c r="BI23" i="6"/>
  <c r="BH23" i="6"/>
  <c r="BI20" i="6"/>
  <c r="BH20" i="6"/>
  <c r="BK20" i="6"/>
  <c r="BJ20" i="6"/>
  <c r="AU40" i="6"/>
  <c r="AT40" i="6"/>
  <c r="AS40" i="6"/>
  <c r="AR40" i="6"/>
  <c r="BK26" i="6"/>
  <c r="BJ26" i="6"/>
  <c r="BI26" i="6"/>
  <c r="BH26" i="6"/>
  <c r="AU23" i="6"/>
  <c r="AT23" i="6"/>
  <c r="AS23" i="6"/>
  <c r="AR23" i="6"/>
  <c r="BS16" i="6"/>
  <c r="BR16" i="6"/>
  <c r="BQ16" i="6"/>
  <c r="BP16" i="6"/>
  <c r="CW40" i="6"/>
  <c r="CW30" i="6"/>
  <c r="CV10" i="6"/>
  <c r="CV8" i="6"/>
  <c r="CV20" i="6"/>
  <c r="CV37" i="6"/>
  <c r="CW37" i="6"/>
  <c r="K17" i="6"/>
  <c r="I17" i="6"/>
  <c r="CW16" i="6"/>
  <c r="CW10" i="6"/>
  <c r="CW26" i="6"/>
  <c r="CW8" i="6"/>
  <c r="CX30" i="6"/>
  <c r="CY30" i="6"/>
  <c r="L10" i="6"/>
  <c r="O10" i="6"/>
  <c r="M10" i="6"/>
  <c r="N10" i="6"/>
  <c r="CY13" i="6"/>
  <c r="CX13" i="6"/>
  <c r="CV23" i="6"/>
  <c r="CX16" i="6"/>
  <c r="CY16" i="6"/>
  <c r="CW13" i="6"/>
  <c r="CX20" i="6"/>
  <c r="CY20" i="6"/>
  <c r="CV40" i="6"/>
  <c r="L34" i="6"/>
  <c r="O34" i="6"/>
  <c r="N34" i="6"/>
  <c r="M34" i="6"/>
  <c r="CX23" i="6"/>
  <c r="CY23" i="6"/>
  <c r="O30" i="6"/>
  <c r="N30" i="6"/>
  <c r="M30" i="6"/>
  <c r="L30" i="6"/>
  <c r="CX10" i="6"/>
  <c r="CY10" i="6"/>
  <c r="O23" i="6"/>
  <c r="N23" i="6"/>
  <c r="M23" i="6"/>
  <c r="L23" i="6"/>
  <c r="CV16" i="6"/>
  <c r="CY40" i="6"/>
  <c r="CX40" i="6"/>
  <c r="CW34" i="6"/>
  <c r="O20" i="6"/>
  <c r="N20" i="6"/>
  <c r="M20" i="6"/>
  <c r="L20" i="6"/>
  <c r="O16" i="6"/>
  <c r="N16" i="6"/>
  <c r="M16" i="6"/>
  <c r="L16" i="6"/>
  <c r="L13" i="6"/>
  <c r="O13" i="6"/>
  <c r="N13" i="6"/>
  <c r="M13" i="6"/>
  <c r="CW20" i="6"/>
  <c r="CW23" i="6"/>
  <c r="CY8" i="6"/>
  <c r="CX8" i="6"/>
  <c r="O37" i="6"/>
  <c r="N37" i="6"/>
  <c r="M37" i="6"/>
  <c r="L37" i="6"/>
  <c r="O40" i="6"/>
  <c r="N40" i="6"/>
  <c r="M40" i="6"/>
  <c r="L40" i="6"/>
  <c r="CV34" i="6"/>
  <c r="CV26" i="6"/>
  <c r="CX34" i="6"/>
  <c r="CX37" i="6"/>
  <c r="CY37" i="6"/>
  <c r="CY26" i="6"/>
  <c r="CX26" i="6"/>
  <c r="CV13" i="6"/>
  <c r="CV30" i="6"/>
  <c r="L26" i="6"/>
  <c r="O26" i="6"/>
  <c r="N26" i="6"/>
  <c r="M26" i="6"/>
  <c r="BH41" i="6" l="1"/>
  <c r="BI41" i="6"/>
  <c r="BJ41" i="6"/>
  <c r="BP27" i="6"/>
  <c r="BQ27" i="6"/>
  <c r="AS27" i="6"/>
  <c r="AT41" i="6"/>
  <c r="AS41" i="6"/>
  <c r="AU41" i="6"/>
  <c r="AR41" i="6"/>
  <c r="BR41" i="6"/>
  <c r="BS41" i="6"/>
  <c r="BQ41" i="6"/>
  <c r="BP41" i="6"/>
  <c r="CV31" i="6"/>
  <c r="CY31" i="6"/>
  <c r="CX31" i="6"/>
  <c r="CW31" i="6"/>
  <c r="BK31" i="6"/>
  <c r="BH31" i="6"/>
  <c r="BJ31" i="6"/>
  <c r="BI31" i="6"/>
  <c r="L41" i="6"/>
  <c r="O41" i="6"/>
  <c r="N41" i="6"/>
  <c r="M41" i="6"/>
  <c r="BK27" i="6"/>
  <c r="BH27" i="6"/>
  <c r="BI27" i="6"/>
  <c r="BJ27" i="6"/>
  <c r="BR31" i="6"/>
  <c r="CY27" i="6"/>
  <c r="CV27" i="6"/>
  <c r="CW27" i="6"/>
  <c r="CX27" i="6"/>
  <c r="L27" i="6"/>
  <c r="O27" i="6"/>
  <c r="N27" i="6"/>
  <c r="M27" i="6"/>
  <c r="L31" i="6"/>
  <c r="W46" i="6"/>
  <c r="CA46" i="6"/>
  <c r="BZ46" i="6"/>
  <c r="BY46" i="6"/>
  <c r="BX46" i="6"/>
  <c r="U46" i="6"/>
  <c r="V46" i="6"/>
  <c r="T46" i="6"/>
  <c r="AE46" i="6"/>
  <c r="AD46" i="6"/>
  <c r="AC46" i="6"/>
  <c r="AB46" i="6"/>
  <c r="CT46" i="6"/>
  <c r="AO46" i="6"/>
  <c r="AP46" i="6"/>
  <c r="AQ46" i="6"/>
  <c r="BG46" i="6"/>
  <c r="BO46" i="6"/>
  <c r="CU46" i="6"/>
  <c r="BE46" i="6"/>
  <c r="BF46" i="6"/>
  <c r="J46" i="6"/>
  <c r="K46" i="6"/>
  <c r="I46" i="6"/>
  <c r="BR17" i="6"/>
  <c r="BQ17" i="6"/>
  <c r="BP17" i="6"/>
  <c r="BS17" i="6"/>
  <c r="AU17" i="6"/>
  <c r="AT17" i="6"/>
  <c r="AS17" i="6"/>
  <c r="AR17" i="6"/>
  <c r="BJ17" i="6"/>
  <c r="BI17" i="6"/>
  <c r="BH17" i="6"/>
  <c r="BK17" i="6"/>
  <c r="L17" i="6"/>
  <c r="N17" i="6"/>
  <c r="O17" i="6"/>
  <c r="CV17" i="6"/>
  <c r="M17" i="6"/>
  <c r="O45" i="6"/>
  <c r="N45" i="6"/>
  <c r="M45" i="6"/>
  <c r="L45" i="6"/>
  <c r="CY17" i="6"/>
  <c r="CX17" i="6"/>
  <c r="CW17" i="6"/>
  <c r="AG46" i="6" l="1"/>
  <c r="AW46" i="6"/>
  <c r="CS46" i="6"/>
  <c r="CY46" i="6" s="1"/>
  <c r="BM46" i="6"/>
  <c r="BS46" i="6" s="1"/>
  <c r="M31" i="6"/>
  <c r="N31" i="6"/>
  <c r="O31" i="6"/>
  <c r="AT46" i="6"/>
  <c r="AS46" i="6"/>
  <c r="AR46" i="6"/>
  <c r="AU46" i="6"/>
  <c r="BJ46" i="6"/>
  <c r="BI46" i="6"/>
  <c r="BH46" i="6"/>
  <c r="BK46" i="6"/>
  <c r="CV46" i="6"/>
  <c r="CW46" i="6"/>
  <c r="O46" i="6"/>
  <c r="N46" i="6"/>
  <c r="M46" i="6"/>
  <c r="L46" i="6"/>
  <c r="BQ46" i="6" l="1"/>
  <c r="CX46" i="6"/>
  <c r="BA46" i="6"/>
  <c r="BC46" i="6"/>
  <c r="AZ46" i="6"/>
  <c r="BB46" i="6"/>
  <c r="AM46" i="6"/>
  <c r="AL46" i="6"/>
  <c r="AK46" i="6"/>
  <c r="AJ46" i="6"/>
  <c r="BN46" i="6"/>
  <c r="BR46" i="6" s="1"/>
  <c r="BP46" i="6" l="1"/>
</calcChain>
</file>

<file path=xl/sharedStrings.xml><?xml version="1.0" encoding="utf-8"?>
<sst xmlns="http://schemas.openxmlformats.org/spreadsheetml/2006/main" count="1032" uniqueCount="97">
  <si>
    <t>(SAR'000')</t>
  </si>
  <si>
    <t>Sales</t>
  </si>
  <si>
    <t>Stock Loss</t>
  </si>
  <si>
    <t>Staff Expense</t>
  </si>
  <si>
    <t>Operating Expenses</t>
  </si>
  <si>
    <t>Net Income / (Loss)</t>
  </si>
  <si>
    <t>Region</t>
  </si>
  <si>
    <t>District</t>
  </si>
  <si>
    <t>Location</t>
  </si>
  <si>
    <t>Loc Name</t>
  </si>
  <si>
    <t>Format</t>
  </si>
  <si>
    <t>Status</t>
  </si>
  <si>
    <t>Actual</t>
  </si>
  <si>
    <t>Super</t>
  </si>
  <si>
    <t>Al Quds-Re Opened</t>
  </si>
  <si>
    <t>Hyper</t>
  </si>
  <si>
    <t xml:space="preserve">Alia Mall Abo Baker (Takassosi) </t>
  </si>
  <si>
    <t>Riyadh - South</t>
  </si>
  <si>
    <t>Rimal Mall</t>
  </si>
  <si>
    <t>Riyadh - South Total</t>
  </si>
  <si>
    <t>Al Tarmathi</t>
  </si>
  <si>
    <t>Gs Riyadh Bilal Abn Rabah</t>
  </si>
  <si>
    <t>Abdulaziz Road</t>
  </si>
  <si>
    <t>King Saud</t>
  </si>
  <si>
    <t>Ras Tanoura</t>
  </si>
  <si>
    <t>Al Hassa</t>
  </si>
  <si>
    <t>King Faisal</t>
  </si>
  <si>
    <t>Jarir Palaza</t>
  </si>
  <si>
    <t>Qassim</t>
  </si>
  <si>
    <t>Onaizah</t>
  </si>
  <si>
    <t>Shahinat</t>
  </si>
  <si>
    <t>Qassim Total</t>
  </si>
  <si>
    <t>Safa</t>
  </si>
  <si>
    <t>Roshan Mall</t>
  </si>
  <si>
    <t xml:space="preserve">Hai Al Sammer </t>
  </si>
  <si>
    <t>Mutib Street</t>
  </si>
  <si>
    <t>Obaiken Mall Taif</t>
  </si>
  <si>
    <t>Al Malaika Mall Taif</t>
  </si>
  <si>
    <t>Beishah</t>
  </si>
  <si>
    <t>Abha</t>
  </si>
  <si>
    <t>King Abdulaziz Road, Tabuk</t>
  </si>
  <si>
    <t>Aliat Al Madina</t>
  </si>
  <si>
    <t>Grand Total</t>
  </si>
  <si>
    <t>Budget</t>
  </si>
  <si>
    <t>LY</t>
  </si>
  <si>
    <t>Var Vs. Bud</t>
  </si>
  <si>
    <t>Var vs. LY</t>
  </si>
  <si>
    <t>Var vs. Bud %</t>
  </si>
  <si>
    <t>Var vs. LY %</t>
  </si>
  <si>
    <t>Year To Date ('000)</t>
  </si>
  <si>
    <t>Loc</t>
  </si>
  <si>
    <t>% to Sales</t>
  </si>
  <si>
    <t>Var - Act vs Bud</t>
  </si>
  <si>
    <t>Var %</t>
  </si>
  <si>
    <t>Last Year</t>
  </si>
  <si>
    <t>Var - Act vs LY</t>
  </si>
  <si>
    <t>Product Margin</t>
  </si>
  <si>
    <t>Commercial Margin</t>
  </si>
  <si>
    <t>Supply Chain Expenses</t>
  </si>
  <si>
    <t>Gross Profit</t>
  </si>
  <si>
    <t>Rent Expense</t>
  </si>
  <si>
    <t>EBITDA</t>
  </si>
  <si>
    <t>Depreciation &amp; Interest</t>
  </si>
  <si>
    <t>Riyadh - Crescent</t>
  </si>
  <si>
    <t>LFL</t>
  </si>
  <si>
    <t>Riyadh - Crescent Total</t>
  </si>
  <si>
    <t>Riyadh - Nucleus</t>
  </si>
  <si>
    <t>Riyadh - Nucleus Total</t>
  </si>
  <si>
    <t>Eastern - Crescent</t>
  </si>
  <si>
    <t>Eastern - Crescent Total</t>
  </si>
  <si>
    <t>Eastern - Nucleus</t>
  </si>
  <si>
    <t>Eastern - Nucleus Total</t>
  </si>
  <si>
    <t>Eastern - South</t>
  </si>
  <si>
    <t>Eastern - South Total</t>
  </si>
  <si>
    <t>South</t>
  </si>
  <si>
    <t>South Total</t>
  </si>
  <si>
    <t>Western - Crescent</t>
  </si>
  <si>
    <t>Western - Crescent Total</t>
  </si>
  <si>
    <t>Western - Nucleus</t>
  </si>
  <si>
    <t>Western - Nucleus Total</t>
  </si>
  <si>
    <t>Western - South</t>
  </si>
  <si>
    <t>Western - South Total</t>
  </si>
  <si>
    <t>North</t>
  </si>
  <si>
    <t>North Total</t>
  </si>
  <si>
    <t>Stores P&amp;L - YTD Apr 2025</t>
  </si>
  <si>
    <t>Accounts Group</t>
  </si>
  <si>
    <t>Month To Date ('000)</t>
  </si>
  <si>
    <t>Y2025B</t>
  </si>
  <si>
    <t>Y2024A</t>
  </si>
  <si>
    <t>Account Group</t>
  </si>
  <si>
    <t>Stores P&amp;L - Y2025B &amp; Y2024A</t>
  </si>
  <si>
    <t>Central</t>
  </si>
  <si>
    <t>Central Total</t>
  </si>
  <si>
    <t>East</t>
  </si>
  <si>
    <t>East Total</t>
  </si>
  <si>
    <t>West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</si>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</sst>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[Blue]#,##0.0%;[Blue]\(#,##0.0\)%;[Blue]#,##0.0%"/>
    <numFmt numFmtId="168" formatCode="#,##0.0%;\(#,##0.0\)%;#,##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Sakkal Majalla"/>
    </font>
    <font>
      <b/>
      <sz val="14"/>
      <color theme="1"/>
      <name val="Sakkal Majalla"/>
    </font>
    <font>
      <b/>
      <i/>
      <sz val="12"/>
      <color theme="1"/>
      <name val="Sakkal Majalla"/>
    </font>
    <font>
      <b/>
      <sz val="12"/>
      <color theme="1"/>
      <name val="Sakkal Majalla"/>
    </font>
    <font>
      <sz val="12"/>
      <color rgb="FF333333"/>
      <name val="Sakkal Majalla"/>
    </font>
    <font>
      <sz val="12"/>
      <color rgb="FF0000FF"/>
      <name val="Sakkal Majalla"/>
    </font>
    <font>
      <b/>
      <sz val="12"/>
      <color rgb="FF000000"/>
      <name val="Sakkal Majalla"/>
    </font>
    <font>
      <sz val="11"/>
      <color theme="1"/>
      <name val="Sakkal Majalla"/>
    </font>
    <font>
      <sz val="12"/>
      <color rgb="FF000000"/>
      <name val="Sakkal Majalla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EAEA"/>
        <bgColor rgb="FFFFFFFF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9" fontId="2" fillId="0" borderId="0" xfId="2" applyFont="1" applyBorder="1" applyAlignment="1">
      <alignment horizontal="center"/>
    </xf>
    <xf numFmtId="165" fontId="2" fillId="0" borderId="0" xfId="2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164" fontId="5" fillId="2" borderId="0" xfId="1" applyNumberFormat="1" applyFont="1" applyFill="1" applyBorder="1" applyAlignment="1">
      <alignment horizontal="centerContinuous" vertical="center"/>
    </xf>
    <xf numFmtId="164" fontId="5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left"/>
    </xf>
    <xf numFmtId="164" fontId="5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0" fontId="2" fillId="0" borderId="0" xfId="2" applyNumberFormat="1" applyFont="1" applyBorder="1" applyAlignment="1">
      <alignment horizont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64" fontId="5" fillId="4" borderId="0" xfId="1" applyNumberFormat="1" applyFont="1" applyFill="1" applyBorder="1" applyAlignment="1">
      <alignment horizontal="center" vertical="center" wrapText="1"/>
    </xf>
    <xf numFmtId="165" fontId="2" fillId="0" borderId="0" xfId="2" applyNumberFormat="1" applyFont="1" applyFill="1" applyBorder="1" applyAlignment="1">
      <alignment horizontal="center"/>
    </xf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164" fontId="5" fillId="4" borderId="0" xfId="1" applyNumberFormat="1" applyFont="1" applyFill="1" applyBorder="1" applyAlignment="1">
      <alignment horizontal="center"/>
    </xf>
    <xf numFmtId="165" fontId="5" fillId="4" borderId="0" xfId="2" applyNumberFormat="1" applyFont="1" applyFill="1" applyBorder="1" applyAlignment="1">
      <alignment horizontal="center"/>
    </xf>
    <xf numFmtId="165" fontId="5" fillId="0" borderId="0" xfId="2" applyNumberFormat="1" applyFont="1" applyFill="1" applyBorder="1" applyAlignment="1">
      <alignment horizontal="center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  <xf numFmtId="164" fontId="5" fillId="5" borderId="0" xfId="1" applyNumberFormat="1" applyFont="1" applyFill="1" applyBorder="1" applyAlignment="1">
      <alignment horizontal="center"/>
    </xf>
    <xf numFmtId="165" fontId="5" fillId="5" borderId="0" xfId="2" applyNumberFormat="1" applyFont="1" applyFill="1" applyBorder="1" applyAlignment="1">
      <alignment horizontal="center"/>
    </xf>
    <xf numFmtId="0" fontId="5" fillId="6" borderId="0" xfId="0" applyFont="1" applyFill="1" applyAlignment="1">
      <alignment horizontal="left"/>
    </xf>
    <xf numFmtId="0" fontId="5" fillId="6" borderId="0" xfId="0" applyFont="1" applyFill="1" applyAlignment="1">
      <alignment horizontal="center"/>
    </xf>
    <xf numFmtId="164" fontId="5" fillId="6" borderId="0" xfId="1" applyNumberFormat="1" applyFont="1" applyFill="1" applyBorder="1" applyAlignment="1">
      <alignment horizontal="center"/>
    </xf>
    <xf numFmtId="165" fontId="5" fillId="6" borderId="0" xfId="2" applyNumberFormat="1" applyFont="1" applyFill="1" applyBorder="1" applyAlignment="1">
      <alignment horizontal="center"/>
    </xf>
    <xf numFmtId="49" fontId="5" fillId="7" borderId="2" xfId="0" applyNumberFormat="1" applyFont="1" applyFill="1" applyBorder="1" applyAlignment="1">
      <alignment horizontal="center" vertical="center" wrapText="1"/>
    </xf>
    <xf numFmtId="166" fontId="6" fillId="8" borderId="1" xfId="1" applyNumberFormat="1" applyFont="1" applyFill="1" applyBorder="1" applyAlignment="1">
      <alignment horizontal="center"/>
    </xf>
    <xf numFmtId="167" fontId="7" fillId="8" borderId="0" xfId="0" applyNumberFormat="1" applyFont="1" applyFill="1" applyAlignment="1">
      <alignment horizontal="center"/>
    </xf>
    <xf numFmtId="166" fontId="6" fillId="8" borderId="0" xfId="1" applyNumberFormat="1" applyFont="1" applyFill="1" applyBorder="1" applyAlignment="1">
      <alignment horizontal="center"/>
    </xf>
    <xf numFmtId="166" fontId="2" fillId="7" borderId="0" xfId="1" applyNumberFormat="1" applyFont="1" applyFill="1" applyBorder="1" applyAlignment="1">
      <alignment horizontal="center"/>
    </xf>
    <xf numFmtId="168" fontId="2" fillId="7" borderId="0" xfId="1" applyNumberFormat="1" applyFont="1" applyFill="1" applyBorder="1" applyAlignment="1">
      <alignment horizontal="center"/>
    </xf>
    <xf numFmtId="168" fontId="2" fillId="7" borderId="2" xfId="1" applyNumberFormat="1" applyFont="1" applyFill="1" applyBorder="1" applyAlignment="1">
      <alignment horizontal="center"/>
    </xf>
    <xf numFmtId="166" fontId="5" fillId="7" borderId="1" xfId="1" applyNumberFormat="1" applyFont="1" applyFill="1" applyBorder="1" applyAlignment="1">
      <alignment horizontal="center" vertical="center" wrapText="1"/>
    </xf>
    <xf numFmtId="49" fontId="5" fillId="7" borderId="0" xfId="0" applyNumberFormat="1" applyFont="1" applyFill="1" applyAlignment="1">
      <alignment horizontal="center" vertical="center" wrapText="1"/>
    </xf>
    <xf numFmtId="166" fontId="5" fillId="7" borderId="0" xfId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166" fontId="6" fillId="8" borderId="4" xfId="1" applyNumberFormat="1" applyFont="1" applyFill="1" applyBorder="1" applyAlignment="1">
      <alignment horizontal="center"/>
    </xf>
    <xf numFmtId="167" fontId="7" fillId="8" borderId="4" xfId="0" applyNumberFormat="1" applyFont="1" applyFill="1" applyBorder="1" applyAlignment="1">
      <alignment horizontal="center"/>
    </xf>
    <xf numFmtId="166" fontId="2" fillId="7" borderId="4" xfId="1" applyNumberFormat="1" applyFont="1" applyFill="1" applyBorder="1" applyAlignment="1">
      <alignment horizontal="center"/>
    </xf>
    <xf numFmtId="168" fontId="2" fillId="7" borderId="4" xfId="1" applyNumberFormat="1" applyFont="1" applyFill="1" applyBorder="1" applyAlignment="1">
      <alignment horizontal="center"/>
    </xf>
    <xf numFmtId="168" fontId="2" fillId="7" borderId="5" xfId="1" applyNumberFormat="1" applyFont="1" applyFill="1" applyBorder="1" applyAlignment="1">
      <alignment horizontal="center"/>
    </xf>
    <xf numFmtId="166" fontId="6" fillId="8" borderId="3" xfId="1" applyNumberFormat="1" applyFont="1" applyFill="1" applyBorder="1" applyAlignment="1">
      <alignment horizontal="center"/>
    </xf>
    <xf numFmtId="49" fontId="8" fillId="9" borderId="0" xfId="0" applyNumberFormat="1" applyFont="1" applyFill="1" applyAlignment="1">
      <alignment vertical="center"/>
    </xf>
    <xf numFmtId="49" fontId="8" fillId="9" borderId="0" xfId="0" applyNumberFormat="1" applyFont="1" applyFill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C073-4A9D-441A-B3EB-9A90D2580A71}">
  <sheetPr>
    <tabColor theme="9" tint="0.79998168889431442"/>
  </sheetPr>
  <dimension ref="B1:CY46"/>
  <sheetViews>
    <sheetView showGridLines="0" tabSelected="1" workbookViewId="0">
      <pane xSplit="7" ySplit="5" topLeftCell="H21" activePane="bottomRight" state="frozen"/>
      <selection pane="topRight" activeCell="H1" sqref="H1"/>
      <selection pane="bottomLeft" activeCell="A6" sqref="A6"/>
      <selection pane="bottomRight" activeCell="B4" sqref="B4"/>
    </sheetView>
  </sheetViews>
  <sheetFormatPr defaultColWidth="8.73046875" defaultRowHeight="18.399999999999999" outlineLevelRow="3" x14ac:dyDescent="0.85"/>
  <cols>
    <col min="1" max="1" width="1.06640625" style="5" customWidth="1"/>
    <col min="2" max="2" width="10.06640625" style="1" customWidth="1"/>
    <col min="3" max="3" width="11" style="1" customWidth="1"/>
    <col min="4" max="4" width="7.46484375" style="5" customWidth="1"/>
    <col min="5" max="5" width="9.06640625" style="5" customWidth="1"/>
    <col min="6" max="6" width="8" style="5" customWidth="1"/>
    <col min="7" max="7" width="6" style="1" customWidth="1"/>
    <col min="8" max="8" width="0.73046875" style="1" customWidth="1"/>
    <col min="9" max="9" width="10.33203125" style="3" bestFit="1" customWidth="1"/>
    <col min="10" max="10" width="10.796875" style="3" bestFit="1" customWidth="1"/>
    <col min="11" max="11" width="9.19921875" style="3" bestFit="1" customWidth="1"/>
    <col min="12" max="12" width="10.73046875" style="3" bestFit="1" customWidth="1"/>
    <col min="13" max="13" width="12.59765625" style="3" bestFit="1" customWidth="1"/>
    <col min="14" max="14" width="15.265625" style="3" bestFit="1" customWidth="1"/>
    <col min="15" max="15" width="14.265625" style="3" bestFit="1" customWidth="1"/>
    <col min="16" max="16" width="0.73046875" style="4" customWidth="1"/>
    <col min="17" max="17" width="10.33203125" style="3" bestFit="1" customWidth="1"/>
    <col min="18" max="18" width="10.796875" style="3" bestFit="1" customWidth="1"/>
    <col min="19" max="19" width="9.19921875" style="3" bestFit="1" customWidth="1"/>
    <col min="20" max="20" width="10.73046875" style="3" bestFit="1" customWidth="1"/>
    <col min="21" max="21" width="12.59765625" style="3" bestFit="1" customWidth="1"/>
    <col min="22" max="22" width="15.265625" style="3" bestFit="1" customWidth="1"/>
    <col min="23" max="23" width="14.265625" style="3" bestFit="1" customWidth="1"/>
    <col min="24" max="24" width="0.73046875" style="4" customWidth="1"/>
    <col min="25" max="25" width="10.33203125" style="3" bestFit="1" customWidth="1"/>
    <col min="26" max="26" width="10.796875" style="3" bestFit="1" customWidth="1"/>
    <col min="27" max="27" width="9.19921875" style="3" bestFit="1" customWidth="1"/>
    <col min="28" max="28" width="10.73046875" style="3" bestFit="1" customWidth="1"/>
    <col min="29" max="29" width="12.59765625" style="3" bestFit="1" customWidth="1"/>
    <col min="30" max="30" width="15.265625" style="3" bestFit="1" customWidth="1"/>
    <col min="31" max="31" width="14.265625" style="3" bestFit="1" customWidth="1"/>
    <col min="32" max="32" width="0.73046875" style="4" customWidth="1"/>
    <col min="33" max="33" width="10.33203125" style="3" bestFit="1" customWidth="1"/>
    <col min="34" max="34" width="10.796875" style="3" bestFit="1" customWidth="1"/>
    <col min="35" max="35" width="9.19921875" style="3" bestFit="1" customWidth="1"/>
    <col min="36" max="36" width="10.73046875" style="3" bestFit="1" customWidth="1"/>
    <col min="37" max="37" width="12.59765625" style="3" bestFit="1" customWidth="1"/>
    <col min="38" max="38" width="15.265625" style="3" bestFit="1" customWidth="1"/>
    <col min="39" max="39" width="14.265625" style="3" bestFit="1" customWidth="1"/>
    <col min="40" max="40" width="0.73046875" style="4" customWidth="1"/>
    <col min="41" max="41" width="10.33203125" style="3" bestFit="1" customWidth="1"/>
    <col min="42" max="42" width="10.796875" style="3" bestFit="1" customWidth="1"/>
    <col min="43" max="43" width="8.53125" style="3" bestFit="1" customWidth="1"/>
    <col min="44" max="44" width="10.73046875" style="3" bestFit="1" customWidth="1"/>
    <col min="45" max="45" width="12.59765625" style="3" bestFit="1" customWidth="1"/>
    <col min="46" max="46" width="15.265625" style="3" bestFit="1" customWidth="1"/>
    <col min="47" max="47" width="14.265625" style="3" bestFit="1" customWidth="1"/>
    <col min="48" max="48" width="0.73046875" style="4" customWidth="1"/>
    <col min="49" max="49" width="10.33203125" style="3" bestFit="1" customWidth="1"/>
    <col min="50" max="50" width="10.796875" style="3" bestFit="1" customWidth="1"/>
    <col min="51" max="51" width="8.53125" style="3" bestFit="1" customWidth="1"/>
    <col min="52" max="52" width="10.73046875" style="3" bestFit="1" customWidth="1"/>
    <col min="53" max="53" width="12.59765625" style="3" bestFit="1" customWidth="1"/>
    <col min="54" max="54" width="15.265625" style="3" bestFit="1" customWidth="1"/>
    <col min="55" max="55" width="14.265625" style="3" bestFit="1" customWidth="1"/>
    <col min="56" max="56" width="0.73046875" style="4" customWidth="1"/>
    <col min="57" max="57" width="12.9296875" style="3" bestFit="1" customWidth="1"/>
    <col min="58" max="58" width="10.796875" style="3" bestFit="1" customWidth="1"/>
    <col min="59" max="59" width="8.53125" style="3" bestFit="1" customWidth="1"/>
    <col min="60" max="60" width="10.73046875" style="3" bestFit="1" customWidth="1"/>
    <col min="61" max="61" width="12.59765625" style="3" bestFit="1" customWidth="1"/>
    <col min="62" max="62" width="15.265625" style="3" bestFit="1" customWidth="1"/>
    <col min="63" max="63" width="14.265625" style="3" bestFit="1" customWidth="1"/>
    <col min="64" max="64" width="0.73046875" style="4" customWidth="1"/>
    <col min="65" max="65" width="10.33203125" style="3" bestFit="1" customWidth="1"/>
    <col min="66" max="66" width="10.796875" style="3" bestFit="1" customWidth="1"/>
    <col min="67" max="67" width="8.53125" style="3" bestFit="1" customWidth="1"/>
    <col min="68" max="68" width="10.73046875" style="3" bestFit="1" customWidth="1"/>
    <col min="69" max="69" width="12.59765625" style="3" bestFit="1" customWidth="1"/>
    <col min="70" max="70" width="15.265625" style="3" bestFit="1" customWidth="1"/>
    <col min="71" max="71" width="14.265625" style="3" bestFit="1" customWidth="1"/>
    <col min="72" max="72" width="0.73046875" style="4" customWidth="1"/>
    <col min="73" max="73" width="10.33203125" style="3" bestFit="1" customWidth="1"/>
    <col min="74" max="74" width="10.796875" style="3" bestFit="1" customWidth="1"/>
    <col min="75" max="75" width="8.53125" style="3" bestFit="1" customWidth="1"/>
    <col min="76" max="76" width="10.73046875" style="3" bestFit="1" customWidth="1"/>
    <col min="77" max="77" width="12.59765625" style="3" bestFit="1" customWidth="1"/>
    <col min="78" max="78" width="15.265625" style="3" bestFit="1" customWidth="1"/>
    <col min="79" max="79" width="14.265625" style="3" bestFit="1" customWidth="1"/>
    <col min="80" max="80" width="0.73046875" style="4" customWidth="1"/>
    <col min="81" max="81" width="10.33203125" style="3" bestFit="1" customWidth="1"/>
    <col min="82" max="82" width="10.796875" style="3" bestFit="1" customWidth="1"/>
    <col min="83" max="83" width="8.53125" style="3" bestFit="1" customWidth="1"/>
    <col min="84" max="84" width="10.73046875" style="3" bestFit="1" customWidth="1"/>
    <col min="85" max="85" width="12.59765625" style="3" bestFit="1" customWidth="1"/>
    <col min="86" max="86" width="15.265625" style="3" bestFit="1" customWidth="1"/>
    <col min="87" max="87" width="14.265625" style="3" bestFit="1" customWidth="1"/>
    <col min="88" max="88" width="0.73046875" style="4" customWidth="1"/>
    <col min="89" max="89" width="10.33203125" style="3" bestFit="1" customWidth="1"/>
    <col min="90" max="90" width="10.796875" style="3" bestFit="1" customWidth="1"/>
    <col min="91" max="91" width="8.53125" style="3" bestFit="1" customWidth="1"/>
    <col min="92" max="92" width="10.73046875" style="3" bestFit="1" customWidth="1"/>
    <col min="93" max="93" width="12.59765625" style="3" bestFit="1" customWidth="1"/>
    <col min="94" max="94" width="15.265625" style="3" bestFit="1" customWidth="1"/>
    <col min="95" max="95" width="14.265625" style="3" bestFit="1" customWidth="1"/>
    <col min="96" max="96" width="0.73046875" style="4" customWidth="1"/>
    <col min="97" max="97" width="10.33203125" style="3" bestFit="1" customWidth="1"/>
    <col min="98" max="98" width="10.796875" style="3" bestFit="1" customWidth="1"/>
    <col min="99" max="99" width="7.9296875" style="3" bestFit="1" customWidth="1"/>
    <col min="100" max="100" width="10.73046875" style="3" bestFit="1" customWidth="1"/>
    <col min="101" max="101" width="12.59765625" style="3" bestFit="1" customWidth="1"/>
    <col min="102" max="102" width="10.53125" style="3" bestFit="1" customWidth="1"/>
    <col min="103" max="103" width="12.59765625" style="3" bestFit="1" customWidth="1"/>
    <col min="104" max="16384" width="8.73046875" style="5"/>
  </cols>
  <sheetData>
    <row r="1" spans="2:103" ht="9.5" customHeight="1" x14ac:dyDescent="0.85">
      <c r="D1" s="2"/>
      <c r="E1" s="2"/>
      <c r="F1" s="2"/>
    </row>
    <row r="2" spans="2:103" ht="20.65" x14ac:dyDescent="0.9">
      <c r="B2" s="6" t="s">
        <v>84</v>
      </c>
      <c r="D2" s="2"/>
      <c r="E2" s="2"/>
      <c r="F2" s="2"/>
      <c r="N2" s="7"/>
      <c r="O2" s="7"/>
      <c r="V2" s="7"/>
      <c r="W2" s="7"/>
      <c r="AD2" s="7"/>
      <c r="AE2" s="7"/>
      <c r="AL2" s="7"/>
      <c r="AM2" s="7"/>
      <c r="AP2" s="8"/>
      <c r="AT2" s="7"/>
      <c r="AU2" s="7"/>
      <c r="AX2" s="8"/>
      <c r="BB2" s="7"/>
      <c r="BC2" s="7"/>
      <c r="BJ2" s="7"/>
      <c r="BK2" s="7"/>
      <c r="BR2" s="7"/>
      <c r="BS2" s="7"/>
      <c r="BZ2" s="7"/>
      <c r="CA2" s="7"/>
      <c r="CH2" s="7"/>
      <c r="CI2" s="7"/>
      <c r="CP2" s="7"/>
      <c r="CQ2" s="7"/>
      <c r="CY2" s="8"/>
    </row>
    <row r="3" spans="2:103" ht="16.05" customHeight="1" x14ac:dyDescent="0.85">
      <c r="B3" s="9" t="s">
        <v>0</v>
      </c>
      <c r="D3" s="2"/>
      <c r="E3" s="2"/>
      <c r="F3" s="2"/>
      <c r="I3" s="7"/>
      <c r="N3" s="8"/>
      <c r="Q3" s="7"/>
      <c r="V3" s="8"/>
      <c r="Y3" s="7"/>
      <c r="AD3" s="8"/>
      <c r="AG3" s="7"/>
      <c r="AL3" s="8"/>
      <c r="AO3" s="19"/>
      <c r="AP3" s="19"/>
      <c r="AQ3" s="8"/>
      <c r="AT3" s="8"/>
      <c r="AW3" s="19"/>
      <c r="AX3" s="19"/>
      <c r="AY3" s="8"/>
      <c r="BB3" s="8"/>
      <c r="BJ3" s="8"/>
      <c r="BR3" s="8"/>
      <c r="BZ3" s="8"/>
      <c r="CH3" s="8"/>
      <c r="CP3" s="8"/>
    </row>
    <row r="4" spans="2:103" x14ac:dyDescent="0.85">
      <c r="B4" s="20"/>
      <c r="C4" s="20"/>
      <c r="D4" s="21"/>
      <c r="E4" s="21"/>
      <c r="F4" s="21"/>
      <c r="G4" s="20"/>
      <c r="H4" s="10"/>
      <c r="I4" s="11" t="s">
        <v>1</v>
      </c>
      <c r="J4" s="11"/>
      <c r="K4" s="11"/>
      <c r="L4" s="11"/>
      <c r="M4" s="11"/>
      <c r="N4" s="11"/>
      <c r="O4" s="11"/>
      <c r="P4" s="12"/>
      <c r="Q4" s="11" t="s">
        <v>56</v>
      </c>
      <c r="R4" s="11"/>
      <c r="S4" s="11"/>
      <c r="T4" s="11"/>
      <c r="U4" s="11"/>
      <c r="V4" s="11"/>
      <c r="W4" s="11"/>
      <c r="X4" s="12"/>
      <c r="Y4" s="11" t="s">
        <v>57</v>
      </c>
      <c r="Z4" s="11"/>
      <c r="AA4" s="11"/>
      <c r="AB4" s="11"/>
      <c r="AC4" s="11"/>
      <c r="AD4" s="11"/>
      <c r="AE4" s="11"/>
      <c r="AF4" s="12"/>
      <c r="AG4" s="11" t="s">
        <v>2</v>
      </c>
      <c r="AH4" s="11"/>
      <c r="AI4" s="11"/>
      <c r="AJ4" s="11"/>
      <c r="AK4" s="11"/>
      <c r="AL4" s="11"/>
      <c r="AM4" s="11"/>
      <c r="AN4" s="12"/>
      <c r="AO4" s="11" t="s">
        <v>58</v>
      </c>
      <c r="AP4" s="11"/>
      <c r="AQ4" s="11"/>
      <c r="AR4" s="11"/>
      <c r="AS4" s="11"/>
      <c r="AT4" s="11"/>
      <c r="AU4" s="11"/>
      <c r="AV4" s="12"/>
      <c r="AW4" s="11" t="s">
        <v>59</v>
      </c>
      <c r="AX4" s="11"/>
      <c r="AY4" s="11"/>
      <c r="AZ4" s="11"/>
      <c r="BA4" s="11"/>
      <c r="BB4" s="11"/>
      <c r="BC4" s="11"/>
      <c r="BD4" s="12"/>
      <c r="BE4" s="11" t="s">
        <v>3</v>
      </c>
      <c r="BF4" s="11"/>
      <c r="BG4" s="11"/>
      <c r="BH4" s="11"/>
      <c r="BI4" s="11"/>
      <c r="BJ4" s="11"/>
      <c r="BK4" s="11"/>
      <c r="BL4" s="12"/>
      <c r="BM4" s="11" t="s">
        <v>4</v>
      </c>
      <c r="BN4" s="11"/>
      <c r="BO4" s="11"/>
      <c r="BP4" s="11"/>
      <c r="BQ4" s="11"/>
      <c r="BR4" s="11"/>
      <c r="BS4" s="11"/>
      <c r="BT4" s="12"/>
      <c r="BU4" s="11" t="s">
        <v>60</v>
      </c>
      <c r="BV4" s="11"/>
      <c r="BW4" s="11"/>
      <c r="BX4" s="11"/>
      <c r="BY4" s="11"/>
      <c r="BZ4" s="11"/>
      <c r="CA4" s="11"/>
      <c r="CB4" s="12"/>
      <c r="CC4" s="11" t="s">
        <v>61</v>
      </c>
      <c r="CD4" s="11"/>
      <c r="CE4" s="11"/>
      <c r="CF4" s="11"/>
      <c r="CG4" s="11"/>
      <c r="CH4" s="11"/>
      <c r="CI4" s="11"/>
      <c r="CJ4" s="12"/>
      <c r="CK4" s="11" t="s">
        <v>62</v>
      </c>
      <c r="CL4" s="11"/>
      <c r="CM4" s="11"/>
      <c r="CN4" s="11"/>
      <c r="CO4" s="11"/>
      <c r="CP4" s="11"/>
      <c r="CQ4" s="11"/>
      <c r="CR4" s="12"/>
      <c r="CS4" s="11" t="s">
        <v>5</v>
      </c>
      <c r="CT4" s="11"/>
      <c r="CU4" s="11"/>
      <c r="CV4" s="11"/>
      <c r="CW4" s="11"/>
      <c r="CX4" s="11"/>
      <c r="CY4" s="11"/>
    </row>
    <row r="5" spans="2:103" s="15" customFormat="1" ht="25.5" customHeight="1" x14ac:dyDescent="0.85">
      <c r="B5" s="22" t="s">
        <v>6</v>
      </c>
      <c r="C5" s="22" t="s">
        <v>7</v>
      </c>
      <c r="D5" s="22" t="s">
        <v>8</v>
      </c>
      <c r="E5" s="22" t="s">
        <v>9</v>
      </c>
      <c r="F5" s="22" t="s">
        <v>10</v>
      </c>
      <c r="G5" s="22" t="s">
        <v>11</v>
      </c>
      <c r="H5" s="13"/>
      <c r="I5" s="23" t="s">
        <v>12</v>
      </c>
      <c r="J5" s="23" t="s">
        <v>43</v>
      </c>
      <c r="K5" s="23" t="s">
        <v>44</v>
      </c>
      <c r="L5" s="23" t="s">
        <v>45</v>
      </c>
      <c r="M5" s="23" t="s">
        <v>46</v>
      </c>
      <c r="N5" s="23" t="s">
        <v>47</v>
      </c>
      <c r="O5" s="23" t="s">
        <v>48</v>
      </c>
      <c r="P5" s="14"/>
      <c r="Q5" s="23" t="s">
        <v>12</v>
      </c>
      <c r="R5" s="23" t="s">
        <v>43</v>
      </c>
      <c r="S5" s="23" t="s">
        <v>44</v>
      </c>
      <c r="T5" s="23" t="s">
        <v>45</v>
      </c>
      <c r="U5" s="23" t="s">
        <v>46</v>
      </c>
      <c r="V5" s="23" t="s">
        <v>47</v>
      </c>
      <c r="W5" s="23" t="s">
        <v>48</v>
      </c>
      <c r="X5" s="14"/>
      <c r="Y5" s="23" t="s">
        <v>12</v>
      </c>
      <c r="Z5" s="23" t="s">
        <v>43</v>
      </c>
      <c r="AA5" s="23" t="s">
        <v>44</v>
      </c>
      <c r="AB5" s="23" t="s">
        <v>45</v>
      </c>
      <c r="AC5" s="23" t="s">
        <v>46</v>
      </c>
      <c r="AD5" s="23" t="s">
        <v>47</v>
      </c>
      <c r="AE5" s="23" t="s">
        <v>48</v>
      </c>
      <c r="AF5" s="14"/>
      <c r="AG5" s="23" t="s">
        <v>12</v>
      </c>
      <c r="AH5" s="23" t="s">
        <v>43</v>
      </c>
      <c r="AI5" s="23" t="s">
        <v>44</v>
      </c>
      <c r="AJ5" s="23" t="s">
        <v>45</v>
      </c>
      <c r="AK5" s="23" t="s">
        <v>46</v>
      </c>
      <c r="AL5" s="23" t="s">
        <v>47</v>
      </c>
      <c r="AM5" s="23" t="s">
        <v>48</v>
      </c>
      <c r="AN5" s="14"/>
      <c r="AO5" s="23" t="s">
        <v>12</v>
      </c>
      <c r="AP5" s="23" t="s">
        <v>43</v>
      </c>
      <c r="AQ5" s="23" t="s">
        <v>44</v>
      </c>
      <c r="AR5" s="23" t="s">
        <v>45</v>
      </c>
      <c r="AS5" s="23" t="s">
        <v>46</v>
      </c>
      <c r="AT5" s="23" t="s">
        <v>47</v>
      </c>
      <c r="AU5" s="23" t="s">
        <v>48</v>
      </c>
      <c r="AV5" s="14"/>
      <c r="AW5" s="23" t="s">
        <v>12</v>
      </c>
      <c r="AX5" s="23" t="s">
        <v>43</v>
      </c>
      <c r="AY5" s="23" t="s">
        <v>44</v>
      </c>
      <c r="AZ5" s="23" t="s">
        <v>45</v>
      </c>
      <c r="BA5" s="23" t="s">
        <v>46</v>
      </c>
      <c r="BB5" s="23" t="s">
        <v>47</v>
      </c>
      <c r="BC5" s="23" t="s">
        <v>48</v>
      </c>
      <c r="BD5" s="14"/>
      <c r="BE5" s="23" t="s">
        <v>12</v>
      </c>
      <c r="BF5" s="23" t="s">
        <v>43</v>
      </c>
      <c r="BG5" s="23" t="s">
        <v>44</v>
      </c>
      <c r="BH5" s="23" t="s">
        <v>45</v>
      </c>
      <c r="BI5" s="23" t="s">
        <v>46</v>
      </c>
      <c r="BJ5" s="23" t="s">
        <v>47</v>
      </c>
      <c r="BK5" s="23" t="s">
        <v>48</v>
      </c>
      <c r="BL5" s="14"/>
      <c r="BM5" s="23" t="s">
        <v>12</v>
      </c>
      <c r="BN5" s="23" t="s">
        <v>43</v>
      </c>
      <c r="BO5" s="23" t="s">
        <v>44</v>
      </c>
      <c r="BP5" s="23" t="s">
        <v>45</v>
      </c>
      <c r="BQ5" s="23" t="s">
        <v>46</v>
      </c>
      <c r="BR5" s="23" t="s">
        <v>47</v>
      </c>
      <c r="BS5" s="23" t="s">
        <v>48</v>
      </c>
      <c r="BT5" s="14"/>
      <c r="BU5" s="23" t="s">
        <v>12</v>
      </c>
      <c r="BV5" s="23" t="s">
        <v>43</v>
      </c>
      <c r="BW5" s="23" t="s">
        <v>44</v>
      </c>
      <c r="BX5" s="23" t="s">
        <v>45</v>
      </c>
      <c r="BY5" s="23" t="s">
        <v>46</v>
      </c>
      <c r="BZ5" s="23" t="s">
        <v>47</v>
      </c>
      <c r="CA5" s="23" t="s">
        <v>48</v>
      </c>
      <c r="CB5" s="14"/>
      <c r="CC5" s="23" t="s">
        <v>12</v>
      </c>
      <c r="CD5" s="23" t="s">
        <v>43</v>
      </c>
      <c r="CE5" s="23" t="s">
        <v>44</v>
      </c>
      <c r="CF5" s="23" t="s">
        <v>45</v>
      </c>
      <c r="CG5" s="23" t="s">
        <v>46</v>
      </c>
      <c r="CH5" s="23" t="s">
        <v>47</v>
      </c>
      <c r="CI5" s="23" t="s">
        <v>48</v>
      </c>
      <c r="CJ5" s="14"/>
      <c r="CK5" s="23" t="s">
        <v>12</v>
      </c>
      <c r="CL5" s="23" t="s">
        <v>43</v>
      </c>
      <c r="CM5" s="23" t="s">
        <v>44</v>
      </c>
      <c r="CN5" s="23" t="s">
        <v>45</v>
      </c>
      <c r="CO5" s="23" t="s">
        <v>46</v>
      </c>
      <c r="CP5" s="23" t="s">
        <v>47</v>
      </c>
      <c r="CQ5" s="23" t="s">
        <v>48</v>
      </c>
      <c r="CR5" s="14"/>
      <c r="CS5" s="23" t="s">
        <v>12</v>
      </c>
      <c r="CT5" s="23" t="s">
        <v>43</v>
      </c>
      <c r="CU5" s="23" t="s">
        <v>44</v>
      </c>
      <c r="CV5" s="23" t="s">
        <v>45</v>
      </c>
      <c r="CW5" s="23" t="s">
        <v>46</v>
      </c>
      <c r="CX5" s="23" t="s">
        <v>47</v>
      </c>
      <c r="CY5" s="23" t="s">
        <v>48</v>
      </c>
    </row>
    <row r="6" spans="2:103" outlineLevel="2" x14ac:dyDescent="0.85">
      <c r="B6" s="1" t="s">
        <v>91</v>
      </c>
      <c r="C6" s="1" t="s">
        <v>63</v>
      </c>
      <c r="D6" s="2">
        <v>110</v>
      </c>
      <c r="E6" s="1" t="s">
        <v>14</v>
      </c>
      <c r="F6" s="2" t="s">
        <v>13</v>
      </c>
      <c r="G6" s="1" t="s">
        <v>64</v>
      </c>
      <c r="I6" s="3">
        <f>SUMIFS('P&amp;L Data'!$N:$N,'P&amp;L Data'!$B:$B,$D6,'P&amp;L Data'!$C:$C,$I$4)</f>
        <v>27870.317920000001</v>
      </c>
      <c r="J6" s="3">
        <f>SUMIFS('P&amp;L Data'!$P:$P,'P&amp;L Data'!$B:$B,$D6,'P&amp;L Data'!$C:$C,$I$4)</f>
        <v>27368.312519999999</v>
      </c>
      <c r="K6" s="3">
        <f>SUMIFS('P&amp;L Data'!$T:$T,'P&amp;L Data'!$B:$B,$D6,'P&amp;L Data'!$C:$C,$I$4)</f>
        <v>26172.750379999998</v>
      </c>
      <c r="L6" s="3">
        <f t="shared" ref="L6:L7" si="0">I6-J6</f>
        <v>502.00540000000183</v>
      </c>
      <c r="M6" s="3">
        <f t="shared" ref="M6:M7" si="1">I6-K6</f>
        <v>1697.5675400000036</v>
      </c>
      <c r="N6" s="8">
        <f t="shared" ref="N6:N7" si="2">IFERROR((I6-J6)/ABS(J6),0)</f>
        <v>1.8342577739608543E-2</v>
      </c>
      <c r="O6" s="8">
        <f t="shared" ref="O6:O7" si="3">IFERROR((I6-K6)/ABS(K6),0)</f>
        <v>6.4860112726143074E-2</v>
      </c>
      <c r="P6" s="24"/>
      <c r="Q6" s="3">
        <f>SUMIFS('P&amp;L Data'!$N:$N,'P&amp;L Data'!$B:$B,$D6,'P&amp;L Data'!$C:$C,$Q$4)</f>
        <v>2321.9001299999991</v>
      </c>
      <c r="R6" s="3">
        <f>SUMIFS('P&amp;L Data'!$P:$P,'P&amp;L Data'!$B:$B,$D6,'P&amp;L Data'!$C:$C,$Q$4)</f>
        <v>2116.8049299999993</v>
      </c>
      <c r="S6" s="3">
        <f>SUMIFS('P&amp;L Data'!$T:$T,'P&amp;L Data'!$B:$B,$D6,'P&amp;L Data'!$C:$C,$Q$4)</f>
        <v>2527.3581241715638</v>
      </c>
      <c r="T6" s="3">
        <f t="shared" ref="T6:T7" si="4">Q6-R6</f>
        <v>205.09519999999975</v>
      </c>
      <c r="U6" s="3">
        <f t="shared" ref="U6:U7" si="5">Q6-S6</f>
        <v>-205.45799417156468</v>
      </c>
      <c r="V6" s="8">
        <f t="shared" ref="V6:V7" si="6">IFERROR((Q6-R6)/ABS(R6),0)</f>
        <v>9.6889041164506265E-2</v>
      </c>
      <c r="W6" s="8">
        <f t="shared" ref="W6:W7" si="7">IFERROR((Q6-S6)/ABS(S6),0)</f>
        <v>-8.1293581707543416E-2</v>
      </c>
      <c r="X6" s="24"/>
      <c r="Y6" s="3">
        <f>SUMIFS('P&amp;L Data'!$N:$N,'P&amp;L Data'!$B:$B,$D6,'P&amp;L Data'!$C:$C,$Y$4)</f>
        <v>7660.7427100000004</v>
      </c>
      <c r="Z6" s="3">
        <f>SUMIFS('P&amp;L Data'!$P:$P,'P&amp;L Data'!$B:$B,$D6,'P&amp;L Data'!$C:$C,$Y$4)</f>
        <v>7189.9921600000007</v>
      </c>
      <c r="AA6" s="3">
        <f>SUMIFS('P&amp;L Data'!$T:$T,'P&amp;L Data'!$B:$B,$D6,'P&amp;L Data'!$C:$C,$Y$4)</f>
        <v>7029.3761268639319</v>
      </c>
      <c r="AB6" s="3">
        <f t="shared" ref="AB6:AB7" si="8">Y6-Z6</f>
        <v>470.75054999999975</v>
      </c>
      <c r="AC6" s="3">
        <f t="shared" ref="AC6:AC7" si="9">Y6-AA6</f>
        <v>631.36658313606858</v>
      </c>
      <c r="AD6" s="8">
        <f t="shared" ref="AD6:AD7" si="10">IFERROR((Y6-Z6)/ABS(Z6),0)</f>
        <v>6.5473026885748326E-2</v>
      </c>
      <c r="AE6" s="8">
        <f t="shared" ref="AE6:AE7" si="11">IFERROR((Y6-AA6)/ABS(AA6),0)</f>
        <v>8.981829564122995E-2</v>
      </c>
      <c r="AF6" s="24"/>
      <c r="AG6" s="3">
        <f>SUMIFS('P&amp;L Data'!$N:$N,'P&amp;L Data'!$B:$B,$D6,'P&amp;L Data'!$C:$C,$AG$4)</f>
        <v>-130.1943</v>
      </c>
      <c r="AH6" s="3">
        <f>SUMIFS('P&amp;L Data'!$P:$P,'P&amp;L Data'!$B:$B,$D6,'P&amp;L Data'!$C:$C,$AG$4)</f>
        <v>-149.21150999999998</v>
      </c>
      <c r="AI6" s="3">
        <f>SUMIFS('P&amp;L Data'!$T:$T,'P&amp;L Data'!$B:$B,$D6,'P&amp;L Data'!$C:$C,$AG$4)</f>
        <v>-125.05086000000001</v>
      </c>
      <c r="AJ6" s="3">
        <f t="shared" ref="AJ6:AJ7" si="12">AG6-AH6</f>
        <v>19.017209999999977</v>
      </c>
      <c r="AK6" s="3">
        <f t="shared" ref="AK6:AK7" si="13">AG6-AI6</f>
        <v>-5.143439999999984</v>
      </c>
      <c r="AL6" s="8">
        <f t="shared" ref="AL6:AL7" si="14">IFERROR((AG6-AH6)/ABS(AH6),0)</f>
        <v>0.12745136082330366</v>
      </c>
      <c r="AM6" s="8">
        <f t="shared" ref="AM6:AM7" si="15">IFERROR((AG6-AI6)/ABS(AI6),0)</f>
        <v>-4.1130784706318563E-2</v>
      </c>
      <c r="AN6" s="24"/>
      <c r="AO6" s="3">
        <f>SUMIFS('P&amp;L Data'!$N:$N,'P&amp;L Data'!$B:$B,$D6,'P&amp;L Data'!$C:$C,$AO$4)</f>
        <v>-473.35512</v>
      </c>
      <c r="AP6" s="3">
        <f>SUMIFS('P&amp;L Data'!$P:$P,'P&amp;L Data'!$B:$B,$D6,'P&amp;L Data'!$C:$C,$AO$4)</f>
        <v>-505.86612000000002</v>
      </c>
      <c r="AQ6" s="3">
        <f>SUMIFS('P&amp;L Data'!$T:$T,'P&amp;L Data'!$B:$B,$D6,'P&amp;L Data'!$C:$C,$AO$4)</f>
        <v>-401.52716407784101</v>
      </c>
      <c r="AR6" s="3">
        <f t="shared" ref="AR6:AR7" si="16">AO6-AP6</f>
        <v>32.511000000000024</v>
      </c>
      <c r="AS6" s="3">
        <f t="shared" ref="AS6:AS7" si="17">AO6-AQ6</f>
        <v>-71.827955922158992</v>
      </c>
      <c r="AT6" s="8">
        <f t="shared" ref="AT6:AT7" si="18">IFERROR((AO6-AP6)/ABS(AP6),0)</f>
        <v>6.4267992487814798E-2</v>
      </c>
      <c r="AU6" s="8">
        <f t="shared" ref="AU6:AU7" si="19">IFERROR((AO6-AQ6)/ABS(AQ6),0)</f>
        <v>-0.17888691562654588</v>
      </c>
      <c r="AW6" s="3">
        <f>SUMIFS('P&amp;L Data'!$N:$N,'P&amp;L Data'!$B:$B,$D6,'P&amp;L Data'!$C:$C,$AW$4)</f>
        <v>7057.1932899999993</v>
      </c>
      <c r="AX6" s="3">
        <f>SUMIFS('P&amp;L Data'!$P:$P,'P&amp;L Data'!$B:$B,$D6,'P&amp;L Data'!$C:$C,$AW$4)</f>
        <v>6534.91453</v>
      </c>
      <c r="AY6" s="3">
        <f>SUMIFS('P&amp;L Data'!$T:$T,'P&amp;L Data'!$B:$B,$D6,'P&amp;L Data'!$C:$C,$AW$4)</f>
        <v>6502.7981027860906</v>
      </c>
      <c r="AZ6" s="3">
        <f t="shared" ref="AZ6:AZ7" si="20">AW6-AX6</f>
        <v>522.27875999999924</v>
      </c>
      <c r="BA6" s="3">
        <f t="shared" ref="BA6:BA7" si="21">AW6-AY6</f>
        <v>554.39518721390868</v>
      </c>
      <c r="BB6" s="8">
        <f t="shared" ref="BB6:BB7" si="22">IFERROR((AW6-AX6)/ABS(AX6),0)</f>
        <v>7.992128398961619E-2</v>
      </c>
      <c r="BC6" s="8">
        <f t="shared" ref="BC6:BC7" si="23">IFERROR((AW6-AY6)/ABS(AY6),0)</f>
        <v>8.5254866974323079E-2</v>
      </c>
      <c r="BE6" s="3">
        <f>SUMIFS('P&amp;L Data'!$N:$N,'P&amp;L Data'!$B:$B,$D6,'P&amp;L Data'!$C:$C,$BE$4)</f>
        <v>-1860.5426199999997</v>
      </c>
      <c r="BF6" s="3">
        <f>SUMIFS('P&amp;L Data'!$P:$P,'P&amp;L Data'!$B:$B,$D6,'P&amp;L Data'!$C:$C,$BE$4)</f>
        <v>-1796.46901</v>
      </c>
      <c r="BG6" s="3">
        <f>SUMIFS('P&amp;L Data'!$T:$T,'P&amp;L Data'!$B:$B,$D6,'P&amp;L Data'!$C:$C,$BE$4)</f>
        <v>-1761.5087199999998</v>
      </c>
      <c r="BH6" s="3">
        <f t="shared" ref="BH6:BH7" si="24">BE6-BF6</f>
        <v>-64.07360999999969</v>
      </c>
      <c r="BI6" s="3">
        <f t="shared" ref="BI6:BI7" si="25">BE6-BG6</f>
        <v>-99.033899999999903</v>
      </c>
      <c r="BJ6" s="8">
        <f t="shared" ref="BJ6:BJ7" si="26">IFERROR((BE6-BF6)/ABS(BF6),0)</f>
        <v>-3.5666415420102175E-2</v>
      </c>
      <c r="BK6" s="8">
        <f t="shared" ref="BK6:BK7" si="27">IFERROR((BE6-BG6)/ABS(BG6),0)</f>
        <v>-5.6221067131589288E-2</v>
      </c>
      <c r="BM6" s="3">
        <f>SUMIFS('P&amp;L Data'!$N:$N,'P&amp;L Data'!$B:$B,$D6,'P&amp;L Data'!$C:$C,$BM$4)</f>
        <v>-645.63851999999997</v>
      </c>
      <c r="BN6" s="3">
        <f>SUMIFS('P&amp;L Data'!$P:$P,'P&amp;L Data'!$B:$B,$D6,'P&amp;L Data'!$C:$C,$BM$4)</f>
        <v>-668.14439000000004</v>
      </c>
      <c r="BO6" s="3">
        <f>SUMIFS('P&amp;L Data'!$T:$T,'P&amp;L Data'!$B:$B,$D6,'P&amp;L Data'!$C:$C,$BM$4)</f>
        <v>-646.61740999999995</v>
      </c>
      <c r="BP6" s="3">
        <f t="shared" ref="BP6:BP7" si="28">BM6-BN6</f>
        <v>22.505870000000073</v>
      </c>
      <c r="BQ6" s="3">
        <f t="shared" ref="BQ6:BQ7" si="29">BM6-BO6</f>
        <v>0.9788899999999785</v>
      </c>
      <c r="BR6" s="8">
        <f t="shared" ref="BR6:BR7" si="30">IFERROR((BM6-BN6)/ABS(BN6),0)</f>
        <v>3.3684141237794528E-2</v>
      </c>
      <c r="BS6" s="8">
        <f t="shared" ref="BS6:BS7" si="31">IFERROR((BM6-BO6)/ABS(BO6),0)</f>
        <v>1.5138627337608782E-3</v>
      </c>
      <c r="BU6" s="3">
        <f>SUMIFS('P&amp;L Data'!$N:$N,'P&amp;L Data'!$B:$B,$D6,'P&amp;L Data'!$C:$C,$BU$4)</f>
        <v>-902.48856000000001</v>
      </c>
      <c r="BV6" s="3">
        <f>SUMIFS('P&amp;L Data'!$P:$P,'P&amp;L Data'!$B:$B,$D6,'P&amp;L Data'!$C:$C,$BU$4)</f>
        <v>-902.48856000000001</v>
      </c>
      <c r="BW6" s="3">
        <f>SUMIFS('P&amp;L Data'!$T:$T,'P&amp;L Data'!$B:$B,$D6,'P&amp;L Data'!$C:$C,$BU$4)</f>
        <v>-902.48856000000001</v>
      </c>
      <c r="BX6" s="3">
        <f t="shared" ref="BX6:BX7" si="32">BU6-BV6</f>
        <v>0</v>
      </c>
      <c r="BY6" s="3">
        <f t="shared" ref="BY6:BY7" si="33">BU6-BW6</f>
        <v>0</v>
      </c>
      <c r="BZ6" s="8">
        <f t="shared" ref="BZ6:BZ7" si="34">IFERROR((BU6-BV6)/ABS(BV6),0)</f>
        <v>0</v>
      </c>
      <c r="CA6" s="8">
        <f t="shared" ref="CA6:CA7" si="35">IFERROR((BU6-BW6)/ABS(BW6),0)</f>
        <v>0</v>
      </c>
      <c r="CC6" s="3">
        <f>SUMIFS('P&amp;L Data'!$N:$N,'P&amp;L Data'!$B:$B,$D6,'P&amp;L Data'!$C:$C,$CC$4)</f>
        <v>3648.5235899999998</v>
      </c>
      <c r="CD6" s="3">
        <f>SUMIFS('P&amp;L Data'!$P:$P,'P&amp;L Data'!$B:$B,$D6,'P&amp;L Data'!$C:$C,$CC$4)</f>
        <v>3167.8125700000001</v>
      </c>
      <c r="CE6" s="3">
        <f>SUMIFS('P&amp;L Data'!$T:$T,'P&amp;L Data'!$B:$B,$D6,'P&amp;L Data'!$C:$C,$CC$4)</f>
        <v>3192.1834127860911</v>
      </c>
      <c r="CF6" s="3">
        <f t="shared" ref="CF6:CF7" si="36">CC6-CD6</f>
        <v>480.71101999999973</v>
      </c>
      <c r="CG6" s="3">
        <f t="shared" ref="CG6:CG7" si="37">CC6-CE6</f>
        <v>456.34017721390865</v>
      </c>
      <c r="CH6" s="8">
        <f t="shared" ref="CH6:CH7" si="38">IFERROR((CC6-CD6)/ABS(CD6),0)</f>
        <v>0.15174856762437802</v>
      </c>
      <c r="CI6" s="8">
        <f t="shared" ref="CI6:CI7" si="39">IFERROR((CC6-CE6)/ABS(CE6),0)</f>
        <v>0.14295550042208308</v>
      </c>
      <c r="CK6" s="3">
        <f>SUMIFS('P&amp;L Data'!$N:$N,'P&amp;L Data'!$B:$B,$D6,'P&amp;L Data'!$C:$C,$CK$4)</f>
        <v>-835.34059999999988</v>
      </c>
      <c r="CL6" s="3">
        <f>SUMIFS('P&amp;L Data'!$P:$P,'P&amp;L Data'!$B:$B,$D6,'P&amp;L Data'!$C:$C,$CK$4)</f>
        <v>-836.24459000000002</v>
      </c>
      <c r="CM6" s="3">
        <f>SUMIFS('P&amp;L Data'!$T:$T,'P&amp;L Data'!$B:$B,$D6,'P&amp;L Data'!$C:$C,$CK$4)</f>
        <v>-912.70720999999992</v>
      </c>
      <c r="CN6" s="3">
        <f t="shared" ref="CN6:CN7" si="40">CK6-CL6</f>
        <v>0.9039900000001353</v>
      </c>
      <c r="CO6" s="3">
        <f t="shared" ref="CO6:CO7" si="41">CK6-CM6</f>
        <v>77.366610000000037</v>
      </c>
      <c r="CP6" s="8">
        <f t="shared" ref="CP6:CP7" si="42">IFERROR((CK6-CL6)/ABS(CL6),0)</f>
        <v>1.0810114777545351E-3</v>
      </c>
      <c r="CQ6" s="8">
        <f t="shared" ref="CQ6:CQ7" si="43">IFERROR((CK6-CM6)/ABS(CM6),0)</f>
        <v>8.476607739299008E-2</v>
      </c>
      <c r="CS6" s="3">
        <f>SUMIFS('P&amp;L Data'!$N:$N,'P&amp;L Data'!$B:$B,$D6,'P&amp;L Data'!$C:$C,$CS$4)</f>
        <v>2813.1829899999998</v>
      </c>
      <c r="CT6" s="3">
        <f>SUMIFS('P&amp;L Data'!$P:$P,'P&amp;L Data'!$B:$B,$D6,'P&amp;L Data'!$C:$C,$CS$4)</f>
        <v>2331.5679799999998</v>
      </c>
      <c r="CU6" s="3">
        <f>SUMIFS('P&amp;L Data'!$T:$T,'P&amp;L Data'!$B:$B,$D6,'P&amp;L Data'!$C:$C,$CS$4)</f>
        <v>2279.4762027860911</v>
      </c>
      <c r="CV6" s="3">
        <f t="shared" ref="CV6:CV7" si="44">CS6-CT6</f>
        <v>481.61500999999998</v>
      </c>
      <c r="CW6" s="3">
        <f t="shared" ref="CW6:CW7" si="45">CS6-CU6</f>
        <v>533.70678721390868</v>
      </c>
      <c r="CX6" s="8">
        <f t="shared" ref="CX6:CX7" si="46">IFERROR((CS6-CT6)/ABS(CT6),0)</f>
        <v>0.20656271407535801</v>
      </c>
      <c r="CY6" s="8">
        <f t="shared" ref="CY6:CY7" si="47">IFERROR((CS6-CU6)/ABS(CU6),0)</f>
        <v>0.23413571352997029</v>
      </c>
    </row>
    <row r="7" spans="2:103" outlineLevel="2" x14ac:dyDescent="0.85">
      <c r="B7" s="1" t="s">
        <v>91</v>
      </c>
      <c r="C7" s="1" t="s">
        <v>63</v>
      </c>
      <c r="D7" s="2">
        <v>10002</v>
      </c>
      <c r="E7" s="1" t="s">
        <v>18</v>
      </c>
      <c r="F7" s="2" t="s">
        <v>15</v>
      </c>
      <c r="G7" s="1" t="s">
        <v>64</v>
      </c>
      <c r="I7" s="3">
        <f>SUMIFS('P&amp;L Data'!$N:$N,'P&amp;L Data'!$B:$B,$D7,'P&amp;L Data'!$C:$C,$I$4)</f>
        <v>22333.22581</v>
      </c>
      <c r="J7" s="3">
        <f>SUMIFS('P&amp;L Data'!$P:$P,'P&amp;L Data'!$B:$B,$D7,'P&amp;L Data'!$C:$C,$I$4)</f>
        <v>19298.603470000005</v>
      </c>
      <c r="K7" s="3">
        <f>SUMIFS('P&amp;L Data'!$T:$T,'P&amp;L Data'!$B:$B,$D7,'P&amp;L Data'!$C:$C,$I$4)</f>
        <v>22005.440879999998</v>
      </c>
      <c r="L7" s="3">
        <f t="shared" si="0"/>
        <v>3034.6223399999944</v>
      </c>
      <c r="M7" s="3">
        <f t="shared" si="1"/>
        <v>327.78493000000162</v>
      </c>
      <c r="N7" s="8">
        <f t="shared" si="2"/>
        <v>0.15724569628664398</v>
      </c>
      <c r="O7" s="8">
        <f t="shared" si="3"/>
        <v>1.489563112084313E-2</v>
      </c>
      <c r="P7" s="24"/>
      <c r="Q7" s="3">
        <f>SUMIFS('P&amp;L Data'!$N:$N,'P&amp;L Data'!$B:$B,$D7,'P&amp;L Data'!$C:$C,$Q$4)</f>
        <v>83.634920000001529</v>
      </c>
      <c r="R7" s="3">
        <f>SUMIFS('P&amp;L Data'!$P:$P,'P&amp;L Data'!$B:$B,$D7,'P&amp;L Data'!$C:$C,$Q$4)</f>
        <v>758.14798000000019</v>
      </c>
      <c r="S7" s="3">
        <f>SUMIFS('P&amp;L Data'!$T:$T,'P&amp;L Data'!$B:$B,$D7,'P&amp;L Data'!$C:$C,$Q$4)</f>
        <v>264.96195316220019</v>
      </c>
      <c r="T7" s="3">
        <f t="shared" si="4"/>
        <v>-674.51305999999863</v>
      </c>
      <c r="U7" s="3">
        <f t="shared" si="5"/>
        <v>-181.32703316219866</v>
      </c>
      <c r="V7" s="8">
        <f t="shared" si="6"/>
        <v>-0.8896852300523157</v>
      </c>
      <c r="W7" s="8">
        <f t="shared" si="7"/>
        <v>-0.68435120966668284</v>
      </c>
      <c r="X7" s="24"/>
      <c r="Y7" s="3">
        <f>SUMIFS('P&amp;L Data'!$N:$N,'P&amp;L Data'!$B:$B,$D7,'P&amp;L Data'!$C:$C,$Y$4)</f>
        <v>4679.6960400000034</v>
      </c>
      <c r="Z7" s="3">
        <f>SUMIFS('P&amp;L Data'!$P:$P,'P&amp;L Data'!$B:$B,$D7,'P&amp;L Data'!$C:$C,$Y$4)</f>
        <v>4649.7724200000021</v>
      </c>
      <c r="AA7" s="3">
        <f>SUMIFS('P&amp;L Data'!$T:$T,'P&amp;L Data'!$B:$B,$D7,'P&amp;L Data'!$C:$C,$Y$4)</f>
        <v>4442.234141978437</v>
      </c>
      <c r="AB7" s="3">
        <f t="shared" si="8"/>
        <v>29.923620000001392</v>
      </c>
      <c r="AC7" s="3">
        <f t="shared" si="9"/>
        <v>237.46189802156641</v>
      </c>
      <c r="AD7" s="8">
        <f t="shared" si="10"/>
        <v>6.4355020627012488E-3</v>
      </c>
      <c r="AE7" s="8">
        <f t="shared" si="11"/>
        <v>5.3455511445825783E-2</v>
      </c>
      <c r="AF7" s="24"/>
      <c r="AG7" s="3">
        <f>SUMIFS('P&amp;L Data'!$N:$N,'P&amp;L Data'!$B:$B,$D7,'P&amp;L Data'!$C:$C,$AG$4)</f>
        <v>-78.406859999999995</v>
      </c>
      <c r="AH7" s="3">
        <f>SUMIFS('P&amp;L Data'!$P:$P,'P&amp;L Data'!$B:$B,$D7,'P&amp;L Data'!$C:$C,$AG$4)</f>
        <v>-128.90877999999998</v>
      </c>
      <c r="AI7" s="3">
        <f>SUMIFS('P&amp;L Data'!$T:$T,'P&amp;L Data'!$B:$B,$D7,'P&amp;L Data'!$C:$C,$AG$4)</f>
        <v>-131.65797000000001</v>
      </c>
      <c r="AJ7" s="3">
        <f t="shared" si="12"/>
        <v>50.501919999999984</v>
      </c>
      <c r="AK7" s="3">
        <f t="shared" si="13"/>
        <v>53.251110000000011</v>
      </c>
      <c r="AL7" s="8">
        <f t="shared" si="14"/>
        <v>0.39176478126625658</v>
      </c>
      <c r="AM7" s="8">
        <f t="shared" si="15"/>
        <v>0.40446552533052127</v>
      </c>
      <c r="AN7" s="24"/>
      <c r="AO7" s="3">
        <f>SUMIFS('P&amp;L Data'!$N:$N,'P&amp;L Data'!$B:$B,$D7,'P&amp;L Data'!$C:$C,$AO$4)</f>
        <v>-363.26979999999998</v>
      </c>
      <c r="AP7" s="3">
        <f>SUMIFS('P&amp;L Data'!$P:$P,'P&amp;L Data'!$B:$B,$D7,'P&amp;L Data'!$C:$C,$AO$4)</f>
        <v>-366.80482000000001</v>
      </c>
      <c r="AQ7" s="3">
        <f>SUMIFS('P&amp;L Data'!$T:$T,'P&amp;L Data'!$B:$B,$D7,'P&amp;L Data'!$C:$C,$AO$4)</f>
        <v>-332.60495160580308</v>
      </c>
      <c r="AR7" s="3">
        <f t="shared" si="16"/>
        <v>3.5350200000000314</v>
      </c>
      <c r="AS7" s="3">
        <f t="shared" si="17"/>
        <v>-30.664848394196895</v>
      </c>
      <c r="AT7" s="8">
        <f t="shared" si="18"/>
        <v>9.6373324647152439E-3</v>
      </c>
      <c r="AU7" s="8">
        <f t="shared" si="19"/>
        <v>-9.2196006842797329E-2</v>
      </c>
      <c r="AW7" s="3">
        <f>SUMIFS('P&amp;L Data'!$N:$N,'P&amp;L Data'!$B:$B,$D7,'P&amp;L Data'!$C:$C,$AW$4)</f>
        <v>4238.0193800000034</v>
      </c>
      <c r="AX7" s="3">
        <f>SUMIFS('P&amp;L Data'!$P:$P,'P&amp;L Data'!$B:$B,$D7,'P&amp;L Data'!$C:$C,$AW$4)</f>
        <v>4154.058820000002</v>
      </c>
      <c r="AY7" s="3">
        <f>SUMIFS('P&amp;L Data'!$T:$T,'P&amp;L Data'!$B:$B,$D7,'P&amp;L Data'!$C:$C,$AW$4)</f>
        <v>3977.9712203726335</v>
      </c>
      <c r="AZ7" s="3">
        <f t="shared" si="20"/>
        <v>83.960560000001351</v>
      </c>
      <c r="BA7" s="3">
        <f t="shared" si="21"/>
        <v>260.04815962736984</v>
      </c>
      <c r="BB7" s="8">
        <f t="shared" si="22"/>
        <v>2.0211692621146204E-2</v>
      </c>
      <c r="BC7" s="8">
        <f t="shared" si="23"/>
        <v>6.5372056563800379E-2</v>
      </c>
      <c r="BE7" s="3">
        <f>SUMIFS('P&amp;L Data'!$N:$N,'P&amp;L Data'!$B:$B,$D7,'P&amp;L Data'!$C:$C,$BE$4)</f>
        <v>-1905.4050899999995</v>
      </c>
      <c r="BF7" s="3">
        <f>SUMIFS('P&amp;L Data'!$P:$P,'P&amp;L Data'!$B:$B,$D7,'P&amp;L Data'!$C:$C,$BE$4)</f>
        <v>-1677.6926400000002</v>
      </c>
      <c r="BG7" s="3">
        <f>SUMIFS('P&amp;L Data'!$T:$T,'P&amp;L Data'!$B:$B,$D7,'P&amp;L Data'!$C:$C,$BE$4)</f>
        <v>-2013.0301700000005</v>
      </c>
      <c r="BH7" s="3">
        <f t="shared" si="24"/>
        <v>-227.71244999999931</v>
      </c>
      <c r="BI7" s="3">
        <f t="shared" si="25"/>
        <v>107.62508000000093</v>
      </c>
      <c r="BJ7" s="8">
        <f t="shared" si="26"/>
        <v>-0.13572953982798619</v>
      </c>
      <c r="BK7" s="8">
        <f t="shared" si="27"/>
        <v>5.3464216087730526E-2</v>
      </c>
      <c r="BM7" s="3">
        <f>SUMIFS('P&amp;L Data'!$N:$N,'P&amp;L Data'!$B:$B,$D7,'P&amp;L Data'!$C:$C,$BM$4)</f>
        <v>-1162.84058</v>
      </c>
      <c r="BN7" s="3">
        <f>SUMIFS('P&amp;L Data'!$P:$P,'P&amp;L Data'!$B:$B,$D7,'P&amp;L Data'!$C:$C,$BM$4)</f>
        <v>-1170.7326800000001</v>
      </c>
      <c r="BO7" s="3">
        <f>SUMIFS('P&amp;L Data'!$T:$T,'P&amp;L Data'!$B:$B,$D7,'P&amp;L Data'!$C:$C,$BM$4)</f>
        <v>-1233.3777300000002</v>
      </c>
      <c r="BP7" s="3">
        <f t="shared" si="28"/>
        <v>7.8921000000000276</v>
      </c>
      <c r="BQ7" s="3">
        <f t="shared" si="29"/>
        <v>70.537150000000111</v>
      </c>
      <c r="BR7" s="8">
        <f t="shared" si="30"/>
        <v>6.7411631492169735E-3</v>
      </c>
      <c r="BS7" s="8">
        <f t="shared" si="31"/>
        <v>5.7190225090248792E-2</v>
      </c>
      <c r="BU7" s="3">
        <f>SUMIFS('P&amp;L Data'!$N:$N,'P&amp;L Data'!$B:$B,$D7,'P&amp;L Data'!$C:$C,$BU$4)</f>
        <v>-1290.90672</v>
      </c>
      <c r="BV7" s="3">
        <f>SUMIFS('P&amp;L Data'!$P:$P,'P&amp;L Data'!$B:$B,$D7,'P&amp;L Data'!$C:$C,$BU$4)</f>
        <v>-897.84528</v>
      </c>
      <c r="BW7" s="3">
        <f>SUMIFS('P&amp;L Data'!$T:$T,'P&amp;L Data'!$B:$B,$D7,'P&amp;L Data'!$C:$C,$BU$4)</f>
        <v>-1288.77414</v>
      </c>
      <c r="BX7" s="3">
        <f t="shared" si="32"/>
        <v>-393.06143999999995</v>
      </c>
      <c r="BY7" s="3">
        <f t="shared" si="33"/>
        <v>-2.1325799999999617</v>
      </c>
      <c r="BZ7" s="8">
        <f t="shared" si="34"/>
        <v>-0.43778304431248993</v>
      </c>
      <c r="CA7" s="8">
        <f t="shared" si="35"/>
        <v>-1.6547352509726505E-3</v>
      </c>
      <c r="CC7" s="3">
        <f>SUMIFS('P&amp;L Data'!$N:$N,'P&amp;L Data'!$B:$B,$D7,'P&amp;L Data'!$C:$C,$CC$4)</f>
        <v>-121.13300999999592</v>
      </c>
      <c r="CD7" s="3">
        <f>SUMIFS('P&amp;L Data'!$P:$P,'P&amp;L Data'!$B:$B,$D7,'P&amp;L Data'!$C:$C,$CC$4)</f>
        <v>407.78822000000173</v>
      </c>
      <c r="CE7" s="3">
        <f>SUMIFS('P&amp;L Data'!$T:$T,'P&amp;L Data'!$B:$B,$D7,'P&amp;L Data'!$C:$C,$CC$4)</f>
        <v>-557.21081962736707</v>
      </c>
      <c r="CF7" s="3">
        <f t="shared" si="36"/>
        <v>-528.92122999999765</v>
      </c>
      <c r="CG7" s="3">
        <f t="shared" si="37"/>
        <v>436.07780962737115</v>
      </c>
      <c r="CH7" s="8">
        <f t="shared" si="38"/>
        <v>-1.2970488210767721</v>
      </c>
      <c r="CI7" s="8">
        <f t="shared" si="39"/>
        <v>0.7826082952211818</v>
      </c>
      <c r="CK7" s="3">
        <f>SUMIFS('P&amp;L Data'!$N:$N,'P&amp;L Data'!$B:$B,$D7,'P&amp;L Data'!$C:$C,$CK$4)</f>
        <v>-361.59676000000002</v>
      </c>
      <c r="CL7" s="3">
        <f>SUMIFS('P&amp;L Data'!$P:$P,'P&amp;L Data'!$B:$B,$D7,'P&amp;L Data'!$C:$C,$CK$4)</f>
        <v>-345.63357999999999</v>
      </c>
      <c r="CM7" s="3">
        <f>SUMIFS('P&amp;L Data'!$T:$T,'P&amp;L Data'!$B:$B,$D7,'P&amp;L Data'!$C:$C,$CK$4)</f>
        <v>-431.18723999999997</v>
      </c>
      <c r="CN7" s="3">
        <f t="shared" si="40"/>
        <v>-15.963180000000023</v>
      </c>
      <c r="CO7" s="3">
        <f t="shared" si="41"/>
        <v>69.590479999999957</v>
      </c>
      <c r="CP7" s="8">
        <f t="shared" si="42"/>
        <v>-4.618526938267984E-2</v>
      </c>
      <c r="CQ7" s="8">
        <f t="shared" si="43"/>
        <v>0.16139271653771564</v>
      </c>
      <c r="CS7" s="3">
        <f>SUMIFS('P&amp;L Data'!$N:$N,'P&amp;L Data'!$B:$B,$D7,'P&amp;L Data'!$C:$C,$CS$4)</f>
        <v>-482.72976999999594</v>
      </c>
      <c r="CT7" s="3">
        <f>SUMIFS('P&amp;L Data'!$P:$P,'P&amp;L Data'!$B:$B,$D7,'P&amp;L Data'!$C:$C,$CS$4)</f>
        <v>62.154640000001734</v>
      </c>
      <c r="CU7" s="3">
        <f>SUMIFS('P&amp;L Data'!$T:$T,'P&amp;L Data'!$B:$B,$D7,'P&amp;L Data'!$C:$C,$CS$4)</f>
        <v>-988.39805962736705</v>
      </c>
      <c r="CV7" s="3">
        <f t="shared" si="44"/>
        <v>-544.88440999999762</v>
      </c>
      <c r="CW7" s="3">
        <f t="shared" si="45"/>
        <v>505.66828962737111</v>
      </c>
      <c r="CX7" s="8">
        <f t="shared" si="46"/>
        <v>-8.7665926469847211</v>
      </c>
      <c r="CY7" s="8">
        <f t="shared" si="47"/>
        <v>0.51160388742366769</v>
      </c>
    </row>
    <row r="8" spans="2:103" outlineLevel="1" x14ac:dyDescent="0.85">
      <c r="B8" s="25" t="s">
        <v>91</v>
      </c>
      <c r="C8" s="25" t="s">
        <v>65</v>
      </c>
      <c r="D8" s="26"/>
      <c r="E8" s="26"/>
      <c r="F8" s="26"/>
      <c r="G8" s="25"/>
      <c r="H8" s="16"/>
      <c r="I8" s="27">
        <f>SUBTOTAL(9,I6:I7)</f>
        <v>50203.543730000005</v>
      </c>
      <c r="J8" s="27">
        <f>SUBTOTAL(9,J6:J7)</f>
        <v>46666.915990000009</v>
      </c>
      <c r="K8" s="27">
        <f>SUBTOTAL(9,K6:K7)</f>
        <v>48178.191259999992</v>
      </c>
      <c r="L8" s="27">
        <f t="shared" ref="L8:L15" si="48">I8-J8</f>
        <v>3536.6277399999963</v>
      </c>
      <c r="M8" s="27">
        <f t="shared" ref="M8:M15" si="49">I8-K8</f>
        <v>2025.3524700000125</v>
      </c>
      <c r="N8" s="28">
        <f t="shared" ref="N8:N15" si="50">IFERROR((I8-J8)/ABS(J8),0)</f>
        <v>7.578447525347165E-2</v>
      </c>
      <c r="O8" s="28">
        <f t="shared" ref="O8:O15" si="51">IFERROR((I8-K8)/ABS(K8),0)</f>
        <v>4.2038781802121415E-2</v>
      </c>
      <c r="P8" s="29"/>
      <c r="Q8" s="27">
        <f>SUBTOTAL(9,Q6:Q7)</f>
        <v>2405.5350500000004</v>
      </c>
      <c r="R8" s="27">
        <f>SUBTOTAL(9,R6:R7)</f>
        <v>2874.9529099999995</v>
      </c>
      <c r="S8" s="27">
        <f>SUBTOTAL(9,S6:S7)</f>
        <v>2792.3200773337639</v>
      </c>
      <c r="T8" s="27">
        <f t="shared" ref="T8:T15" si="52">Q8-R8</f>
        <v>-469.41785999999911</v>
      </c>
      <c r="U8" s="27">
        <f t="shared" ref="U8:U15" si="53">Q8-S8</f>
        <v>-386.78502733376354</v>
      </c>
      <c r="V8" s="28">
        <f t="shared" ref="V8:V15" si="54">IFERROR((Q8-R8)/ABS(R8),0)</f>
        <v>-0.16327845175036249</v>
      </c>
      <c r="W8" s="28">
        <f t="shared" ref="W8:W15" si="55">IFERROR((Q8-S8)/ABS(S8),0)</f>
        <v>-0.138517439484618</v>
      </c>
      <c r="X8" s="29"/>
      <c r="Y8" s="27">
        <f>SUBTOTAL(9,Y6:Y7)</f>
        <v>12340.438750000005</v>
      </c>
      <c r="Z8" s="27">
        <f>SUBTOTAL(9,Z6:Z7)</f>
        <v>11839.764580000003</v>
      </c>
      <c r="AA8" s="27">
        <f>SUBTOTAL(9,AA6:AA7)</f>
        <v>11471.610268842369</v>
      </c>
      <c r="AB8" s="27">
        <f t="shared" ref="AB8:AB15" si="56">Y8-Z8</f>
        <v>500.67417000000205</v>
      </c>
      <c r="AC8" s="27">
        <f t="shared" ref="AC8:AC15" si="57">Y8-AA8</f>
        <v>868.82848115763591</v>
      </c>
      <c r="AD8" s="28">
        <f t="shared" ref="AD8:AD15" si="58">IFERROR((Y8-Z8)/ABS(Z8),0)</f>
        <v>4.2287510584944579E-2</v>
      </c>
      <c r="AE8" s="28">
        <f t="shared" ref="AE8:AE15" si="59">IFERROR((Y8-AA8)/ABS(AA8),0)</f>
        <v>7.5737273215899764E-2</v>
      </c>
      <c r="AF8" s="29"/>
      <c r="AG8" s="27">
        <f>SUBTOTAL(9,AG6:AG7)</f>
        <v>-208.60115999999999</v>
      </c>
      <c r="AH8" s="27">
        <f>SUBTOTAL(9,AH6:AH7)</f>
        <v>-278.12028999999995</v>
      </c>
      <c r="AI8" s="27">
        <f>SUBTOTAL(9,AI6:AI7)</f>
        <v>-256.70883000000003</v>
      </c>
      <c r="AJ8" s="27">
        <f t="shared" ref="AJ8:AJ15" si="60">AG8-AH8</f>
        <v>69.519129999999961</v>
      </c>
      <c r="AK8" s="27">
        <f t="shared" ref="AK8:AK15" si="61">AG8-AI8</f>
        <v>48.107670000000041</v>
      </c>
      <c r="AL8" s="28">
        <f t="shared" ref="AL8:AL15" si="62">IFERROR((AG8-AH8)/ABS(AH8),0)</f>
        <v>0.24996065551348293</v>
      </c>
      <c r="AM8" s="28">
        <f t="shared" ref="AM8:AM15" si="63">IFERROR((AG8-AI8)/ABS(AI8),0)</f>
        <v>0.18740169553186009</v>
      </c>
      <c r="AN8" s="29"/>
      <c r="AO8" s="27">
        <f>SUBTOTAL(9,AO6:AO7)</f>
        <v>-836.62491999999997</v>
      </c>
      <c r="AP8" s="27">
        <f>SUBTOTAL(9,AP6:AP7)</f>
        <v>-872.67093999999997</v>
      </c>
      <c r="AQ8" s="27">
        <f>SUBTOTAL(9,AQ6:AQ7)</f>
        <v>-734.13211568364409</v>
      </c>
      <c r="AR8" s="27">
        <f t="shared" ref="AR8:AR15" si="64">AO8-AP8</f>
        <v>36.046019999999999</v>
      </c>
      <c r="AS8" s="27">
        <f t="shared" ref="AS8:AS15" si="65">AO8-AQ8</f>
        <v>-102.49280431635589</v>
      </c>
      <c r="AT8" s="28">
        <f t="shared" ref="AT8:AT15" si="66">IFERROR((AO8-AP8)/ABS(AP8),0)</f>
        <v>4.1305397427351023E-2</v>
      </c>
      <c r="AU8" s="28">
        <f t="shared" ref="AU8:AU15" si="67">IFERROR((AO8-AQ8)/ABS(AQ8),0)</f>
        <v>-0.13961084405211147</v>
      </c>
      <c r="AV8" s="17"/>
      <c r="AW8" s="27">
        <f>SUBTOTAL(9,AW6:AW7)</f>
        <v>11295.212670000003</v>
      </c>
      <c r="AX8" s="27">
        <f>SUBTOTAL(9,AX6:AX7)</f>
        <v>10688.973350000002</v>
      </c>
      <c r="AY8" s="27">
        <f>SUBTOTAL(9,AY6:AY7)</f>
        <v>10480.769323158724</v>
      </c>
      <c r="AZ8" s="27">
        <f t="shared" ref="AZ8:AZ15" si="68">AW8-AX8</f>
        <v>606.23932000000059</v>
      </c>
      <c r="BA8" s="27">
        <f t="shared" ref="BA8:BA15" si="69">AW8-AY8</f>
        <v>814.44334684127898</v>
      </c>
      <c r="BB8" s="28">
        <f t="shared" ref="BB8:BB15" si="70">IFERROR((AW8-AX8)/ABS(AX8),0)</f>
        <v>5.6716328140157674E-2</v>
      </c>
      <c r="BC8" s="28">
        <f t="shared" ref="BC8:BC15" si="71">IFERROR((AW8-AY8)/ABS(AY8),0)</f>
        <v>7.7708355343882304E-2</v>
      </c>
      <c r="BD8" s="17"/>
      <c r="BE8" s="27">
        <f>SUBTOTAL(9,BE6:BE7)</f>
        <v>-3765.9477099999995</v>
      </c>
      <c r="BF8" s="27">
        <f>SUBTOTAL(9,BF6:BF7)</f>
        <v>-3474.16165</v>
      </c>
      <c r="BG8" s="27">
        <f>SUBTOTAL(9,BG6:BG7)</f>
        <v>-3774.5388900000003</v>
      </c>
      <c r="BH8" s="27">
        <f t="shared" ref="BH8:BH15" si="72">BE8-BF8</f>
        <v>-291.78605999999945</v>
      </c>
      <c r="BI8" s="27">
        <f t="shared" ref="BI8:BI15" si="73">BE8-BG8</f>
        <v>8.5911800000008043</v>
      </c>
      <c r="BJ8" s="28">
        <f t="shared" ref="BJ8:BJ15" si="74">IFERROR((BE8-BF8)/ABS(BF8),0)</f>
        <v>-8.3987473639863433E-2</v>
      </c>
      <c r="BK8" s="28">
        <f t="shared" ref="BK8:BK15" si="75">IFERROR((BE8-BG8)/ABS(BG8),0)</f>
        <v>2.276087291817731E-3</v>
      </c>
      <c r="BL8" s="17"/>
      <c r="BM8" s="27">
        <f>SUBTOTAL(9,BM6:BM7)</f>
        <v>-1808.4791</v>
      </c>
      <c r="BN8" s="27">
        <f>SUBTOTAL(9,BN6:BN7)</f>
        <v>-1838.87707</v>
      </c>
      <c r="BO8" s="27">
        <f>SUBTOTAL(9,BO6:BO7)</f>
        <v>-1879.99514</v>
      </c>
      <c r="BP8" s="27">
        <f t="shared" ref="BP8:BP15" si="76">BM8-BN8</f>
        <v>30.397969999999987</v>
      </c>
      <c r="BQ8" s="27">
        <f t="shared" ref="BQ8:BQ15" si="77">BM8-BO8</f>
        <v>71.516039999999975</v>
      </c>
      <c r="BR8" s="28">
        <f t="shared" ref="BR8:BR15" si="78">IFERROR((BM8-BN8)/ABS(BN8),0)</f>
        <v>1.6530724373000086E-2</v>
      </c>
      <c r="BS8" s="28">
        <f t="shared" ref="BS8:BS15" si="79">IFERROR((BM8-BO8)/ABS(BO8),0)</f>
        <v>3.8040545147366697E-2</v>
      </c>
      <c r="BT8" s="17"/>
      <c r="BU8" s="27">
        <f>SUBTOTAL(9,BU6:BU7)</f>
        <v>-2193.3952799999997</v>
      </c>
      <c r="BV8" s="27">
        <f>SUBTOTAL(9,BV6:BV7)</f>
        <v>-1800.33384</v>
      </c>
      <c r="BW8" s="27">
        <f>SUBTOTAL(9,BW6:BW7)</f>
        <v>-2191.2627000000002</v>
      </c>
      <c r="BX8" s="27">
        <f t="shared" ref="BX8:BX15" si="80">BU8-BV8</f>
        <v>-393.06143999999972</v>
      </c>
      <c r="BY8" s="27">
        <f t="shared" ref="BY8:BY15" si="81">BU8-BW8</f>
        <v>-2.132579999999507</v>
      </c>
      <c r="BZ8" s="28">
        <f t="shared" ref="BZ8:BZ15" si="82">IFERROR((BU8-BV8)/ABS(BV8),0)</f>
        <v>-0.21832697429050144</v>
      </c>
      <c r="CA8" s="28">
        <f t="shared" ref="CA8:CA15" si="83">IFERROR((BU8-BW8)/ABS(BW8),0)</f>
        <v>-9.7321968744300117E-4</v>
      </c>
      <c r="CB8" s="17"/>
      <c r="CC8" s="27">
        <f>SUBTOTAL(9,CC6:CC7)</f>
        <v>3527.3905800000039</v>
      </c>
      <c r="CD8" s="27">
        <f>SUBTOTAL(9,CD6:CD7)</f>
        <v>3575.6007900000018</v>
      </c>
      <c r="CE8" s="27">
        <f>SUBTOTAL(9,CE6:CE7)</f>
        <v>2634.9725931587241</v>
      </c>
      <c r="CF8" s="27">
        <f t="shared" ref="CF8:CF15" si="84">CC8-CD8</f>
        <v>-48.210209999997915</v>
      </c>
      <c r="CG8" s="27">
        <f t="shared" ref="CG8:CG15" si="85">CC8-CE8</f>
        <v>892.4179868412798</v>
      </c>
      <c r="CH8" s="28">
        <f t="shared" ref="CH8:CH15" si="86">IFERROR((CC8-CD8)/ABS(CD8),0)</f>
        <v>-1.3483107547920049E-2</v>
      </c>
      <c r="CI8" s="28">
        <f t="shared" ref="CI8:CI15" si="87">IFERROR((CC8-CE8)/ABS(CE8),0)</f>
        <v>0.33868207553972185</v>
      </c>
      <c r="CJ8" s="17"/>
      <c r="CK8" s="27">
        <f>SUBTOTAL(9,CK6:CK7)</f>
        <v>-1196.9373599999999</v>
      </c>
      <c r="CL8" s="27">
        <f>SUBTOTAL(9,CL6:CL7)</f>
        <v>-1181.87817</v>
      </c>
      <c r="CM8" s="27">
        <f>SUBTOTAL(9,CM6:CM7)</f>
        <v>-1343.8944499999998</v>
      </c>
      <c r="CN8" s="27">
        <f t="shared" ref="CN8:CN15" si="88">CK8-CL8</f>
        <v>-15.059189999999944</v>
      </c>
      <c r="CO8" s="27">
        <f t="shared" ref="CO8:CO15" si="89">CK8-CM8</f>
        <v>146.95708999999988</v>
      </c>
      <c r="CP8" s="28">
        <f t="shared" ref="CP8:CP15" si="90">IFERROR((CK8-CL8)/ABS(CL8),0)</f>
        <v>-1.2741744777297939E-2</v>
      </c>
      <c r="CQ8" s="28">
        <f t="shared" ref="CQ8:CQ15" si="91">IFERROR((CK8-CM8)/ABS(CM8),0)</f>
        <v>0.1093516607647274</v>
      </c>
      <c r="CR8" s="17"/>
      <c r="CS8" s="27">
        <f>SUBTOTAL(9,CS6:CS7)</f>
        <v>2330.453220000004</v>
      </c>
      <c r="CT8" s="27">
        <f>SUBTOTAL(9,CT6:CT7)</f>
        <v>2393.7226200000014</v>
      </c>
      <c r="CU8" s="27">
        <f>SUBTOTAL(9,CU6:CU7)</f>
        <v>1291.0781431587241</v>
      </c>
      <c r="CV8" s="27">
        <f>SUBTOTAL(9,CV6:CV7)</f>
        <v>-63.269399999997631</v>
      </c>
      <c r="CW8" s="27">
        <f>SUBTOTAL(9,CW6:CW7)</f>
        <v>1039.3750768412797</v>
      </c>
      <c r="CX8" s="28">
        <f t="shared" ref="CX8:CX15" si="92">IFERROR((CS8-CT8)/ABS(CT8),0)</f>
        <v>-2.6431383265282996E-2</v>
      </c>
      <c r="CY8" s="28">
        <f t="shared" ref="CY8:CY15" si="93">IFERROR((CS8-CU8)/ABS(CU8),0)</f>
        <v>0.80504428205899847</v>
      </c>
    </row>
    <row r="9" spans="2:103" outlineLevel="2" x14ac:dyDescent="0.85">
      <c r="B9" s="1" t="s">
        <v>91</v>
      </c>
      <c r="C9" s="1" t="s">
        <v>66</v>
      </c>
      <c r="D9" s="2">
        <v>10003</v>
      </c>
      <c r="E9" s="1" t="s">
        <v>16</v>
      </c>
      <c r="F9" s="2" t="s">
        <v>15</v>
      </c>
      <c r="G9" s="1" t="s">
        <v>64</v>
      </c>
      <c r="I9" s="3">
        <f>SUMIFS('P&amp;L Data'!$N:$N,'P&amp;L Data'!$B:$B,$D9,'P&amp;L Data'!$C:$C,$I$4)</f>
        <v>34145.193350000001</v>
      </c>
      <c r="J9" s="3">
        <f>SUMIFS('P&amp;L Data'!$P:$P,'P&amp;L Data'!$B:$B,$D9,'P&amp;L Data'!$C:$C,$I$4)</f>
        <v>34354.519239999994</v>
      </c>
      <c r="K9" s="3">
        <f>SUMIFS('P&amp;L Data'!$T:$T,'P&amp;L Data'!$B:$B,$D9,'P&amp;L Data'!$C:$C,$I$4)</f>
        <v>31998.823239999998</v>
      </c>
      <c r="L9" s="3">
        <f t="shared" si="48"/>
        <v>-209.3258899999928</v>
      </c>
      <c r="M9" s="3">
        <f t="shared" si="49"/>
        <v>2146.3701100000035</v>
      </c>
      <c r="N9" s="8">
        <f t="shared" si="50"/>
        <v>-6.0931107356690471E-3</v>
      </c>
      <c r="O9" s="8">
        <f t="shared" si="51"/>
        <v>6.7076532593140559E-2</v>
      </c>
      <c r="P9" s="24"/>
      <c r="Q9" s="3">
        <f>SUMIFS('P&amp;L Data'!$N:$N,'P&amp;L Data'!$B:$B,$D9,'P&amp;L Data'!$C:$C,$Q$4)</f>
        <v>3240.5850999999943</v>
      </c>
      <c r="R9" s="3">
        <f>SUMIFS('P&amp;L Data'!$P:$P,'P&amp;L Data'!$B:$B,$D9,'P&amp;L Data'!$C:$C,$Q$4)</f>
        <v>2739.940070000001</v>
      </c>
      <c r="S9" s="3">
        <f>SUMIFS('P&amp;L Data'!$T:$T,'P&amp;L Data'!$B:$B,$D9,'P&amp;L Data'!$C:$C,$Q$4)</f>
        <v>2925.3352231495533</v>
      </c>
      <c r="T9" s="3">
        <f t="shared" si="52"/>
        <v>500.64502999999331</v>
      </c>
      <c r="U9" s="3">
        <f t="shared" si="53"/>
        <v>315.24987685044107</v>
      </c>
      <c r="V9" s="8">
        <f t="shared" si="54"/>
        <v>0.18272116075881656</v>
      </c>
      <c r="W9" s="8">
        <f t="shared" si="55"/>
        <v>0.10776538509355117</v>
      </c>
      <c r="X9" s="24"/>
      <c r="Y9" s="3">
        <f>SUMIFS('P&amp;L Data'!$N:$N,'P&amp;L Data'!$B:$B,$D9,'P&amp;L Data'!$C:$C,$Y$4)</f>
        <v>10062.44003</v>
      </c>
      <c r="Z9" s="3">
        <f>SUMIFS('P&amp;L Data'!$P:$P,'P&amp;L Data'!$B:$B,$D9,'P&amp;L Data'!$C:$C,$Y$4)</f>
        <v>9378.7189400000007</v>
      </c>
      <c r="AA9" s="3">
        <f>SUMIFS('P&amp;L Data'!$T:$T,'P&amp;L Data'!$B:$B,$D9,'P&amp;L Data'!$C:$C,$Y$4)</f>
        <v>8827.1039967345878</v>
      </c>
      <c r="AB9" s="3">
        <f t="shared" si="56"/>
        <v>683.72108999999909</v>
      </c>
      <c r="AC9" s="3">
        <f t="shared" si="57"/>
        <v>1235.336033265412</v>
      </c>
      <c r="AD9" s="8">
        <f t="shared" si="58"/>
        <v>7.2901330594730349E-2</v>
      </c>
      <c r="AE9" s="8">
        <f t="shared" si="59"/>
        <v>0.13994805473260541</v>
      </c>
      <c r="AF9" s="24"/>
      <c r="AG9" s="3">
        <f>SUMIFS('P&amp;L Data'!$N:$N,'P&amp;L Data'!$B:$B,$D9,'P&amp;L Data'!$C:$C,$AG$4)</f>
        <v>-116.60088000000002</v>
      </c>
      <c r="AH9" s="3">
        <f>SUMIFS('P&amp;L Data'!$P:$P,'P&amp;L Data'!$B:$B,$D9,'P&amp;L Data'!$C:$C,$AG$4)</f>
        <v>-213.42850999999996</v>
      </c>
      <c r="AI9" s="3">
        <f>SUMIFS('P&amp;L Data'!$T:$T,'P&amp;L Data'!$B:$B,$D9,'P&amp;L Data'!$C:$C,$AG$4)</f>
        <v>-182.12539000000001</v>
      </c>
      <c r="AJ9" s="3">
        <f t="shared" si="60"/>
        <v>96.827629999999942</v>
      </c>
      <c r="AK9" s="3">
        <f t="shared" si="61"/>
        <v>65.524509999999992</v>
      </c>
      <c r="AL9" s="8">
        <f t="shared" si="62"/>
        <v>0.45367711183477766</v>
      </c>
      <c r="AM9" s="8">
        <f t="shared" si="63"/>
        <v>0.35977690974333665</v>
      </c>
      <c r="AN9" s="24"/>
      <c r="AO9" s="3">
        <f>SUMIFS('P&amp;L Data'!$N:$N,'P&amp;L Data'!$B:$B,$D9,'P&amp;L Data'!$C:$C,$AO$4)</f>
        <v>-585.98802999999998</v>
      </c>
      <c r="AP9" s="3">
        <f>SUMIFS('P&amp;L Data'!$P:$P,'P&amp;L Data'!$B:$B,$D9,'P&amp;L Data'!$C:$C,$AO$4)</f>
        <v>-642.59945000000005</v>
      </c>
      <c r="AQ9" s="3">
        <f>SUMIFS('P&amp;L Data'!$T:$T,'P&amp;L Data'!$B:$B,$D9,'P&amp;L Data'!$C:$C,$AO$4)</f>
        <v>-527.19258803543289</v>
      </c>
      <c r="AR9" s="3">
        <f t="shared" si="64"/>
        <v>56.611420000000066</v>
      </c>
      <c r="AS9" s="3">
        <f t="shared" si="65"/>
        <v>-58.79544196456709</v>
      </c>
      <c r="AT9" s="8">
        <f t="shared" si="66"/>
        <v>8.8097523270522657E-2</v>
      </c>
      <c r="AU9" s="8">
        <f t="shared" si="67"/>
        <v>-0.11152554739752035</v>
      </c>
      <c r="AW9" s="3">
        <f>SUMIFS('P&amp;L Data'!$N:$N,'P&amp;L Data'!$B:$B,$D9,'P&amp;L Data'!$C:$C,$AW$4)</f>
        <v>9359.8511199999994</v>
      </c>
      <c r="AX9" s="3">
        <f>SUMIFS('P&amp;L Data'!$P:$P,'P&amp;L Data'!$B:$B,$D9,'P&amp;L Data'!$C:$C,$AW$4)</f>
        <v>8522.6909799999994</v>
      </c>
      <c r="AY9" s="3">
        <f>SUMIFS('P&amp;L Data'!$T:$T,'P&amp;L Data'!$B:$B,$D9,'P&amp;L Data'!$C:$C,$AW$4)</f>
        <v>8117.7860186991547</v>
      </c>
      <c r="AZ9" s="3">
        <f t="shared" si="68"/>
        <v>837.16013999999996</v>
      </c>
      <c r="BA9" s="3">
        <f t="shared" si="69"/>
        <v>1242.0651013008446</v>
      </c>
      <c r="BB9" s="8">
        <f t="shared" si="70"/>
        <v>9.8227208045503958E-2</v>
      </c>
      <c r="BC9" s="8">
        <f t="shared" si="71"/>
        <v>0.15300540054144973</v>
      </c>
      <c r="BE9" s="3">
        <f>SUMIFS('P&amp;L Data'!$N:$N,'P&amp;L Data'!$B:$B,$D9,'P&amp;L Data'!$C:$C,$BE$4)</f>
        <v>-2290.0798999999997</v>
      </c>
      <c r="BF9" s="3">
        <f>SUMIFS('P&amp;L Data'!$P:$P,'P&amp;L Data'!$B:$B,$D9,'P&amp;L Data'!$C:$C,$BE$4)</f>
        <v>-2526.8343299999997</v>
      </c>
      <c r="BG9" s="3">
        <f>SUMIFS('P&amp;L Data'!$T:$T,'P&amp;L Data'!$B:$B,$D9,'P&amp;L Data'!$C:$C,$BE$4)</f>
        <v>-2193.1746000000003</v>
      </c>
      <c r="BH9" s="3">
        <f t="shared" si="72"/>
        <v>236.75442999999996</v>
      </c>
      <c r="BI9" s="3">
        <f t="shared" si="73"/>
        <v>-96.905299999999443</v>
      </c>
      <c r="BJ9" s="8">
        <f t="shared" si="74"/>
        <v>9.369606356424641E-2</v>
      </c>
      <c r="BK9" s="8">
        <f t="shared" si="75"/>
        <v>-4.4184945421125811E-2</v>
      </c>
      <c r="BM9" s="3">
        <f>SUMIFS('P&amp;L Data'!$N:$N,'P&amp;L Data'!$B:$B,$D9,'P&amp;L Data'!$C:$C,$BM$4)</f>
        <v>-1038.9385199999999</v>
      </c>
      <c r="BN9" s="3">
        <f>SUMIFS('P&amp;L Data'!$P:$P,'P&amp;L Data'!$B:$B,$D9,'P&amp;L Data'!$C:$C,$BM$4)</f>
        <v>-1035.2242799999999</v>
      </c>
      <c r="BO9" s="3">
        <f>SUMIFS('P&amp;L Data'!$T:$T,'P&amp;L Data'!$B:$B,$D9,'P&amp;L Data'!$C:$C,$BM$4)</f>
        <v>-1121.4782399999999</v>
      </c>
      <c r="BP9" s="3">
        <f t="shared" si="76"/>
        <v>-3.714240000000018</v>
      </c>
      <c r="BQ9" s="3">
        <f t="shared" si="77"/>
        <v>82.539719999999988</v>
      </c>
      <c r="BR9" s="8">
        <f t="shared" si="78"/>
        <v>-3.5878602074518756E-3</v>
      </c>
      <c r="BS9" s="8">
        <f t="shared" si="79"/>
        <v>7.3599038354948368E-2</v>
      </c>
      <c r="BU9" s="3">
        <f>SUMIFS('P&amp;L Data'!$N:$N,'P&amp;L Data'!$B:$B,$D9,'P&amp;L Data'!$C:$C,$BU$4)</f>
        <v>-2279.4566800000002</v>
      </c>
      <c r="BV9" s="3">
        <f>SUMIFS('P&amp;L Data'!$P:$P,'P&amp;L Data'!$B:$B,$D9,'P&amp;L Data'!$C:$C,$BU$4)</f>
        <v>-2279.4566800000002</v>
      </c>
      <c r="BW9" s="3">
        <f>SUMIFS('P&amp;L Data'!$T:$T,'P&amp;L Data'!$B:$B,$D9,'P&amp;L Data'!$C:$C,$BU$4)</f>
        <v>-2279.4566800000002</v>
      </c>
      <c r="BX9" s="3">
        <f t="shared" si="80"/>
        <v>0</v>
      </c>
      <c r="BY9" s="3">
        <f t="shared" si="81"/>
        <v>0</v>
      </c>
      <c r="BZ9" s="8">
        <f t="shared" si="82"/>
        <v>0</v>
      </c>
      <c r="CA9" s="8">
        <f t="shared" si="83"/>
        <v>0</v>
      </c>
      <c r="CC9" s="3">
        <f>SUMIFS('P&amp;L Data'!$N:$N,'P&amp;L Data'!$B:$B,$D9,'P&amp;L Data'!$C:$C,$CC$4)</f>
        <v>3751.3760199999997</v>
      </c>
      <c r="CD9" s="3">
        <f>SUMIFS('P&amp;L Data'!$P:$P,'P&amp;L Data'!$B:$B,$D9,'P&amp;L Data'!$C:$C,$CC$4)</f>
        <v>2681.17569</v>
      </c>
      <c r="CE9" s="3">
        <f>SUMIFS('P&amp;L Data'!$T:$T,'P&amp;L Data'!$B:$B,$D9,'P&amp;L Data'!$C:$C,$CC$4)</f>
        <v>2523.6764986991548</v>
      </c>
      <c r="CF9" s="3">
        <f t="shared" si="84"/>
        <v>1070.2003299999997</v>
      </c>
      <c r="CG9" s="3">
        <f t="shared" si="85"/>
        <v>1227.6995213008449</v>
      </c>
      <c r="CH9" s="8">
        <f t="shared" si="86"/>
        <v>0.39915337662933964</v>
      </c>
      <c r="CI9" s="8">
        <f t="shared" si="87"/>
        <v>0.48647262116743983</v>
      </c>
      <c r="CK9" s="3">
        <f>SUMIFS('P&amp;L Data'!$N:$N,'P&amp;L Data'!$B:$B,$D9,'P&amp;L Data'!$C:$C,$CK$4)</f>
        <v>-1342.0393599999998</v>
      </c>
      <c r="CL9" s="3">
        <f>SUMIFS('P&amp;L Data'!$P:$P,'P&amp;L Data'!$B:$B,$D9,'P&amp;L Data'!$C:$C,$CK$4)</f>
        <v>-951.38920000000019</v>
      </c>
      <c r="CM9" s="3">
        <f>SUMIFS('P&amp;L Data'!$T:$T,'P&amp;L Data'!$B:$B,$D9,'P&amp;L Data'!$C:$C,$CK$4)</f>
        <v>-1133.7776199999998</v>
      </c>
      <c r="CN9" s="3">
        <f t="shared" si="88"/>
        <v>-390.65015999999957</v>
      </c>
      <c r="CO9" s="3">
        <f t="shared" si="89"/>
        <v>-208.26173999999992</v>
      </c>
      <c r="CP9" s="8">
        <f t="shared" si="90"/>
        <v>-0.41061025288073427</v>
      </c>
      <c r="CQ9" s="8">
        <f t="shared" si="91"/>
        <v>-0.18368834974886869</v>
      </c>
      <c r="CS9" s="3">
        <f>SUMIFS('P&amp;L Data'!$N:$N,'P&amp;L Data'!$B:$B,$D9,'P&amp;L Data'!$C:$C,$CS$4)</f>
        <v>2409.3366599999999</v>
      </c>
      <c r="CT9" s="3">
        <f>SUMIFS('P&amp;L Data'!$P:$P,'P&amp;L Data'!$B:$B,$D9,'P&amp;L Data'!$C:$C,$CS$4)</f>
        <v>1729.78649</v>
      </c>
      <c r="CU9" s="3">
        <f>SUMIFS('P&amp;L Data'!$T:$T,'P&amp;L Data'!$B:$B,$D9,'P&amp;L Data'!$C:$C,$CS$4)</f>
        <v>1389.8988786991549</v>
      </c>
      <c r="CV9" s="3">
        <f t="shared" ref="CV9" si="94">CS9-CT9</f>
        <v>679.55016999999998</v>
      </c>
      <c r="CW9" s="3">
        <f t="shared" ref="CW9" si="95">CS9-CU9</f>
        <v>1019.437781300845</v>
      </c>
      <c r="CX9" s="8">
        <f t="shared" si="92"/>
        <v>0.39285205077535318</v>
      </c>
      <c r="CY9" s="8">
        <f t="shared" si="93"/>
        <v>0.73346183447170288</v>
      </c>
    </row>
    <row r="10" spans="2:103" outlineLevel="1" x14ac:dyDescent="0.85">
      <c r="B10" s="25" t="s">
        <v>91</v>
      </c>
      <c r="C10" s="25" t="s">
        <v>67</v>
      </c>
      <c r="D10" s="26"/>
      <c r="E10" s="26"/>
      <c r="F10" s="26"/>
      <c r="G10" s="25"/>
      <c r="H10" s="16"/>
      <c r="I10" s="27">
        <f>SUBTOTAL(9,I9:I9)</f>
        <v>34145.193350000001</v>
      </c>
      <c r="J10" s="27">
        <f>SUBTOTAL(9,J9:J9)</f>
        <v>34354.519239999994</v>
      </c>
      <c r="K10" s="27">
        <f>SUBTOTAL(9,K9:K9)</f>
        <v>31998.823239999998</v>
      </c>
      <c r="L10" s="27">
        <f t="shared" si="48"/>
        <v>-209.3258899999928</v>
      </c>
      <c r="M10" s="27">
        <f t="shared" si="49"/>
        <v>2146.3701100000035</v>
      </c>
      <c r="N10" s="28">
        <f t="shared" si="50"/>
        <v>-6.0931107356690471E-3</v>
      </c>
      <c r="O10" s="28">
        <f t="shared" si="51"/>
        <v>6.7076532593140559E-2</v>
      </c>
      <c r="P10" s="29"/>
      <c r="Q10" s="27">
        <f>SUBTOTAL(9,Q9:Q9)</f>
        <v>3240.5850999999943</v>
      </c>
      <c r="R10" s="27">
        <f>SUBTOTAL(9,R9:R9)</f>
        <v>2739.940070000001</v>
      </c>
      <c r="S10" s="27">
        <f>SUBTOTAL(9,S9:S9)</f>
        <v>2925.3352231495533</v>
      </c>
      <c r="T10" s="27">
        <f t="shared" si="52"/>
        <v>500.64502999999331</v>
      </c>
      <c r="U10" s="27">
        <f t="shared" si="53"/>
        <v>315.24987685044107</v>
      </c>
      <c r="V10" s="28">
        <f t="shared" si="54"/>
        <v>0.18272116075881656</v>
      </c>
      <c r="W10" s="28">
        <f t="shared" si="55"/>
        <v>0.10776538509355117</v>
      </c>
      <c r="X10" s="29"/>
      <c r="Y10" s="27">
        <f>SUBTOTAL(9,Y9:Y9)</f>
        <v>10062.44003</v>
      </c>
      <c r="Z10" s="27">
        <f>SUBTOTAL(9,Z9:Z9)</f>
        <v>9378.7189400000007</v>
      </c>
      <c r="AA10" s="27">
        <f>SUBTOTAL(9,AA9:AA9)</f>
        <v>8827.1039967345878</v>
      </c>
      <c r="AB10" s="27">
        <f t="shared" si="56"/>
        <v>683.72108999999909</v>
      </c>
      <c r="AC10" s="27">
        <f t="shared" si="57"/>
        <v>1235.336033265412</v>
      </c>
      <c r="AD10" s="28">
        <f t="shared" si="58"/>
        <v>7.2901330594730349E-2</v>
      </c>
      <c r="AE10" s="28">
        <f t="shared" si="59"/>
        <v>0.13994805473260541</v>
      </c>
      <c r="AF10" s="29"/>
      <c r="AG10" s="27">
        <f>SUBTOTAL(9,AG9:AG9)</f>
        <v>-116.60088000000002</v>
      </c>
      <c r="AH10" s="27">
        <f>SUBTOTAL(9,AH9:AH9)</f>
        <v>-213.42850999999996</v>
      </c>
      <c r="AI10" s="27">
        <f>SUBTOTAL(9,AI9:AI9)</f>
        <v>-182.12539000000001</v>
      </c>
      <c r="AJ10" s="27">
        <f t="shared" si="60"/>
        <v>96.827629999999942</v>
      </c>
      <c r="AK10" s="27">
        <f t="shared" si="61"/>
        <v>65.524509999999992</v>
      </c>
      <c r="AL10" s="28">
        <f t="shared" si="62"/>
        <v>0.45367711183477766</v>
      </c>
      <c r="AM10" s="28">
        <f t="shared" si="63"/>
        <v>0.35977690974333665</v>
      </c>
      <c r="AN10" s="29"/>
      <c r="AO10" s="27">
        <f>SUBTOTAL(9,AO9:AO9)</f>
        <v>-585.98802999999998</v>
      </c>
      <c r="AP10" s="27">
        <f>SUBTOTAL(9,AP9:AP9)</f>
        <v>-642.59945000000005</v>
      </c>
      <c r="AQ10" s="27">
        <f>SUBTOTAL(9,AQ9:AQ9)</f>
        <v>-527.19258803543289</v>
      </c>
      <c r="AR10" s="27">
        <f t="shared" si="64"/>
        <v>56.611420000000066</v>
      </c>
      <c r="AS10" s="27">
        <f t="shared" si="65"/>
        <v>-58.79544196456709</v>
      </c>
      <c r="AT10" s="28">
        <f t="shared" si="66"/>
        <v>8.8097523270522657E-2</v>
      </c>
      <c r="AU10" s="28">
        <f t="shared" si="67"/>
        <v>-0.11152554739752035</v>
      </c>
      <c r="AV10" s="17"/>
      <c r="AW10" s="27">
        <f>SUBTOTAL(9,AW9:AW9)</f>
        <v>9359.8511199999994</v>
      </c>
      <c r="AX10" s="27">
        <f>SUBTOTAL(9,AX9:AX9)</f>
        <v>8522.6909799999994</v>
      </c>
      <c r="AY10" s="27">
        <f>SUBTOTAL(9,AY9:AY9)</f>
        <v>8117.7860186991547</v>
      </c>
      <c r="AZ10" s="27">
        <f t="shared" si="68"/>
        <v>837.16013999999996</v>
      </c>
      <c r="BA10" s="27">
        <f t="shared" si="69"/>
        <v>1242.0651013008446</v>
      </c>
      <c r="BB10" s="28">
        <f t="shared" si="70"/>
        <v>9.8227208045503958E-2</v>
      </c>
      <c r="BC10" s="28">
        <f t="shared" si="71"/>
        <v>0.15300540054144973</v>
      </c>
      <c r="BD10" s="17"/>
      <c r="BE10" s="27">
        <f>SUBTOTAL(9,BE9:BE9)</f>
        <v>-2290.0798999999997</v>
      </c>
      <c r="BF10" s="27">
        <f>SUBTOTAL(9,BF9:BF9)</f>
        <v>-2526.8343299999997</v>
      </c>
      <c r="BG10" s="27">
        <f>SUBTOTAL(9,BG9:BG9)</f>
        <v>-2193.1746000000003</v>
      </c>
      <c r="BH10" s="27">
        <f t="shared" si="72"/>
        <v>236.75442999999996</v>
      </c>
      <c r="BI10" s="27">
        <f t="shared" si="73"/>
        <v>-96.905299999999443</v>
      </c>
      <c r="BJ10" s="28">
        <f t="shared" si="74"/>
        <v>9.369606356424641E-2</v>
      </c>
      <c r="BK10" s="28">
        <f t="shared" si="75"/>
        <v>-4.4184945421125811E-2</v>
      </c>
      <c r="BL10" s="17"/>
      <c r="BM10" s="27">
        <f>SUBTOTAL(9,BM9:BM9)</f>
        <v>-1038.9385199999999</v>
      </c>
      <c r="BN10" s="27">
        <f>SUBTOTAL(9,BN9:BN9)</f>
        <v>-1035.2242799999999</v>
      </c>
      <c r="BO10" s="27">
        <f>SUBTOTAL(9,BO9:BO9)</f>
        <v>-1121.4782399999999</v>
      </c>
      <c r="BP10" s="27">
        <f t="shared" si="76"/>
        <v>-3.714240000000018</v>
      </c>
      <c r="BQ10" s="27">
        <f t="shared" si="77"/>
        <v>82.539719999999988</v>
      </c>
      <c r="BR10" s="28">
        <f t="shared" si="78"/>
        <v>-3.5878602074518756E-3</v>
      </c>
      <c r="BS10" s="28">
        <f t="shared" si="79"/>
        <v>7.3599038354948368E-2</v>
      </c>
      <c r="BT10" s="17"/>
      <c r="BU10" s="27">
        <f>SUBTOTAL(9,BU9:BU9)</f>
        <v>-2279.4566800000002</v>
      </c>
      <c r="BV10" s="27">
        <f>SUBTOTAL(9,BV9:BV9)</f>
        <v>-2279.4566800000002</v>
      </c>
      <c r="BW10" s="27">
        <f>SUBTOTAL(9,BW9:BW9)</f>
        <v>-2279.4566800000002</v>
      </c>
      <c r="BX10" s="27">
        <f t="shared" si="80"/>
        <v>0</v>
      </c>
      <c r="BY10" s="27">
        <f t="shared" si="81"/>
        <v>0</v>
      </c>
      <c r="BZ10" s="28">
        <f t="shared" si="82"/>
        <v>0</v>
      </c>
      <c r="CA10" s="28">
        <f t="shared" si="83"/>
        <v>0</v>
      </c>
      <c r="CB10" s="17"/>
      <c r="CC10" s="27">
        <f>SUBTOTAL(9,CC9:CC9)</f>
        <v>3751.3760199999997</v>
      </c>
      <c r="CD10" s="27">
        <f>SUBTOTAL(9,CD9:CD9)</f>
        <v>2681.17569</v>
      </c>
      <c r="CE10" s="27">
        <f>SUBTOTAL(9,CE9:CE9)</f>
        <v>2523.6764986991548</v>
      </c>
      <c r="CF10" s="27">
        <f t="shared" si="84"/>
        <v>1070.2003299999997</v>
      </c>
      <c r="CG10" s="27">
        <f t="shared" si="85"/>
        <v>1227.6995213008449</v>
      </c>
      <c r="CH10" s="28">
        <f t="shared" si="86"/>
        <v>0.39915337662933964</v>
      </c>
      <c r="CI10" s="28">
        <f t="shared" si="87"/>
        <v>0.48647262116743983</v>
      </c>
      <c r="CJ10" s="17"/>
      <c r="CK10" s="27">
        <f>SUBTOTAL(9,CK9:CK9)</f>
        <v>-1342.0393599999998</v>
      </c>
      <c r="CL10" s="27">
        <f>SUBTOTAL(9,CL9:CL9)</f>
        <v>-951.38920000000019</v>
      </c>
      <c r="CM10" s="27">
        <f>SUBTOTAL(9,CM9:CM9)</f>
        <v>-1133.7776199999998</v>
      </c>
      <c r="CN10" s="27">
        <f t="shared" si="88"/>
        <v>-390.65015999999957</v>
      </c>
      <c r="CO10" s="27">
        <f t="shared" si="89"/>
        <v>-208.26173999999992</v>
      </c>
      <c r="CP10" s="28">
        <f t="shared" si="90"/>
        <v>-0.41061025288073427</v>
      </c>
      <c r="CQ10" s="28">
        <f t="shared" si="91"/>
        <v>-0.18368834974886869</v>
      </c>
      <c r="CR10" s="17"/>
      <c r="CS10" s="27">
        <f>SUBTOTAL(9,CS9:CS9)</f>
        <v>2409.3366599999999</v>
      </c>
      <c r="CT10" s="27">
        <f>SUBTOTAL(9,CT9:CT9)</f>
        <v>1729.78649</v>
      </c>
      <c r="CU10" s="27">
        <f>SUBTOTAL(9,CU9:CU9)</f>
        <v>1389.8988786991549</v>
      </c>
      <c r="CV10" s="27">
        <f>SUBTOTAL(9,CV9:CV9)</f>
        <v>679.55016999999998</v>
      </c>
      <c r="CW10" s="27">
        <f>SUBTOTAL(9,CW9:CW9)</f>
        <v>1019.437781300845</v>
      </c>
      <c r="CX10" s="28">
        <f t="shared" si="92"/>
        <v>0.39285205077535318</v>
      </c>
      <c r="CY10" s="28">
        <f t="shared" si="93"/>
        <v>0.73346183447170288</v>
      </c>
    </row>
    <row r="11" spans="2:103" outlineLevel="2" x14ac:dyDescent="0.85">
      <c r="B11" s="1" t="s">
        <v>91</v>
      </c>
      <c r="C11" s="1" t="s">
        <v>17</v>
      </c>
      <c r="D11" s="2">
        <v>102</v>
      </c>
      <c r="E11" s="1" t="s">
        <v>20</v>
      </c>
      <c r="F11" s="2" t="s">
        <v>13</v>
      </c>
      <c r="G11" s="1" t="s">
        <v>64</v>
      </c>
      <c r="I11" s="3">
        <f>SUMIFS('P&amp;L Data'!$N:$N,'P&amp;L Data'!$B:$B,$D11,'P&amp;L Data'!$C:$C,$I$4)</f>
        <v>10993.125419999998</v>
      </c>
      <c r="J11" s="3">
        <f>SUMIFS('P&amp;L Data'!$P:$P,'P&amp;L Data'!$B:$B,$D11,'P&amp;L Data'!$C:$C,$I$4)</f>
        <v>11612.471630000002</v>
      </c>
      <c r="K11" s="3">
        <f>SUMIFS('P&amp;L Data'!$T:$T,'P&amp;L Data'!$B:$B,$D11,'P&amp;L Data'!$C:$C,$I$4)</f>
        <v>11815.729899999998</v>
      </c>
      <c r="L11" s="3">
        <f t="shared" si="48"/>
        <v>-619.34621000000334</v>
      </c>
      <c r="M11" s="3">
        <f t="shared" si="49"/>
        <v>-822.60447999999997</v>
      </c>
      <c r="N11" s="8">
        <f t="shared" si="50"/>
        <v>-5.3334572495313232E-2</v>
      </c>
      <c r="O11" s="8">
        <f t="shared" si="51"/>
        <v>-6.961943840642465E-2</v>
      </c>
      <c r="P11" s="24"/>
      <c r="Q11" s="3">
        <f>SUMIFS('P&amp;L Data'!$N:$N,'P&amp;L Data'!$B:$B,$D11,'P&amp;L Data'!$C:$C,$Q$4)</f>
        <v>395.85013999999723</v>
      </c>
      <c r="R11" s="3">
        <f>SUMIFS('P&amp;L Data'!$P:$P,'P&amp;L Data'!$B:$B,$D11,'P&amp;L Data'!$C:$C,$Q$4)</f>
        <v>551.63802000000101</v>
      </c>
      <c r="S11" s="3">
        <f>SUMIFS('P&amp;L Data'!$T:$T,'P&amp;L Data'!$B:$B,$D11,'P&amp;L Data'!$C:$C,$Q$4)</f>
        <v>661.04016345758475</v>
      </c>
      <c r="T11" s="3">
        <f t="shared" si="52"/>
        <v>-155.78788000000378</v>
      </c>
      <c r="U11" s="3">
        <f t="shared" si="53"/>
        <v>-265.19002345758753</v>
      </c>
      <c r="V11" s="8">
        <f t="shared" si="54"/>
        <v>-0.28240961346355986</v>
      </c>
      <c r="W11" s="8">
        <f t="shared" si="55"/>
        <v>-0.40117081853318176</v>
      </c>
      <c r="X11" s="24"/>
      <c r="Y11" s="3">
        <f>SUMIFS('P&amp;L Data'!$N:$N,'P&amp;L Data'!$B:$B,$D11,'P&amp;L Data'!$C:$C,$Y$4)</f>
        <v>2655.0970999999968</v>
      </c>
      <c r="Z11" s="3">
        <f>SUMIFS('P&amp;L Data'!$P:$P,'P&amp;L Data'!$B:$B,$D11,'P&amp;L Data'!$C:$C,$Y$4)</f>
        <v>2773.7705200000019</v>
      </c>
      <c r="AA11" s="3">
        <f>SUMIFS('P&amp;L Data'!$T:$T,'P&amp;L Data'!$B:$B,$D11,'P&amp;L Data'!$C:$C,$Y$4)</f>
        <v>2784.3140334575814</v>
      </c>
      <c r="AB11" s="3">
        <f t="shared" si="56"/>
        <v>-118.67342000000508</v>
      </c>
      <c r="AC11" s="3">
        <f t="shared" si="57"/>
        <v>-129.21693345758467</v>
      </c>
      <c r="AD11" s="8">
        <f t="shared" si="58"/>
        <v>-4.2784152165552973E-2</v>
      </c>
      <c r="AE11" s="8">
        <f t="shared" si="59"/>
        <v>-4.6408893502979671E-2</v>
      </c>
      <c r="AF11" s="24"/>
      <c r="AG11" s="3">
        <f>SUMIFS('P&amp;L Data'!$N:$N,'P&amp;L Data'!$B:$B,$D11,'P&amp;L Data'!$C:$C,$AG$4)</f>
        <v>-5.2221299999999999</v>
      </c>
      <c r="AH11" s="3">
        <f>SUMIFS('P&amp;L Data'!$P:$P,'P&amp;L Data'!$B:$B,$D11,'P&amp;L Data'!$C:$C,$AG$4)</f>
        <v>-70.92855999999999</v>
      </c>
      <c r="AI11" s="3">
        <f>SUMIFS('P&amp;L Data'!$T:$T,'P&amp;L Data'!$B:$B,$D11,'P&amp;L Data'!$C:$C,$AG$4)</f>
        <v>-52.023569999999992</v>
      </c>
      <c r="AJ11" s="3">
        <f t="shared" si="60"/>
        <v>65.706429999999983</v>
      </c>
      <c r="AK11" s="3">
        <f t="shared" si="61"/>
        <v>46.801439999999992</v>
      </c>
      <c r="AL11" s="8">
        <f t="shared" si="62"/>
        <v>0.92637479176230264</v>
      </c>
      <c r="AM11" s="8">
        <f t="shared" si="63"/>
        <v>0.89961992227753684</v>
      </c>
      <c r="AN11" s="24"/>
      <c r="AO11" s="3">
        <f>SUMIFS('P&amp;L Data'!$N:$N,'P&amp;L Data'!$B:$B,$D11,'P&amp;L Data'!$C:$C,$AO$4)</f>
        <v>-195.52833999999999</v>
      </c>
      <c r="AP11" s="3">
        <f>SUMIFS('P&amp;L Data'!$P:$P,'P&amp;L Data'!$B:$B,$D11,'P&amp;L Data'!$C:$C,$AO$4)</f>
        <v>-212.42066</v>
      </c>
      <c r="AQ11" s="3">
        <f>SUMIFS('P&amp;L Data'!$T:$T,'P&amp;L Data'!$B:$B,$D11,'P&amp;L Data'!$C:$C,$AO$4)</f>
        <v>-190.27485999999999</v>
      </c>
      <c r="AR11" s="3">
        <f t="shared" si="64"/>
        <v>16.892320000000012</v>
      </c>
      <c r="AS11" s="3">
        <f t="shared" si="65"/>
        <v>-5.2534799999999962</v>
      </c>
      <c r="AT11" s="8">
        <f t="shared" si="66"/>
        <v>7.9522961655424718E-2</v>
      </c>
      <c r="AU11" s="8">
        <f t="shared" si="67"/>
        <v>-2.7609953306495648E-2</v>
      </c>
      <c r="AW11" s="3">
        <f>SUMIFS('P&amp;L Data'!$N:$N,'P&amp;L Data'!$B:$B,$D11,'P&amp;L Data'!$C:$C,$AW$4)</f>
        <v>2454.3466299999968</v>
      </c>
      <c r="AX11" s="3">
        <f>SUMIFS('P&amp;L Data'!$P:$P,'P&amp;L Data'!$B:$B,$D11,'P&amp;L Data'!$C:$C,$AW$4)</f>
        <v>2490.4213000000022</v>
      </c>
      <c r="AY11" s="3">
        <f>SUMIFS('P&amp;L Data'!$T:$T,'P&amp;L Data'!$B:$B,$D11,'P&amp;L Data'!$C:$C,$AW$4)</f>
        <v>2542.0156034575821</v>
      </c>
      <c r="AZ11" s="3">
        <f t="shared" si="68"/>
        <v>-36.074670000005426</v>
      </c>
      <c r="BA11" s="3">
        <f t="shared" si="69"/>
        <v>-87.668973457585253</v>
      </c>
      <c r="BB11" s="8">
        <f t="shared" si="70"/>
        <v>-1.4485368399316771E-2</v>
      </c>
      <c r="BC11" s="8">
        <f t="shared" si="71"/>
        <v>-3.4487976131358219E-2</v>
      </c>
      <c r="BE11" s="3">
        <f>SUMIFS('P&amp;L Data'!$N:$N,'P&amp;L Data'!$B:$B,$D11,'P&amp;L Data'!$C:$C,$BE$4)</f>
        <v>-903.23324999999988</v>
      </c>
      <c r="BF11" s="3">
        <f>SUMIFS('P&amp;L Data'!$P:$P,'P&amp;L Data'!$B:$B,$D11,'P&amp;L Data'!$C:$C,$BE$4)</f>
        <v>-796.75625000000002</v>
      </c>
      <c r="BG11" s="3">
        <f>SUMIFS('P&amp;L Data'!$T:$T,'P&amp;L Data'!$B:$B,$D11,'P&amp;L Data'!$C:$C,$BE$4)</f>
        <v>-798.84040999999991</v>
      </c>
      <c r="BH11" s="3">
        <f t="shared" si="72"/>
        <v>-106.47699999999986</v>
      </c>
      <c r="BI11" s="3">
        <f t="shared" si="73"/>
        <v>-104.39283999999998</v>
      </c>
      <c r="BJ11" s="8">
        <f t="shared" si="74"/>
        <v>-0.13363811077729212</v>
      </c>
      <c r="BK11" s="8">
        <f t="shared" si="75"/>
        <v>-0.13068046970733491</v>
      </c>
      <c r="BM11" s="3">
        <f>SUMIFS('P&amp;L Data'!$N:$N,'P&amp;L Data'!$B:$B,$D11,'P&amp;L Data'!$C:$C,$BM$4)</f>
        <v>-238.59392999999997</v>
      </c>
      <c r="BN11" s="3">
        <f>SUMIFS('P&amp;L Data'!$P:$P,'P&amp;L Data'!$B:$B,$D11,'P&amp;L Data'!$C:$C,$BM$4)</f>
        <v>-260.27438000000001</v>
      </c>
      <c r="BO11" s="3">
        <f>SUMIFS('P&amp;L Data'!$T:$T,'P&amp;L Data'!$B:$B,$D11,'P&amp;L Data'!$C:$C,$BM$4)</f>
        <v>-240.64897000000002</v>
      </c>
      <c r="BP11" s="3">
        <f t="shared" si="76"/>
        <v>21.680450000000036</v>
      </c>
      <c r="BQ11" s="3">
        <f t="shared" si="77"/>
        <v>2.0550400000000479</v>
      </c>
      <c r="BR11" s="8">
        <f t="shared" si="78"/>
        <v>8.3298440668651427E-2</v>
      </c>
      <c r="BS11" s="8">
        <f t="shared" si="79"/>
        <v>8.5395752992420779E-3</v>
      </c>
      <c r="BU11" s="3">
        <f>SUMIFS('P&amp;L Data'!$N:$N,'P&amp;L Data'!$B:$B,$D11,'P&amp;L Data'!$C:$C,$BU$4)</f>
        <v>-827.43359999999996</v>
      </c>
      <c r="BV11" s="3">
        <f>SUMIFS('P&amp;L Data'!$P:$P,'P&amp;L Data'!$B:$B,$D11,'P&amp;L Data'!$C:$C,$BU$4)</f>
        <v>-827.43359999999996</v>
      </c>
      <c r="BW11" s="3">
        <f>SUMIFS('P&amp;L Data'!$T:$T,'P&amp;L Data'!$B:$B,$D11,'P&amp;L Data'!$C:$C,$BU$4)</f>
        <v>-827.43359999999996</v>
      </c>
      <c r="BX11" s="3">
        <f t="shared" si="80"/>
        <v>0</v>
      </c>
      <c r="BY11" s="3">
        <f t="shared" si="81"/>
        <v>0</v>
      </c>
      <c r="BZ11" s="8">
        <f t="shared" si="82"/>
        <v>0</v>
      </c>
      <c r="CA11" s="8">
        <f t="shared" si="83"/>
        <v>0</v>
      </c>
      <c r="CC11" s="3">
        <f>SUMIFS('P&amp;L Data'!$N:$N,'P&amp;L Data'!$B:$B,$D11,'P&amp;L Data'!$C:$C,$CC$4)</f>
        <v>485.08584999999721</v>
      </c>
      <c r="CD11" s="3">
        <f>SUMIFS('P&amp;L Data'!$P:$P,'P&amp;L Data'!$B:$B,$D11,'P&amp;L Data'!$C:$C,$CC$4)</f>
        <v>605.9570700000022</v>
      </c>
      <c r="CE11" s="3">
        <f>SUMIFS('P&amp;L Data'!$T:$T,'P&amp;L Data'!$B:$B,$D11,'P&amp;L Data'!$C:$C,$CC$4)</f>
        <v>675.09262345758225</v>
      </c>
      <c r="CF11" s="3">
        <f t="shared" si="84"/>
        <v>-120.871220000005</v>
      </c>
      <c r="CG11" s="3">
        <f t="shared" si="85"/>
        <v>-190.00677345758504</v>
      </c>
      <c r="CH11" s="8">
        <f t="shared" si="86"/>
        <v>-0.19947158962928604</v>
      </c>
      <c r="CI11" s="8">
        <f t="shared" si="87"/>
        <v>-0.28145289528485512</v>
      </c>
      <c r="CK11" s="3">
        <f>SUMIFS('P&amp;L Data'!$N:$N,'P&amp;L Data'!$B:$B,$D11,'P&amp;L Data'!$C:$C,$CK$4)</f>
        <v>-88.805839999999975</v>
      </c>
      <c r="CL11" s="3">
        <f>SUMIFS('P&amp;L Data'!$P:$P,'P&amp;L Data'!$B:$B,$D11,'P&amp;L Data'!$C:$C,$CK$4)</f>
        <v>-292.64342000000005</v>
      </c>
      <c r="CM11" s="3">
        <f>SUMIFS('P&amp;L Data'!$T:$T,'P&amp;L Data'!$B:$B,$D11,'P&amp;L Data'!$C:$C,$CK$4)</f>
        <v>-63.603929999999991</v>
      </c>
      <c r="CN11" s="3">
        <f t="shared" si="88"/>
        <v>203.83758000000006</v>
      </c>
      <c r="CO11" s="3">
        <f t="shared" si="89"/>
        <v>-25.201909999999984</v>
      </c>
      <c r="CP11" s="8">
        <f t="shared" si="90"/>
        <v>0.69653908500659278</v>
      </c>
      <c r="CQ11" s="8">
        <f t="shared" si="91"/>
        <v>-0.39623196239603414</v>
      </c>
      <c r="CS11" s="3">
        <f>SUMIFS('P&amp;L Data'!$N:$N,'P&amp;L Data'!$B:$B,$D11,'P&amp;L Data'!$C:$C,$CS$4)</f>
        <v>396.28000999999722</v>
      </c>
      <c r="CT11" s="3">
        <f>SUMIFS('P&amp;L Data'!$P:$P,'P&amp;L Data'!$B:$B,$D11,'P&amp;L Data'!$C:$C,$CS$4)</f>
        <v>313.31365000000216</v>
      </c>
      <c r="CU11" s="3">
        <f>SUMIFS('P&amp;L Data'!$T:$T,'P&amp;L Data'!$B:$B,$D11,'P&amp;L Data'!$C:$C,$CS$4)</f>
        <v>611.48869345758226</v>
      </c>
      <c r="CV11" s="3">
        <f t="shared" ref="CV11:CV12" si="96">CS11-CT11</f>
        <v>82.966359999995063</v>
      </c>
      <c r="CW11" s="3">
        <f t="shared" ref="CW11:CW12" si="97">CS11-CU11</f>
        <v>-215.20868345758504</v>
      </c>
      <c r="CX11" s="8">
        <f t="shared" si="92"/>
        <v>0.26480289001131768</v>
      </c>
      <c r="CY11" s="8">
        <f t="shared" si="93"/>
        <v>-0.35194221211305787</v>
      </c>
    </row>
    <row r="12" spans="2:103" outlineLevel="2" x14ac:dyDescent="0.85">
      <c r="B12" s="1" t="s">
        <v>91</v>
      </c>
      <c r="C12" s="1" t="s">
        <v>17</v>
      </c>
      <c r="D12" s="2">
        <v>10006</v>
      </c>
      <c r="E12" s="1" t="s">
        <v>21</v>
      </c>
      <c r="F12" s="2" t="s">
        <v>15</v>
      </c>
      <c r="G12" s="1" t="s">
        <v>64</v>
      </c>
      <c r="I12" s="3">
        <f>SUMIFS('P&amp;L Data'!$N:$N,'P&amp;L Data'!$B:$B,$D12,'P&amp;L Data'!$C:$C,$I$4)</f>
        <v>30028.574380000005</v>
      </c>
      <c r="J12" s="3">
        <f>SUMIFS('P&amp;L Data'!$P:$P,'P&amp;L Data'!$B:$B,$D12,'P&amp;L Data'!$C:$C,$I$4)</f>
        <v>29761.367340000004</v>
      </c>
      <c r="K12" s="3">
        <f>SUMIFS('P&amp;L Data'!$T:$T,'P&amp;L Data'!$B:$B,$D12,'P&amp;L Data'!$C:$C,$I$4)</f>
        <v>26778.883269999998</v>
      </c>
      <c r="L12" s="3">
        <f t="shared" si="48"/>
        <v>267.20704000000114</v>
      </c>
      <c r="M12" s="3">
        <f t="shared" si="49"/>
        <v>3249.691110000007</v>
      </c>
      <c r="N12" s="8">
        <f t="shared" si="50"/>
        <v>8.978318668876089E-3</v>
      </c>
      <c r="O12" s="8">
        <f t="shared" si="51"/>
        <v>0.12135274937475043</v>
      </c>
      <c r="P12" s="24"/>
      <c r="Q12" s="3">
        <f>SUMIFS('P&amp;L Data'!$N:$N,'P&amp;L Data'!$B:$B,$D12,'P&amp;L Data'!$C:$C,$Q$4)</f>
        <v>1738.5654400000014</v>
      </c>
      <c r="R12" s="3">
        <f>SUMIFS('P&amp;L Data'!$P:$P,'P&amp;L Data'!$B:$B,$D12,'P&amp;L Data'!$C:$C,$Q$4)</f>
        <v>2048.336270000003</v>
      </c>
      <c r="S12" s="3">
        <f>SUMIFS('P&amp;L Data'!$T:$T,'P&amp;L Data'!$B:$B,$D12,'P&amp;L Data'!$C:$C,$Q$4)</f>
        <v>1408.0057912108336</v>
      </c>
      <c r="T12" s="3">
        <f t="shared" si="52"/>
        <v>-309.77083000000152</v>
      </c>
      <c r="U12" s="3">
        <f t="shared" si="53"/>
        <v>330.5596487891678</v>
      </c>
      <c r="V12" s="8">
        <f t="shared" si="54"/>
        <v>-0.15123045690149356</v>
      </c>
      <c r="W12" s="8">
        <f t="shared" si="55"/>
        <v>0.23477151220017253</v>
      </c>
      <c r="X12" s="24"/>
      <c r="Y12" s="3">
        <f>SUMIFS('P&amp;L Data'!$N:$N,'P&amp;L Data'!$B:$B,$D12,'P&amp;L Data'!$C:$C,$Y$4)</f>
        <v>7752.3434900000038</v>
      </c>
      <c r="Z12" s="3">
        <f>SUMIFS('P&amp;L Data'!$P:$P,'P&amp;L Data'!$B:$B,$D12,'P&amp;L Data'!$C:$C,$Y$4)</f>
        <v>7845.5533200000045</v>
      </c>
      <c r="AA12" s="3">
        <f>SUMIFS('P&amp;L Data'!$T:$T,'P&amp;L Data'!$B:$B,$D12,'P&amp;L Data'!$C:$C,$Y$4)</f>
        <v>6306.9863025548711</v>
      </c>
      <c r="AB12" s="3">
        <f t="shared" si="56"/>
        <v>-93.209830000000693</v>
      </c>
      <c r="AC12" s="3">
        <f t="shared" si="57"/>
        <v>1445.3571874451327</v>
      </c>
      <c r="AD12" s="8">
        <f t="shared" si="58"/>
        <v>-1.1880593528360678E-2</v>
      </c>
      <c r="AE12" s="8">
        <f t="shared" si="59"/>
        <v>0.22916764332588432</v>
      </c>
      <c r="AF12" s="24"/>
      <c r="AG12" s="3">
        <f>SUMIFS('P&amp;L Data'!$N:$N,'P&amp;L Data'!$B:$B,$D12,'P&amp;L Data'!$C:$C,$AG$4)</f>
        <v>-142.56480999999999</v>
      </c>
      <c r="AH12" s="3">
        <f>SUMIFS('P&amp;L Data'!$P:$P,'P&amp;L Data'!$B:$B,$D12,'P&amp;L Data'!$C:$C,$AG$4)</f>
        <v>-179.24663000000001</v>
      </c>
      <c r="AI12" s="3">
        <f>SUMIFS('P&amp;L Data'!$T:$T,'P&amp;L Data'!$B:$B,$D12,'P&amp;L Data'!$C:$C,$AG$4)</f>
        <v>-216.39312000000001</v>
      </c>
      <c r="AJ12" s="3">
        <f t="shared" si="60"/>
        <v>36.681820000000016</v>
      </c>
      <c r="AK12" s="3">
        <f t="shared" si="61"/>
        <v>73.828310000000016</v>
      </c>
      <c r="AL12" s="8">
        <f t="shared" si="62"/>
        <v>0.20464440530904271</v>
      </c>
      <c r="AM12" s="8">
        <f t="shared" si="63"/>
        <v>0.34117678972418353</v>
      </c>
      <c r="AN12" s="24"/>
      <c r="AO12" s="3">
        <f>SUMIFS('P&amp;L Data'!$N:$N,'P&amp;L Data'!$B:$B,$D12,'P&amp;L Data'!$C:$C,$AO$4)</f>
        <v>-470.73721</v>
      </c>
      <c r="AP12" s="3">
        <f>SUMIFS('P&amp;L Data'!$P:$P,'P&amp;L Data'!$B:$B,$D12,'P&amp;L Data'!$C:$C,$AO$4)</f>
        <v>-543.37180000000001</v>
      </c>
      <c r="AQ12" s="3">
        <f>SUMIFS('P&amp;L Data'!$T:$T,'P&amp;L Data'!$B:$B,$D12,'P&amp;L Data'!$C:$C,$AO$4)</f>
        <v>-403.45968044408886</v>
      </c>
      <c r="AR12" s="3">
        <f t="shared" si="64"/>
        <v>72.634590000000003</v>
      </c>
      <c r="AS12" s="3">
        <f t="shared" si="65"/>
        <v>-67.277529555911144</v>
      </c>
      <c r="AT12" s="8">
        <f t="shared" si="66"/>
        <v>0.13367383069934805</v>
      </c>
      <c r="AU12" s="8">
        <f t="shared" si="67"/>
        <v>-0.16675155614523521</v>
      </c>
      <c r="AW12" s="3">
        <f>SUMIFS('P&amp;L Data'!$N:$N,'P&amp;L Data'!$B:$B,$D12,'P&amp;L Data'!$C:$C,$AW$4)</f>
        <v>7139.0414700000028</v>
      </c>
      <c r="AX12" s="3">
        <f>SUMIFS('P&amp;L Data'!$P:$P,'P&amp;L Data'!$B:$B,$D12,'P&amp;L Data'!$C:$C,$AW$4)</f>
        <v>7122.9348900000032</v>
      </c>
      <c r="AY12" s="3">
        <f>SUMIFS('P&amp;L Data'!$T:$T,'P&amp;L Data'!$B:$B,$D12,'P&amp;L Data'!$C:$C,$AW$4)</f>
        <v>5687.1335021107807</v>
      </c>
      <c r="AZ12" s="3">
        <f t="shared" si="68"/>
        <v>16.106579999999667</v>
      </c>
      <c r="BA12" s="3">
        <f t="shared" si="69"/>
        <v>1451.9079678892222</v>
      </c>
      <c r="BB12" s="8">
        <f t="shared" si="70"/>
        <v>2.2612280259099293E-3</v>
      </c>
      <c r="BC12" s="8">
        <f t="shared" si="71"/>
        <v>0.25529697295664788</v>
      </c>
      <c r="BE12" s="3">
        <f>SUMIFS('P&amp;L Data'!$N:$N,'P&amp;L Data'!$B:$B,$D12,'P&amp;L Data'!$C:$C,$BE$4)</f>
        <v>-2316.1440999999991</v>
      </c>
      <c r="BF12" s="3">
        <f>SUMIFS('P&amp;L Data'!$P:$P,'P&amp;L Data'!$B:$B,$D12,'P&amp;L Data'!$C:$C,$BE$4)</f>
        <v>-2367.5975599999992</v>
      </c>
      <c r="BG12" s="3">
        <f>SUMIFS('P&amp;L Data'!$T:$T,'P&amp;L Data'!$B:$B,$D12,'P&amp;L Data'!$C:$C,$BE$4)</f>
        <v>-2336.46506</v>
      </c>
      <c r="BH12" s="3">
        <f t="shared" si="72"/>
        <v>51.453460000000177</v>
      </c>
      <c r="BI12" s="3">
        <f t="shared" si="73"/>
        <v>20.320960000000923</v>
      </c>
      <c r="BJ12" s="8">
        <f t="shared" si="74"/>
        <v>2.1732350492876921E-2</v>
      </c>
      <c r="BK12" s="8">
        <f t="shared" si="75"/>
        <v>8.6973096015400819E-3</v>
      </c>
      <c r="BM12" s="3">
        <f>SUMIFS('P&amp;L Data'!$N:$N,'P&amp;L Data'!$B:$B,$D12,'P&amp;L Data'!$C:$C,$BM$4)</f>
        <v>-384.97124000000002</v>
      </c>
      <c r="BN12" s="3">
        <f>SUMIFS('P&amp;L Data'!$P:$P,'P&amp;L Data'!$B:$B,$D12,'P&amp;L Data'!$C:$C,$BM$4)</f>
        <v>-504.27410000000003</v>
      </c>
      <c r="BO12" s="3">
        <f>SUMIFS('P&amp;L Data'!$T:$T,'P&amp;L Data'!$B:$B,$D12,'P&amp;L Data'!$C:$C,$BM$4)</f>
        <v>-549.56835000000001</v>
      </c>
      <c r="BP12" s="3">
        <f t="shared" si="76"/>
        <v>119.30286000000001</v>
      </c>
      <c r="BQ12" s="3">
        <f t="shared" si="77"/>
        <v>164.59710999999999</v>
      </c>
      <c r="BR12" s="8">
        <f t="shared" si="78"/>
        <v>0.23658335813796505</v>
      </c>
      <c r="BS12" s="8">
        <f t="shared" si="79"/>
        <v>0.29950252775655656</v>
      </c>
      <c r="BU12" s="3">
        <f>SUMIFS('P&amp;L Data'!$N:$N,'P&amp;L Data'!$B:$B,$D12,'P&amp;L Data'!$C:$C,$BU$4)</f>
        <v>-955.70293000000015</v>
      </c>
      <c r="BV12" s="3">
        <f>SUMIFS('P&amp;L Data'!$P:$P,'P&amp;L Data'!$B:$B,$D12,'P&amp;L Data'!$C:$C,$BU$4)</f>
        <v>-921.15968000000009</v>
      </c>
      <c r="BW12" s="3">
        <f>SUMIFS('P&amp;L Data'!$T:$T,'P&amp;L Data'!$B:$B,$D12,'P&amp;L Data'!$C:$C,$BU$4)</f>
        <v>-921.15968000000009</v>
      </c>
      <c r="BX12" s="3">
        <f t="shared" si="80"/>
        <v>-34.543250000000057</v>
      </c>
      <c r="BY12" s="3">
        <f t="shared" si="81"/>
        <v>-34.543250000000057</v>
      </c>
      <c r="BZ12" s="8">
        <f t="shared" si="82"/>
        <v>-3.7499741630028852E-2</v>
      </c>
      <c r="CA12" s="8">
        <f t="shared" si="83"/>
        <v>-3.7499741630028852E-2</v>
      </c>
      <c r="CC12" s="3">
        <f>SUMIFS('P&amp;L Data'!$N:$N,'P&amp;L Data'!$B:$B,$D12,'P&amp;L Data'!$C:$C,$CC$4)</f>
        <v>3482.223200000004</v>
      </c>
      <c r="CD12" s="3">
        <f>SUMIFS('P&amp;L Data'!$P:$P,'P&amp;L Data'!$B:$B,$D12,'P&amp;L Data'!$C:$C,$CC$4)</f>
        <v>3329.9035500000036</v>
      </c>
      <c r="CE12" s="3">
        <f>SUMIFS('P&amp;L Data'!$T:$T,'P&amp;L Data'!$B:$B,$D12,'P&amp;L Data'!$C:$C,$CC$4)</f>
        <v>1879.9404121107805</v>
      </c>
      <c r="CF12" s="3">
        <f t="shared" si="84"/>
        <v>152.31965000000037</v>
      </c>
      <c r="CG12" s="3">
        <f t="shared" si="85"/>
        <v>1602.2827878892235</v>
      </c>
      <c r="CH12" s="8">
        <f t="shared" si="86"/>
        <v>4.5742961534126172E-2</v>
      </c>
      <c r="CI12" s="8">
        <f t="shared" si="87"/>
        <v>0.85230509305887758</v>
      </c>
      <c r="CK12" s="3">
        <f>SUMIFS('P&amp;L Data'!$N:$N,'P&amp;L Data'!$B:$B,$D12,'P&amp;L Data'!$C:$C,$CK$4)</f>
        <v>-1215.0372399999999</v>
      </c>
      <c r="CL12" s="3">
        <f>SUMIFS('P&amp;L Data'!$P:$P,'P&amp;L Data'!$B:$B,$D12,'P&amp;L Data'!$C:$C,$CK$4)</f>
        <v>-772.30307000000005</v>
      </c>
      <c r="CM12" s="3">
        <f>SUMIFS('P&amp;L Data'!$T:$T,'P&amp;L Data'!$B:$B,$D12,'P&amp;L Data'!$C:$C,$CK$4)</f>
        <v>-516.69897999999989</v>
      </c>
      <c r="CN12" s="3">
        <f t="shared" si="88"/>
        <v>-442.73416999999984</v>
      </c>
      <c r="CO12" s="3">
        <f t="shared" si="89"/>
        <v>-698.33825999999999</v>
      </c>
      <c r="CP12" s="8">
        <f t="shared" si="90"/>
        <v>-0.57326480652213363</v>
      </c>
      <c r="CQ12" s="8">
        <f t="shared" si="91"/>
        <v>-1.3515379109128494</v>
      </c>
      <c r="CS12" s="3">
        <f>SUMIFS('P&amp;L Data'!$N:$N,'P&amp;L Data'!$B:$B,$D12,'P&amp;L Data'!$C:$C,$CS$4)</f>
        <v>2267.1859600000043</v>
      </c>
      <c r="CT12" s="3">
        <f>SUMIFS('P&amp;L Data'!$P:$P,'P&amp;L Data'!$B:$B,$D12,'P&amp;L Data'!$C:$C,$CS$4)</f>
        <v>2557.6004800000037</v>
      </c>
      <c r="CU12" s="3">
        <f>SUMIFS('P&amp;L Data'!$T:$T,'P&amp;L Data'!$B:$B,$D12,'P&amp;L Data'!$C:$C,$CS$4)</f>
        <v>1363.2414321107806</v>
      </c>
      <c r="CV12" s="3">
        <f t="shared" si="96"/>
        <v>-290.41451999999936</v>
      </c>
      <c r="CW12" s="3">
        <f t="shared" si="97"/>
        <v>903.94452788922376</v>
      </c>
      <c r="CX12" s="8">
        <f t="shared" si="92"/>
        <v>-0.11354960333757794</v>
      </c>
      <c r="CY12" s="8">
        <f t="shared" si="93"/>
        <v>0.66308469402195136</v>
      </c>
    </row>
    <row r="13" spans="2:103" outlineLevel="1" x14ac:dyDescent="0.85">
      <c r="B13" s="25" t="s">
        <v>91</v>
      </c>
      <c r="C13" s="25" t="s">
        <v>19</v>
      </c>
      <c r="D13" s="26"/>
      <c r="E13" s="26"/>
      <c r="F13" s="26"/>
      <c r="G13" s="25"/>
      <c r="H13" s="16"/>
      <c r="I13" s="27">
        <f>SUBTOTAL(9,I11:I12)</f>
        <v>41021.699800000002</v>
      </c>
      <c r="J13" s="27">
        <f>SUBTOTAL(9,J11:J12)</f>
        <v>41373.838970000004</v>
      </c>
      <c r="K13" s="27">
        <f>SUBTOTAL(9,K11:K12)</f>
        <v>38594.613169999997</v>
      </c>
      <c r="L13" s="27">
        <f t="shared" si="48"/>
        <v>-352.1391700000022</v>
      </c>
      <c r="M13" s="27">
        <f t="shared" si="49"/>
        <v>2427.0866300000052</v>
      </c>
      <c r="N13" s="28">
        <f t="shared" si="50"/>
        <v>-8.5111553282579567E-3</v>
      </c>
      <c r="O13" s="28">
        <f t="shared" si="51"/>
        <v>6.2886668129287157E-2</v>
      </c>
      <c r="P13" s="29"/>
      <c r="Q13" s="27">
        <f>SUBTOTAL(9,Q11:Q12)</f>
        <v>2134.4155799999985</v>
      </c>
      <c r="R13" s="27">
        <f>SUBTOTAL(9,R11:R12)</f>
        <v>2599.9742900000037</v>
      </c>
      <c r="S13" s="27">
        <f>SUBTOTAL(9,S11:S12)</f>
        <v>2069.0459546684183</v>
      </c>
      <c r="T13" s="27">
        <f t="shared" si="52"/>
        <v>-465.55871000000525</v>
      </c>
      <c r="U13" s="27">
        <f t="shared" si="53"/>
        <v>65.36962533158021</v>
      </c>
      <c r="V13" s="28">
        <f t="shared" si="54"/>
        <v>-0.17906281296343302</v>
      </c>
      <c r="W13" s="28">
        <f t="shared" si="55"/>
        <v>3.1594090592374606E-2</v>
      </c>
      <c r="X13" s="29"/>
      <c r="Y13" s="27">
        <f>SUBTOTAL(9,Y11:Y12)</f>
        <v>10407.44059</v>
      </c>
      <c r="Z13" s="27">
        <f>SUBTOTAL(9,Z11:Z12)</f>
        <v>10619.323840000006</v>
      </c>
      <c r="AA13" s="27">
        <f>SUBTOTAL(9,AA11:AA12)</f>
        <v>9091.300336012453</v>
      </c>
      <c r="AB13" s="27">
        <f t="shared" si="56"/>
        <v>-211.88325000000623</v>
      </c>
      <c r="AC13" s="27">
        <f t="shared" si="57"/>
        <v>1316.1402539875471</v>
      </c>
      <c r="AD13" s="28">
        <f t="shared" si="58"/>
        <v>-1.9952612161793355E-2</v>
      </c>
      <c r="AE13" s="28">
        <f t="shared" si="59"/>
        <v>0.1447691975122693</v>
      </c>
      <c r="AF13" s="29"/>
      <c r="AG13" s="27">
        <f>SUBTOTAL(9,AG11:AG12)</f>
        <v>-147.78693999999999</v>
      </c>
      <c r="AH13" s="27">
        <f>SUBTOTAL(9,AH11:AH12)</f>
        <v>-250.17518999999999</v>
      </c>
      <c r="AI13" s="27">
        <f>SUBTOTAL(9,AI11:AI12)</f>
        <v>-268.41669000000002</v>
      </c>
      <c r="AJ13" s="27">
        <f t="shared" si="60"/>
        <v>102.38825</v>
      </c>
      <c r="AK13" s="27">
        <f t="shared" si="61"/>
        <v>120.62975000000003</v>
      </c>
      <c r="AL13" s="28">
        <f t="shared" si="62"/>
        <v>0.40926620261585495</v>
      </c>
      <c r="AM13" s="28">
        <f t="shared" si="63"/>
        <v>0.44941225525134082</v>
      </c>
      <c r="AN13" s="29"/>
      <c r="AO13" s="27">
        <f>SUBTOTAL(9,AO11:AO12)</f>
        <v>-666.26554999999996</v>
      </c>
      <c r="AP13" s="27">
        <f>SUBTOTAL(9,AP11:AP12)</f>
        <v>-755.79246000000001</v>
      </c>
      <c r="AQ13" s="27">
        <f>SUBTOTAL(9,AQ11:AQ12)</f>
        <v>-593.73454044408891</v>
      </c>
      <c r="AR13" s="27">
        <f t="shared" si="64"/>
        <v>89.526910000000044</v>
      </c>
      <c r="AS13" s="27">
        <f t="shared" si="65"/>
        <v>-72.531009555911055</v>
      </c>
      <c r="AT13" s="28">
        <f t="shared" si="66"/>
        <v>0.11845435716572252</v>
      </c>
      <c r="AU13" s="28">
        <f t="shared" si="67"/>
        <v>-0.12216067049368705</v>
      </c>
      <c r="AV13" s="17"/>
      <c r="AW13" s="27">
        <f>SUBTOTAL(9,AW11:AW12)</f>
        <v>9593.3881000000001</v>
      </c>
      <c r="AX13" s="27">
        <f>SUBTOTAL(9,AX11:AX12)</f>
        <v>9613.3561900000059</v>
      </c>
      <c r="AY13" s="27">
        <f>SUBTOTAL(9,AY11:AY12)</f>
        <v>8229.1491055683618</v>
      </c>
      <c r="AZ13" s="27">
        <f t="shared" si="68"/>
        <v>-19.968090000005759</v>
      </c>
      <c r="BA13" s="27">
        <f t="shared" si="69"/>
        <v>1364.2389944316383</v>
      </c>
      <c r="BB13" s="28">
        <f t="shared" si="70"/>
        <v>-2.0771195413290672E-3</v>
      </c>
      <c r="BC13" s="28">
        <f t="shared" si="71"/>
        <v>0.16578129487391449</v>
      </c>
      <c r="BD13" s="17"/>
      <c r="BE13" s="27">
        <f>SUBTOTAL(9,BE11:BE12)</f>
        <v>-3219.3773499999988</v>
      </c>
      <c r="BF13" s="27">
        <f>SUBTOTAL(9,BF11:BF12)</f>
        <v>-3164.3538099999992</v>
      </c>
      <c r="BG13" s="27">
        <f>SUBTOTAL(9,BG11:BG12)</f>
        <v>-3135.3054699999998</v>
      </c>
      <c r="BH13" s="27">
        <f t="shared" si="72"/>
        <v>-55.023539999999684</v>
      </c>
      <c r="BI13" s="27">
        <f t="shared" si="73"/>
        <v>-84.071879999999055</v>
      </c>
      <c r="BJ13" s="28">
        <f t="shared" si="74"/>
        <v>-1.7388554916366858E-2</v>
      </c>
      <c r="BK13" s="28">
        <f t="shared" si="75"/>
        <v>-2.6814573828431162E-2</v>
      </c>
      <c r="BL13" s="17"/>
      <c r="BM13" s="27">
        <f>SUBTOTAL(9,BM11:BM12)</f>
        <v>-623.56516999999997</v>
      </c>
      <c r="BN13" s="27">
        <f>SUBTOTAL(9,BN11:BN12)</f>
        <v>-764.54848000000004</v>
      </c>
      <c r="BO13" s="27">
        <f>SUBTOTAL(9,BO11:BO12)</f>
        <v>-790.21731999999997</v>
      </c>
      <c r="BP13" s="27">
        <f t="shared" si="76"/>
        <v>140.98331000000007</v>
      </c>
      <c r="BQ13" s="27">
        <f t="shared" si="77"/>
        <v>166.65215000000001</v>
      </c>
      <c r="BR13" s="28">
        <f t="shared" si="78"/>
        <v>0.18440074591476535</v>
      </c>
      <c r="BS13" s="28">
        <f t="shared" si="79"/>
        <v>0.21089407405041441</v>
      </c>
      <c r="BT13" s="17"/>
      <c r="BU13" s="27">
        <f>SUBTOTAL(9,BU11:BU12)</f>
        <v>-1783.1365300000002</v>
      </c>
      <c r="BV13" s="27">
        <f>SUBTOTAL(9,BV11:BV12)</f>
        <v>-1748.59328</v>
      </c>
      <c r="BW13" s="27">
        <f>SUBTOTAL(9,BW11:BW12)</f>
        <v>-1748.59328</v>
      </c>
      <c r="BX13" s="27">
        <f t="shared" si="80"/>
        <v>-34.543250000000171</v>
      </c>
      <c r="BY13" s="27">
        <f t="shared" si="81"/>
        <v>-34.543250000000171</v>
      </c>
      <c r="BZ13" s="28">
        <f t="shared" si="82"/>
        <v>-1.9754879762548423E-2</v>
      </c>
      <c r="CA13" s="28">
        <f t="shared" si="83"/>
        <v>-1.9754879762548423E-2</v>
      </c>
      <c r="CB13" s="17"/>
      <c r="CC13" s="27">
        <f>SUBTOTAL(9,CC11:CC12)</f>
        <v>3967.3090500000012</v>
      </c>
      <c r="CD13" s="27">
        <f>SUBTOTAL(9,CD11:CD12)</f>
        <v>3935.8606200000058</v>
      </c>
      <c r="CE13" s="27">
        <f>SUBTOTAL(9,CE11:CE12)</f>
        <v>2555.0330355683627</v>
      </c>
      <c r="CF13" s="27">
        <f t="shared" si="84"/>
        <v>31.448429999995369</v>
      </c>
      <c r="CG13" s="27">
        <f t="shared" si="85"/>
        <v>1412.2760144316385</v>
      </c>
      <c r="CH13" s="28">
        <f t="shared" si="86"/>
        <v>7.9902295930376014E-3</v>
      </c>
      <c r="CI13" s="28">
        <f t="shared" si="87"/>
        <v>0.55274276096296349</v>
      </c>
      <c r="CJ13" s="17"/>
      <c r="CK13" s="27">
        <f>SUBTOTAL(9,CK11:CK12)</f>
        <v>-1303.8430799999999</v>
      </c>
      <c r="CL13" s="27">
        <f>SUBTOTAL(9,CL11:CL12)</f>
        <v>-1064.94649</v>
      </c>
      <c r="CM13" s="27">
        <f>SUBTOTAL(9,CM11:CM12)</f>
        <v>-580.30290999999988</v>
      </c>
      <c r="CN13" s="27">
        <f t="shared" si="88"/>
        <v>-238.89658999999983</v>
      </c>
      <c r="CO13" s="27">
        <f t="shared" si="89"/>
        <v>-723.54016999999999</v>
      </c>
      <c r="CP13" s="28">
        <f t="shared" si="90"/>
        <v>-0.22432731807961528</v>
      </c>
      <c r="CQ13" s="28">
        <f t="shared" si="91"/>
        <v>-1.2468318830246778</v>
      </c>
      <c r="CR13" s="17"/>
      <c r="CS13" s="27">
        <f>SUBTOTAL(9,CS11:CS12)</f>
        <v>2663.4659700000016</v>
      </c>
      <c r="CT13" s="27">
        <f>SUBTOTAL(9,CT11:CT12)</f>
        <v>2870.914130000006</v>
      </c>
      <c r="CU13" s="27">
        <f>SUBTOTAL(9,CU11:CU12)</f>
        <v>1974.7301255683628</v>
      </c>
      <c r="CV13" s="27">
        <f>SUBTOTAL(9,CV11:CV12)</f>
        <v>-207.44816000000429</v>
      </c>
      <c r="CW13" s="27">
        <f>SUBTOTAL(9,CW11:CW12)</f>
        <v>688.73584443163872</v>
      </c>
      <c r="CX13" s="28">
        <f t="shared" si="92"/>
        <v>-7.2258573613277671E-2</v>
      </c>
      <c r="CY13" s="28">
        <f t="shared" si="93"/>
        <v>0.34877466825164688</v>
      </c>
    </row>
    <row r="14" spans="2:103" outlineLevel="2" x14ac:dyDescent="0.85">
      <c r="B14" s="1" t="s">
        <v>91</v>
      </c>
      <c r="C14" s="1" t="s">
        <v>28</v>
      </c>
      <c r="D14" s="2">
        <v>301</v>
      </c>
      <c r="E14" s="1" t="s">
        <v>29</v>
      </c>
      <c r="F14" s="2" t="s">
        <v>15</v>
      </c>
      <c r="G14" s="1" t="s">
        <v>64</v>
      </c>
      <c r="I14" s="3">
        <f>SUMIFS('P&amp;L Data'!$N:$N,'P&amp;L Data'!$B:$B,$D14,'P&amp;L Data'!$C:$C,$I$4)</f>
        <v>20166.618489999993</v>
      </c>
      <c r="J14" s="3">
        <f>SUMIFS('P&amp;L Data'!$P:$P,'P&amp;L Data'!$B:$B,$D14,'P&amp;L Data'!$C:$C,$I$4)</f>
        <v>20608.775250000002</v>
      </c>
      <c r="K14" s="3">
        <f>SUMIFS('P&amp;L Data'!$T:$T,'P&amp;L Data'!$B:$B,$D14,'P&amp;L Data'!$C:$C,$I$4)</f>
        <v>20798.271430000001</v>
      </c>
      <c r="L14" s="3">
        <f t="shared" si="48"/>
        <v>-442.15676000000894</v>
      </c>
      <c r="M14" s="3">
        <f t="shared" si="49"/>
        <v>-631.65294000000722</v>
      </c>
      <c r="N14" s="8">
        <f t="shared" si="50"/>
        <v>-2.1454781016160041E-2</v>
      </c>
      <c r="O14" s="8">
        <f t="shared" si="51"/>
        <v>-3.0370453723807721E-2</v>
      </c>
      <c r="P14" s="24"/>
      <c r="Q14" s="3">
        <f>SUMIFS('P&amp;L Data'!$N:$N,'P&amp;L Data'!$B:$B,$D14,'P&amp;L Data'!$C:$C,$Q$4)</f>
        <v>142.45982999999751</v>
      </c>
      <c r="R14" s="3">
        <f>SUMIFS('P&amp;L Data'!$P:$P,'P&amp;L Data'!$B:$B,$D14,'P&amp;L Data'!$C:$C,$Q$4)</f>
        <v>788.26615000000083</v>
      </c>
      <c r="S14" s="3">
        <f>SUMIFS('P&amp;L Data'!$T:$T,'P&amp;L Data'!$B:$B,$D14,'P&amp;L Data'!$C:$C,$Q$4)</f>
        <v>1019.4979060784342</v>
      </c>
      <c r="T14" s="3">
        <f t="shared" si="52"/>
        <v>-645.80632000000332</v>
      </c>
      <c r="U14" s="3">
        <f t="shared" si="53"/>
        <v>-877.03807607843669</v>
      </c>
      <c r="V14" s="8">
        <f t="shared" si="54"/>
        <v>-0.81927445444663916</v>
      </c>
      <c r="W14" s="8">
        <f t="shared" si="55"/>
        <v>-0.86026471545392513</v>
      </c>
      <c r="X14" s="24"/>
      <c r="Y14" s="3">
        <f>SUMIFS('P&amp;L Data'!$N:$N,'P&amp;L Data'!$B:$B,$D14,'P&amp;L Data'!$C:$C,$Y$4)</f>
        <v>4155.4767299999976</v>
      </c>
      <c r="Z14" s="3">
        <f>SUMIFS('P&amp;L Data'!$P:$P,'P&amp;L Data'!$B:$B,$D14,'P&amp;L Data'!$C:$C,$Y$4)</f>
        <v>4738.9749200000024</v>
      </c>
      <c r="AA14" s="3">
        <f>SUMIFS('P&amp;L Data'!$T:$T,'P&amp;L Data'!$B:$B,$D14,'P&amp;L Data'!$C:$C,$Y$4)</f>
        <v>4786.8860460784317</v>
      </c>
      <c r="AB14" s="3">
        <f t="shared" si="56"/>
        <v>-583.4981900000048</v>
      </c>
      <c r="AC14" s="3">
        <f t="shared" si="57"/>
        <v>-631.40931607843413</v>
      </c>
      <c r="AD14" s="8">
        <f t="shared" si="58"/>
        <v>-0.12312751171934974</v>
      </c>
      <c r="AE14" s="8">
        <f t="shared" si="59"/>
        <v>-0.1319039789124925</v>
      </c>
      <c r="AF14" s="24"/>
      <c r="AG14" s="3">
        <f>SUMIFS('P&amp;L Data'!$N:$N,'P&amp;L Data'!$B:$B,$D14,'P&amp;L Data'!$C:$C,$AG$4)</f>
        <v>-64.474210000000014</v>
      </c>
      <c r="AH14" s="3">
        <f>SUMIFS('P&amp;L Data'!$P:$P,'P&amp;L Data'!$B:$B,$D14,'P&amp;L Data'!$C:$C,$AG$4)</f>
        <v>-127.89630000000002</v>
      </c>
      <c r="AI14" s="3">
        <f>SUMIFS('P&amp;L Data'!$T:$T,'P&amp;L Data'!$B:$B,$D14,'P&amp;L Data'!$C:$C,$AG$4)</f>
        <v>-83.774420000000006</v>
      </c>
      <c r="AJ14" s="3">
        <f t="shared" si="60"/>
        <v>63.422090000000011</v>
      </c>
      <c r="AK14" s="3">
        <f t="shared" si="61"/>
        <v>19.300209999999993</v>
      </c>
      <c r="AL14" s="8">
        <f t="shared" si="62"/>
        <v>0.49588682393470335</v>
      </c>
      <c r="AM14" s="8">
        <f t="shared" si="63"/>
        <v>0.23038309307304056</v>
      </c>
      <c r="AN14" s="24"/>
      <c r="AO14" s="3">
        <f>SUMIFS('P&amp;L Data'!$N:$N,'P&amp;L Data'!$B:$B,$D14,'P&amp;L Data'!$C:$C,$AO$4)</f>
        <v>-345.70857000000007</v>
      </c>
      <c r="AP14" s="3">
        <f>SUMIFS('P&amp;L Data'!$P:$P,'P&amp;L Data'!$B:$B,$D14,'P&amp;L Data'!$C:$C,$AO$4)</f>
        <v>-383.32547</v>
      </c>
      <c r="AQ14" s="3">
        <f>SUMIFS('P&amp;L Data'!$T:$T,'P&amp;L Data'!$B:$B,$D14,'P&amp;L Data'!$C:$C,$AO$4)</f>
        <v>-347.02352000000002</v>
      </c>
      <c r="AR14" s="3">
        <f t="shared" si="64"/>
        <v>37.61689999999993</v>
      </c>
      <c r="AS14" s="3">
        <f t="shared" si="65"/>
        <v>1.3149499999999534</v>
      </c>
      <c r="AT14" s="8">
        <f t="shared" si="66"/>
        <v>9.8133056485915041E-2</v>
      </c>
      <c r="AU14" s="8">
        <f t="shared" si="67"/>
        <v>3.7892244306666975E-3</v>
      </c>
      <c r="AW14" s="3">
        <f>SUMIFS('P&amp;L Data'!$N:$N,'P&amp;L Data'!$B:$B,$D14,'P&amp;L Data'!$C:$C,$AW$4)</f>
        <v>3745.2939499999966</v>
      </c>
      <c r="AX14" s="3">
        <f>SUMIFS('P&amp;L Data'!$P:$P,'P&amp;L Data'!$B:$B,$D14,'P&amp;L Data'!$C:$C,$AW$4)</f>
        <v>4227.7531500000005</v>
      </c>
      <c r="AY14" s="3">
        <f>SUMIFS('P&amp;L Data'!$T:$T,'P&amp;L Data'!$B:$B,$D14,'P&amp;L Data'!$C:$C,$AW$4)</f>
        <v>4356.0881060784322</v>
      </c>
      <c r="AZ14" s="3">
        <f t="shared" si="68"/>
        <v>-482.45920000000388</v>
      </c>
      <c r="BA14" s="3">
        <f t="shared" si="69"/>
        <v>-610.79415607843566</v>
      </c>
      <c r="BB14" s="8">
        <f t="shared" si="70"/>
        <v>-0.11411716410169402</v>
      </c>
      <c r="BC14" s="8">
        <f t="shared" si="71"/>
        <v>-0.1402162080298929</v>
      </c>
      <c r="BE14" s="3">
        <f>SUMIFS('P&amp;L Data'!$N:$N,'P&amp;L Data'!$B:$B,$D14,'P&amp;L Data'!$C:$C,$BE$4)</f>
        <v>-1635.6885199999992</v>
      </c>
      <c r="BF14" s="3">
        <f>SUMIFS('P&amp;L Data'!$P:$P,'P&amp;L Data'!$B:$B,$D14,'P&amp;L Data'!$C:$C,$BE$4)</f>
        <v>-1420.4466599999996</v>
      </c>
      <c r="BG14" s="3">
        <f>SUMIFS('P&amp;L Data'!$T:$T,'P&amp;L Data'!$B:$B,$D14,'P&amp;L Data'!$C:$C,$BE$4)</f>
        <v>-1572.50227</v>
      </c>
      <c r="BH14" s="3">
        <f t="shared" si="72"/>
        <v>-215.24185999999963</v>
      </c>
      <c r="BI14" s="3">
        <f t="shared" si="73"/>
        <v>-63.186249999999291</v>
      </c>
      <c r="BJ14" s="8">
        <f t="shared" si="74"/>
        <v>-0.15153111064374616</v>
      </c>
      <c r="BK14" s="8">
        <f t="shared" si="75"/>
        <v>-4.0181976971008948E-2</v>
      </c>
      <c r="BM14" s="3">
        <f>SUMIFS('P&amp;L Data'!$N:$N,'P&amp;L Data'!$B:$B,$D14,'P&amp;L Data'!$C:$C,$BM$4)</f>
        <v>-388.83961999999997</v>
      </c>
      <c r="BN14" s="3">
        <f>SUMIFS('P&amp;L Data'!$P:$P,'P&amp;L Data'!$B:$B,$D14,'P&amp;L Data'!$C:$C,$BM$4)</f>
        <v>-475.52009000000004</v>
      </c>
      <c r="BO14" s="3">
        <f>SUMIFS('P&amp;L Data'!$T:$T,'P&amp;L Data'!$B:$B,$D14,'P&amp;L Data'!$C:$C,$BM$4)</f>
        <v>-473.40408999999994</v>
      </c>
      <c r="BP14" s="3">
        <f t="shared" si="76"/>
        <v>86.680470000000071</v>
      </c>
      <c r="BQ14" s="3">
        <f t="shared" si="77"/>
        <v>84.564469999999972</v>
      </c>
      <c r="BR14" s="8">
        <f t="shared" si="78"/>
        <v>0.18228561068786822</v>
      </c>
      <c r="BS14" s="8">
        <f t="shared" si="79"/>
        <v>0.17863062822292047</v>
      </c>
      <c r="BU14" s="3">
        <f>SUMIFS('P&amp;L Data'!$N:$N,'P&amp;L Data'!$B:$B,$D14,'P&amp;L Data'!$C:$C,$BU$4)</f>
        <v>-900</v>
      </c>
      <c r="BV14" s="3">
        <f>SUMIFS('P&amp;L Data'!$P:$P,'P&amp;L Data'!$B:$B,$D14,'P&amp;L Data'!$C:$C,$BU$4)</f>
        <v>-900</v>
      </c>
      <c r="BW14" s="3">
        <f>SUMIFS('P&amp;L Data'!$T:$T,'P&amp;L Data'!$B:$B,$D14,'P&amp;L Data'!$C:$C,$BU$4)</f>
        <v>-900</v>
      </c>
      <c r="BX14" s="3">
        <f t="shared" si="80"/>
        <v>0</v>
      </c>
      <c r="BY14" s="3">
        <f t="shared" si="81"/>
        <v>0</v>
      </c>
      <c r="BZ14" s="8">
        <f t="shared" si="82"/>
        <v>0</v>
      </c>
      <c r="CA14" s="8">
        <f t="shared" si="83"/>
        <v>0</v>
      </c>
      <c r="CC14" s="3">
        <f>SUMIFS('P&amp;L Data'!$N:$N,'P&amp;L Data'!$B:$B,$D14,'P&amp;L Data'!$C:$C,$CC$4)</f>
        <v>820.76580999999715</v>
      </c>
      <c r="CD14" s="3">
        <f>SUMIFS('P&amp;L Data'!$P:$P,'P&amp;L Data'!$B:$B,$D14,'P&amp;L Data'!$C:$C,$CC$4)</f>
        <v>1431.7864000000009</v>
      </c>
      <c r="CE14" s="3">
        <f>SUMIFS('P&amp;L Data'!$T:$T,'P&amp;L Data'!$B:$B,$D14,'P&amp;L Data'!$C:$C,$CC$4)</f>
        <v>1410.1817460784323</v>
      </c>
      <c r="CF14" s="3">
        <f t="shared" si="84"/>
        <v>-611.02059000000372</v>
      </c>
      <c r="CG14" s="3">
        <f t="shared" si="85"/>
        <v>-589.41593607843515</v>
      </c>
      <c r="CH14" s="8">
        <f t="shared" si="86"/>
        <v>-0.42675401163190496</v>
      </c>
      <c r="CI14" s="8">
        <f t="shared" si="87"/>
        <v>-0.41797161090585599</v>
      </c>
      <c r="CK14" s="3">
        <f>SUMIFS('P&amp;L Data'!$N:$N,'P&amp;L Data'!$B:$B,$D14,'P&amp;L Data'!$C:$C,$CK$4)</f>
        <v>-680.79158000000007</v>
      </c>
      <c r="CL14" s="3">
        <f>SUMIFS('P&amp;L Data'!$P:$P,'P&amp;L Data'!$B:$B,$D14,'P&amp;L Data'!$C:$C,$CK$4)</f>
        <v>-587.51643000000013</v>
      </c>
      <c r="CM14" s="3">
        <f>SUMIFS('P&amp;L Data'!$T:$T,'P&amp;L Data'!$B:$B,$D14,'P&amp;L Data'!$C:$C,$CK$4)</f>
        <v>-282.33336000000003</v>
      </c>
      <c r="CN14" s="3">
        <f t="shared" si="88"/>
        <v>-93.27514999999994</v>
      </c>
      <c r="CO14" s="3">
        <f t="shared" si="89"/>
        <v>-398.45822000000004</v>
      </c>
      <c r="CP14" s="8">
        <f t="shared" si="90"/>
        <v>-0.15876177284097387</v>
      </c>
      <c r="CQ14" s="8">
        <f t="shared" si="91"/>
        <v>-1.4113040697705719</v>
      </c>
      <c r="CS14" s="3">
        <f>SUMIFS('P&amp;L Data'!$N:$N,'P&amp;L Data'!$B:$B,$D14,'P&amp;L Data'!$C:$C,$CS$4)</f>
        <v>139.97422999999708</v>
      </c>
      <c r="CT14" s="3">
        <f>SUMIFS('P&amp;L Data'!$P:$P,'P&amp;L Data'!$B:$B,$D14,'P&amp;L Data'!$C:$C,$CS$4)</f>
        <v>844.26997000000074</v>
      </c>
      <c r="CU14" s="3">
        <f>SUMIFS('P&amp;L Data'!$T:$T,'P&amp;L Data'!$B:$B,$D14,'P&amp;L Data'!$C:$C,$CS$4)</f>
        <v>1127.8483860784322</v>
      </c>
      <c r="CV14" s="3">
        <f t="shared" ref="CV14:CV15" si="98">CS14-CT14</f>
        <v>-704.29574000000366</v>
      </c>
      <c r="CW14" s="3">
        <f t="shared" ref="CW14:CW15" si="99">CS14-CU14</f>
        <v>-987.87415607843513</v>
      </c>
      <c r="CX14" s="8">
        <f t="shared" si="92"/>
        <v>-0.83420678814384819</v>
      </c>
      <c r="CY14" s="8">
        <f t="shared" si="93"/>
        <v>-0.87589268936519715</v>
      </c>
    </row>
    <row r="15" spans="2:103" outlineLevel="2" x14ac:dyDescent="0.85">
      <c r="B15" s="1" t="s">
        <v>91</v>
      </c>
      <c r="C15" s="1" t="s">
        <v>28</v>
      </c>
      <c r="D15" s="2">
        <v>30001</v>
      </c>
      <c r="E15" s="1" t="s">
        <v>30</v>
      </c>
      <c r="F15" s="2" t="s">
        <v>15</v>
      </c>
      <c r="G15" s="1" t="s">
        <v>64</v>
      </c>
      <c r="I15" s="3">
        <f>SUMIFS('P&amp;L Data'!$N:$N,'P&amp;L Data'!$B:$B,$D15,'P&amp;L Data'!$C:$C,$I$4)</f>
        <v>24579.436089999999</v>
      </c>
      <c r="J15" s="3">
        <f>SUMIFS('P&amp;L Data'!$P:$P,'P&amp;L Data'!$B:$B,$D15,'P&amp;L Data'!$C:$C,$I$4)</f>
        <v>21051.441650000001</v>
      </c>
      <c r="K15" s="3">
        <f>SUMIFS('P&amp;L Data'!$T:$T,'P&amp;L Data'!$B:$B,$D15,'P&amp;L Data'!$C:$C,$I$4)</f>
        <v>21915.01081</v>
      </c>
      <c r="L15" s="3">
        <f t="shared" si="48"/>
        <v>3527.9944399999986</v>
      </c>
      <c r="M15" s="3">
        <f t="shared" si="49"/>
        <v>2664.4252799999995</v>
      </c>
      <c r="N15" s="8">
        <f t="shared" si="50"/>
        <v>0.16758920831438631</v>
      </c>
      <c r="O15" s="8">
        <f t="shared" si="51"/>
        <v>0.12157992086338375</v>
      </c>
      <c r="P15" s="24"/>
      <c r="Q15" s="3">
        <f>SUMIFS('P&amp;L Data'!$N:$N,'P&amp;L Data'!$B:$B,$D15,'P&amp;L Data'!$C:$C,$Q$4)</f>
        <v>-682.91545000000031</v>
      </c>
      <c r="R15" s="3">
        <f>SUMIFS('P&amp;L Data'!$P:$P,'P&amp;L Data'!$B:$B,$D15,'P&amp;L Data'!$C:$C,$Q$4)</f>
        <v>424.78106999999903</v>
      </c>
      <c r="S15" s="3">
        <f>SUMIFS('P&amp;L Data'!$T:$T,'P&amp;L Data'!$B:$B,$D15,'P&amp;L Data'!$C:$C,$Q$4)</f>
        <v>172.64294485288605</v>
      </c>
      <c r="T15" s="3">
        <f t="shared" si="52"/>
        <v>-1107.6965199999993</v>
      </c>
      <c r="U15" s="3">
        <f t="shared" si="53"/>
        <v>-855.55839485288629</v>
      </c>
      <c r="V15" s="8">
        <f t="shared" si="54"/>
        <v>-2.6076880497523156</v>
      </c>
      <c r="W15" s="8">
        <f t="shared" si="55"/>
        <v>-4.9556522311521727</v>
      </c>
      <c r="X15" s="24"/>
      <c r="Y15" s="3">
        <f>SUMIFS('P&amp;L Data'!$N:$N,'P&amp;L Data'!$B:$B,$D15,'P&amp;L Data'!$C:$C,$Y$4)</f>
        <v>4328.5222399999993</v>
      </c>
      <c r="Z15" s="3">
        <f>SUMIFS('P&amp;L Data'!$P:$P,'P&amp;L Data'!$B:$B,$D15,'P&amp;L Data'!$C:$C,$Y$4)</f>
        <v>4502.6572300000053</v>
      </c>
      <c r="AA15" s="3">
        <f>SUMIFS('P&amp;L Data'!$T:$T,'P&amp;L Data'!$B:$B,$D15,'P&amp;L Data'!$C:$C,$Y$4)</f>
        <v>4134.3655348528855</v>
      </c>
      <c r="AB15" s="3">
        <f t="shared" si="56"/>
        <v>-174.13499000000593</v>
      </c>
      <c r="AC15" s="3">
        <f t="shared" si="57"/>
        <v>194.15670514711383</v>
      </c>
      <c r="AD15" s="8">
        <f t="shared" si="58"/>
        <v>-3.8673827721060108E-2</v>
      </c>
      <c r="AE15" s="8">
        <f t="shared" si="59"/>
        <v>4.6961668848669563E-2</v>
      </c>
      <c r="AF15" s="24"/>
      <c r="AG15" s="3">
        <f>SUMIFS('P&amp;L Data'!$N:$N,'P&amp;L Data'!$B:$B,$D15,'P&amp;L Data'!$C:$C,$AG$4)</f>
        <v>-114.11238</v>
      </c>
      <c r="AH15" s="3">
        <f>SUMIFS('P&amp;L Data'!$P:$P,'P&amp;L Data'!$B:$B,$D15,'P&amp;L Data'!$C:$C,$AG$4)</f>
        <v>-133.42293999999998</v>
      </c>
      <c r="AI15" s="3">
        <f>SUMIFS('P&amp;L Data'!$T:$T,'P&amp;L Data'!$B:$B,$D15,'P&amp;L Data'!$C:$C,$AG$4)</f>
        <v>-144.53654</v>
      </c>
      <c r="AJ15" s="3">
        <f t="shared" si="60"/>
        <v>19.310559999999981</v>
      </c>
      <c r="AK15" s="3">
        <f t="shared" si="61"/>
        <v>30.424160000000001</v>
      </c>
      <c r="AL15" s="8">
        <f t="shared" si="62"/>
        <v>0.14473193290449141</v>
      </c>
      <c r="AM15" s="8">
        <f t="shared" si="63"/>
        <v>0.21049459188659145</v>
      </c>
      <c r="AN15" s="24"/>
      <c r="AO15" s="3">
        <f>SUMIFS('P&amp;L Data'!$N:$N,'P&amp;L Data'!$B:$B,$D15,'P&amp;L Data'!$C:$C,$AO$4)</f>
        <v>-368.66323</v>
      </c>
      <c r="AP15" s="3">
        <f>SUMIFS('P&amp;L Data'!$P:$P,'P&amp;L Data'!$B:$B,$D15,'P&amp;L Data'!$C:$C,$AO$4)</f>
        <v>-380.3431599999999</v>
      </c>
      <c r="AQ15" s="3">
        <f>SUMIFS('P&amp;L Data'!$T:$T,'P&amp;L Data'!$B:$B,$D15,'P&amp;L Data'!$C:$C,$AO$4)</f>
        <v>-334.17027999999999</v>
      </c>
      <c r="AR15" s="3">
        <f t="shared" si="64"/>
        <v>11.679929999999899</v>
      </c>
      <c r="AS15" s="3">
        <f t="shared" si="65"/>
        <v>-34.492950000000008</v>
      </c>
      <c r="AT15" s="8">
        <f t="shared" si="66"/>
        <v>3.0708926118192589E-2</v>
      </c>
      <c r="AU15" s="8">
        <f t="shared" si="67"/>
        <v>-0.10321968189391351</v>
      </c>
      <c r="AW15" s="3">
        <f>SUMIFS('P&amp;L Data'!$N:$N,'P&amp;L Data'!$B:$B,$D15,'P&amp;L Data'!$C:$C,$AW$4)</f>
        <v>3845.7466299999992</v>
      </c>
      <c r="AX15" s="3">
        <f>SUMIFS('P&amp;L Data'!$P:$P,'P&amp;L Data'!$B:$B,$D15,'P&amp;L Data'!$C:$C,$AW$4)</f>
        <v>3988.8911300000045</v>
      </c>
      <c r="AY15" s="3">
        <f>SUMIFS('P&amp;L Data'!$T:$T,'P&amp;L Data'!$B:$B,$D15,'P&amp;L Data'!$C:$C,$AW$4)</f>
        <v>3655.6587148528852</v>
      </c>
      <c r="AZ15" s="3">
        <f t="shared" si="68"/>
        <v>-143.14450000000534</v>
      </c>
      <c r="BA15" s="3">
        <f t="shared" si="69"/>
        <v>190.08791514711402</v>
      </c>
      <c r="BB15" s="8">
        <f t="shared" si="70"/>
        <v>-3.5885787637429244E-2</v>
      </c>
      <c r="BC15" s="8">
        <f t="shared" si="71"/>
        <v>5.199826624263084E-2</v>
      </c>
      <c r="BE15" s="3">
        <f>SUMIFS('P&amp;L Data'!$N:$N,'P&amp;L Data'!$B:$B,$D15,'P&amp;L Data'!$C:$C,$BE$4)</f>
        <v>-1663.3596200000006</v>
      </c>
      <c r="BF15" s="3">
        <f>SUMIFS('P&amp;L Data'!$P:$P,'P&amp;L Data'!$B:$B,$D15,'P&amp;L Data'!$C:$C,$BE$4)</f>
        <v>-1512.2224799999999</v>
      </c>
      <c r="BG15" s="3">
        <f>SUMIFS('P&amp;L Data'!$T:$T,'P&amp;L Data'!$B:$B,$D15,'P&amp;L Data'!$C:$C,$BE$4)</f>
        <v>-1601.4967599999998</v>
      </c>
      <c r="BH15" s="3">
        <f t="shared" si="72"/>
        <v>-151.13714000000073</v>
      </c>
      <c r="BI15" s="3">
        <f t="shared" si="73"/>
        <v>-61.862860000000865</v>
      </c>
      <c r="BJ15" s="8">
        <f t="shared" si="74"/>
        <v>-9.9943719921423688E-2</v>
      </c>
      <c r="BK15" s="8">
        <f t="shared" si="75"/>
        <v>-3.8628151829667688E-2</v>
      </c>
      <c r="BM15" s="3">
        <f>SUMIFS('P&amp;L Data'!$N:$N,'P&amp;L Data'!$B:$B,$D15,'P&amp;L Data'!$C:$C,$BM$4)</f>
        <v>-811.59695999999985</v>
      </c>
      <c r="BN15" s="3">
        <f>SUMIFS('P&amp;L Data'!$P:$P,'P&amp;L Data'!$B:$B,$D15,'P&amp;L Data'!$C:$C,$BM$4)</f>
        <v>-779.42964000000006</v>
      </c>
      <c r="BO15" s="3">
        <f>SUMIFS('P&amp;L Data'!$T:$T,'P&amp;L Data'!$B:$B,$D15,'P&amp;L Data'!$C:$C,$BM$4)</f>
        <v>-809.01015999999993</v>
      </c>
      <c r="BP15" s="3">
        <f t="shared" si="76"/>
        <v>-32.167319999999791</v>
      </c>
      <c r="BQ15" s="3">
        <f t="shared" si="77"/>
        <v>-2.5867999999999256</v>
      </c>
      <c r="BR15" s="8">
        <f t="shared" si="78"/>
        <v>-4.1270331982755731E-2</v>
      </c>
      <c r="BS15" s="8">
        <f t="shared" si="79"/>
        <v>-3.1974876557791633E-3</v>
      </c>
      <c r="BU15" s="3">
        <f>SUMIFS('P&amp;L Data'!$N:$N,'P&amp;L Data'!$B:$B,$D15,'P&amp;L Data'!$C:$C,$BU$4)</f>
        <v>-1334.5253499999999</v>
      </c>
      <c r="BV15" s="3">
        <f>SUMIFS('P&amp;L Data'!$P:$P,'P&amp;L Data'!$B:$B,$D15,'P&amp;L Data'!$C:$C,$BU$4)</f>
        <v>-1142.81702</v>
      </c>
      <c r="BW15" s="3">
        <f>SUMIFS('P&amp;L Data'!$T:$T,'P&amp;L Data'!$B:$B,$D15,'P&amp;L Data'!$C:$C,$BU$4)</f>
        <v>-1137.5849599999999</v>
      </c>
      <c r="BX15" s="3">
        <f t="shared" si="80"/>
        <v>-191.70832999999993</v>
      </c>
      <c r="BY15" s="3">
        <f t="shared" si="81"/>
        <v>-196.94038999999998</v>
      </c>
      <c r="BZ15" s="8">
        <f t="shared" si="82"/>
        <v>-0.16775067805692984</v>
      </c>
      <c r="CA15" s="8">
        <f t="shared" si="83"/>
        <v>-0.17312147832896807</v>
      </c>
      <c r="CC15" s="3">
        <f>SUMIFS('P&amp;L Data'!$N:$N,'P&amp;L Data'!$B:$B,$D15,'P&amp;L Data'!$C:$C,$CC$4)</f>
        <v>36.264699999998811</v>
      </c>
      <c r="CD15" s="3">
        <f>SUMIFS('P&amp;L Data'!$P:$P,'P&amp;L Data'!$B:$B,$D15,'P&amp;L Data'!$C:$C,$CC$4)</f>
        <v>554.42199000000483</v>
      </c>
      <c r="CE15" s="3">
        <f>SUMIFS('P&amp;L Data'!$T:$T,'P&amp;L Data'!$B:$B,$D15,'P&amp;L Data'!$C:$C,$CC$4)</f>
        <v>107.56683485288522</v>
      </c>
      <c r="CF15" s="3">
        <f t="shared" si="84"/>
        <v>-518.15729000000601</v>
      </c>
      <c r="CG15" s="3">
        <f t="shared" si="85"/>
        <v>-71.302134852886411</v>
      </c>
      <c r="CH15" s="8">
        <f t="shared" si="86"/>
        <v>-0.93459007641454028</v>
      </c>
      <c r="CI15" s="8">
        <f t="shared" si="87"/>
        <v>-0.66286355780946271</v>
      </c>
      <c r="CK15" s="3">
        <f>SUMIFS('P&amp;L Data'!$N:$N,'P&amp;L Data'!$B:$B,$D15,'P&amp;L Data'!$C:$C,$CK$4)</f>
        <v>-11.085430000000002</v>
      </c>
      <c r="CL15" s="3">
        <f>SUMIFS('P&amp;L Data'!$P:$P,'P&amp;L Data'!$B:$B,$D15,'P&amp;L Data'!$C:$C,$CK$4)</f>
        <v>-152.68445000000003</v>
      </c>
      <c r="CM15" s="3">
        <f>SUMIFS('P&amp;L Data'!$T:$T,'P&amp;L Data'!$B:$B,$D15,'P&amp;L Data'!$C:$C,$CK$4)</f>
        <v>-101.86591999999999</v>
      </c>
      <c r="CN15" s="3">
        <f t="shared" si="88"/>
        <v>141.59902000000002</v>
      </c>
      <c r="CO15" s="3">
        <f t="shared" si="89"/>
        <v>90.780489999999986</v>
      </c>
      <c r="CP15" s="8">
        <f t="shared" si="90"/>
        <v>0.92739647030198558</v>
      </c>
      <c r="CQ15" s="8">
        <f t="shared" si="91"/>
        <v>0.89117626385743143</v>
      </c>
      <c r="CS15" s="3">
        <f>SUMIFS('P&amp;L Data'!$N:$N,'P&amp;L Data'!$B:$B,$D15,'P&amp;L Data'!$C:$C,$CS$4)</f>
        <v>25.179269999998809</v>
      </c>
      <c r="CT15" s="3">
        <f>SUMIFS('P&amp;L Data'!$P:$P,'P&amp;L Data'!$B:$B,$D15,'P&amp;L Data'!$C:$C,$CS$4)</f>
        <v>401.7375400000048</v>
      </c>
      <c r="CU15" s="3">
        <f>SUMIFS('P&amp;L Data'!$T:$T,'P&amp;L Data'!$B:$B,$D15,'P&amp;L Data'!$C:$C,$CS$4)</f>
        <v>5.7009148528852336</v>
      </c>
      <c r="CV15" s="3">
        <f t="shared" si="98"/>
        <v>-376.55827000000602</v>
      </c>
      <c r="CW15" s="3">
        <f t="shared" si="99"/>
        <v>19.478355147113575</v>
      </c>
      <c r="CX15" s="8">
        <f t="shared" si="92"/>
        <v>-0.93732407979598198</v>
      </c>
      <c r="CY15" s="8">
        <f t="shared" si="93"/>
        <v>3.416706905779443</v>
      </c>
    </row>
    <row r="16" spans="2:103" outlineLevel="1" x14ac:dyDescent="0.85">
      <c r="B16" s="25" t="s">
        <v>91</v>
      </c>
      <c r="C16" s="25" t="s">
        <v>31</v>
      </c>
      <c r="D16" s="26"/>
      <c r="E16" s="26"/>
      <c r="F16" s="26"/>
      <c r="G16" s="25"/>
      <c r="H16" s="16"/>
      <c r="I16" s="27">
        <f>SUBTOTAL(9,I14:I15)</f>
        <v>44746.054579999996</v>
      </c>
      <c r="J16" s="27">
        <f>SUBTOTAL(9,J14:J15)</f>
        <v>41660.216899999999</v>
      </c>
      <c r="K16" s="27">
        <f>SUBTOTAL(9,K14:K15)</f>
        <v>42713.28224</v>
      </c>
      <c r="L16" s="27">
        <f t="shared" ref="L16:L30" si="100">I16-J16</f>
        <v>3085.8376799999969</v>
      </c>
      <c r="M16" s="27">
        <f t="shared" ref="M16:M30" si="101">I16-K16</f>
        <v>2032.7723399999959</v>
      </c>
      <c r="N16" s="28">
        <f t="shared" ref="N16:N30" si="102">IFERROR((I16-J16)/ABS(J16),0)</f>
        <v>7.4071570184263663E-2</v>
      </c>
      <c r="O16" s="28">
        <f t="shared" ref="O16:O30" si="103">IFERROR((I16-K16)/ABS(K16),0)</f>
        <v>4.7591105936980689E-2</v>
      </c>
      <c r="P16" s="29"/>
      <c r="Q16" s="27">
        <f>SUBTOTAL(9,Q14:Q15)</f>
        <v>-540.4556200000028</v>
      </c>
      <c r="R16" s="27">
        <f>SUBTOTAL(9,R14:R15)</f>
        <v>1213.0472199999999</v>
      </c>
      <c r="S16" s="27">
        <f>SUBTOTAL(9,S14:S15)</f>
        <v>1192.1408509313203</v>
      </c>
      <c r="T16" s="27">
        <f t="shared" ref="T16:T31" si="104">Q16-R16</f>
        <v>-1753.5028400000028</v>
      </c>
      <c r="U16" s="27">
        <f t="shared" ref="U16:U31" si="105">Q16-S16</f>
        <v>-1732.596470931323</v>
      </c>
      <c r="V16" s="28">
        <f t="shared" ref="V16:V31" si="106">IFERROR((Q16-R16)/ABS(R16),0)</f>
        <v>-1.4455355167460036</v>
      </c>
      <c r="W16" s="28">
        <f t="shared" ref="W16:W31" si="107">IFERROR((Q16-S16)/ABS(S16),0)</f>
        <v>-1.4533487964763474</v>
      </c>
      <c r="X16" s="29"/>
      <c r="Y16" s="27">
        <f>SUBTOTAL(9,Y14:Y15)</f>
        <v>8483.9989699999969</v>
      </c>
      <c r="Z16" s="27">
        <f>SUBTOTAL(9,Z14:Z15)</f>
        <v>9241.6321500000086</v>
      </c>
      <c r="AA16" s="27">
        <f>SUBTOTAL(9,AA14:AA15)</f>
        <v>8921.2515809313172</v>
      </c>
      <c r="AB16" s="27">
        <f t="shared" ref="AB16:AB31" si="108">Y16-Z16</f>
        <v>-757.63318000001163</v>
      </c>
      <c r="AC16" s="27">
        <f t="shared" ref="AC16:AC31" si="109">Y16-AA16</f>
        <v>-437.25261093132031</v>
      </c>
      <c r="AD16" s="28">
        <f t="shared" ref="AD16:AD31" si="110">IFERROR((Y16-Z16)/ABS(Z16),0)</f>
        <v>-8.1980451905349958E-2</v>
      </c>
      <c r="AE16" s="28">
        <f t="shared" ref="AE16:AE31" si="111">IFERROR((Y16-AA16)/ABS(AA16),0)</f>
        <v>-4.9012473974607285E-2</v>
      </c>
      <c r="AF16" s="29"/>
      <c r="AG16" s="27">
        <f>SUBTOTAL(9,AG14:AG15)</f>
        <v>-178.58659</v>
      </c>
      <c r="AH16" s="27">
        <f>SUBTOTAL(9,AH14:AH15)</f>
        <v>-261.31924000000004</v>
      </c>
      <c r="AI16" s="27">
        <f>SUBTOTAL(9,AI14:AI15)</f>
        <v>-228.31096000000002</v>
      </c>
      <c r="AJ16" s="27">
        <f t="shared" ref="AJ16:AJ31" si="112">AG16-AH16</f>
        <v>82.732650000000035</v>
      </c>
      <c r="AK16" s="27">
        <f t="shared" ref="AK16:AK31" si="113">AG16-AI16</f>
        <v>49.724370000000022</v>
      </c>
      <c r="AL16" s="28">
        <f t="shared" ref="AL16:AL31" si="114">IFERROR((AG16-AH16)/ABS(AH16),0)</f>
        <v>0.31659609143207373</v>
      </c>
      <c r="AM16" s="28">
        <f t="shared" ref="AM16:AM31" si="115">IFERROR((AG16-AI16)/ABS(AI16),0)</f>
        <v>0.21779230396998908</v>
      </c>
      <c r="AN16" s="29"/>
      <c r="AO16" s="27">
        <f>SUBTOTAL(9,AO14:AO15)</f>
        <v>-714.37180000000012</v>
      </c>
      <c r="AP16" s="27">
        <f>SUBTOTAL(9,AP14:AP15)</f>
        <v>-763.66862999999989</v>
      </c>
      <c r="AQ16" s="27">
        <f>SUBTOTAL(9,AQ14:AQ15)</f>
        <v>-681.19380000000001</v>
      </c>
      <c r="AR16" s="27">
        <f t="shared" ref="AR16:AR31" si="116">AO16-AP16</f>
        <v>49.296829999999773</v>
      </c>
      <c r="AS16" s="27">
        <f t="shared" ref="AS16:AS31" si="117">AO16-AQ16</f>
        <v>-33.178000000000111</v>
      </c>
      <c r="AT16" s="28">
        <f t="shared" ref="AT16:AT31" si="118">IFERROR((AO16-AP16)/ABS(AP16),0)</f>
        <v>6.4552645039249262E-2</v>
      </c>
      <c r="AU16" s="28">
        <f t="shared" ref="AU16:AU31" si="119">IFERROR((AO16-AQ16)/ABS(AQ16),0)</f>
        <v>-4.8705669370449511E-2</v>
      </c>
      <c r="AV16" s="17"/>
      <c r="AW16" s="27">
        <f>SUBTOTAL(9,AW14:AW15)</f>
        <v>7591.0405799999953</v>
      </c>
      <c r="AX16" s="27">
        <f>SUBTOTAL(9,AX14:AX15)</f>
        <v>8216.6442800000041</v>
      </c>
      <c r="AY16" s="27">
        <f>SUBTOTAL(9,AY14:AY15)</f>
        <v>8011.7468209313174</v>
      </c>
      <c r="AZ16" s="27">
        <f t="shared" ref="AZ16:AZ31" si="120">AW16-AX16</f>
        <v>-625.60370000000876</v>
      </c>
      <c r="BA16" s="27">
        <f t="shared" ref="BA16:BA31" si="121">AW16-AY16</f>
        <v>-420.7062409313221</v>
      </c>
      <c r="BB16" s="28">
        <f t="shared" ref="BB16:BB31" si="122">IFERROR((AW16-AX16)/ABS(AX16),0)</f>
        <v>-7.6138588781649003E-2</v>
      </c>
      <c r="BC16" s="28">
        <f t="shared" ref="BC16:BC31" si="123">IFERROR((AW16-AY16)/ABS(AY16),0)</f>
        <v>-5.2511175194926783E-2</v>
      </c>
      <c r="BD16" s="17"/>
      <c r="BE16" s="27">
        <f>SUBTOTAL(9,BE14:BE15)</f>
        <v>-3299.0481399999999</v>
      </c>
      <c r="BF16" s="27">
        <f>SUBTOTAL(9,BF14:BF15)</f>
        <v>-2932.6691399999995</v>
      </c>
      <c r="BG16" s="27">
        <f>SUBTOTAL(9,BG14:BG15)</f>
        <v>-3173.9990299999999</v>
      </c>
      <c r="BH16" s="27">
        <f t="shared" ref="BH16:BH31" si="124">BE16-BF16</f>
        <v>-366.37900000000036</v>
      </c>
      <c r="BI16" s="27">
        <f t="shared" ref="BI16:BI31" si="125">BE16-BG16</f>
        <v>-125.04910999999993</v>
      </c>
      <c r="BJ16" s="28">
        <f t="shared" ref="BJ16:BJ31" si="126">IFERROR((BE16-BF16)/ABS(BF16),0)</f>
        <v>-0.12493021971104468</v>
      </c>
      <c r="BK16" s="28">
        <f t="shared" ref="BK16:BK31" si="127">IFERROR((BE16-BG16)/ABS(BG16),0)</f>
        <v>-3.9397967301836236E-2</v>
      </c>
      <c r="BL16" s="17"/>
      <c r="BM16" s="27">
        <f>SUBTOTAL(9,BM14:BM15)</f>
        <v>-1200.4365799999998</v>
      </c>
      <c r="BN16" s="27">
        <f>SUBTOTAL(9,BN14:BN15)</f>
        <v>-1254.94973</v>
      </c>
      <c r="BO16" s="27">
        <f>SUBTOTAL(9,BO14:BO15)</f>
        <v>-1282.4142499999998</v>
      </c>
      <c r="BP16" s="27">
        <f t="shared" ref="BP16:BP31" si="128">BM16-BN16</f>
        <v>54.513150000000223</v>
      </c>
      <c r="BQ16" s="27">
        <f t="shared" ref="BQ16:BQ31" si="129">BM16-BO16</f>
        <v>81.977669999999989</v>
      </c>
      <c r="BR16" s="28">
        <f t="shared" ref="BR16:BR31" si="130">IFERROR((BM16-BN16)/ABS(BN16),0)</f>
        <v>4.343851287174684E-2</v>
      </c>
      <c r="BS16" s="28">
        <f t="shared" ref="BS16:BS31" si="131">IFERROR((BM16-BO16)/ABS(BO16),0)</f>
        <v>6.3924484619536939E-2</v>
      </c>
      <c r="BT16" s="17"/>
      <c r="BU16" s="27">
        <f>SUBTOTAL(9,BU14:BU15)</f>
        <v>-2234.5253499999999</v>
      </c>
      <c r="BV16" s="27">
        <f>SUBTOTAL(9,BV14:BV15)</f>
        <v>-2042.81702</v>
      </c>
      <c r="BW16" s="27">
        <f>SUBTOTAL(9,BW14:BW15)</f>
        <v>-2037.5849599999999</v>
      </c>
      <c r="BX16" s="27">
        <f t="shared" ref="BX16:BX31" si="132">BU16-BV16</f>
        <v>-191.70832999999993</v>
      </c>
      <c r="BY16" s="27">
        <f t="shared" ref="BY16:BY31" si="133">BU16-BW16</f>
        <v>-196.94038999999998</v>
      </c>
      <c r="BZ16" s="28">
        <f t="shared" ref="BZ16:BZ31" si="134">IFERROR((BU16-BV16)/ABS(BV16),0)</f>
        <v>-9.3845081631442423E-2</v>
      </c>
      <c r="CA16" s="28">
        <f t="shared" ref="CA16:CA31" si="135">IFERROR((BU16-BW16)/ABS(BW16),0)</f>
        <v>-9.6653829835885705E-2</v>
      </c>
      <c r="CB16" s="17"/>
      <c r="CC16" s="27">
        <f>SUBTOTAL(9,CC14:CC15)</f>
        <v>857.03050999999596</v>
      </c>
      <c r="CD16" s="27">
        <f>SUBTOTAL(9,CD14:CD15)</f>
        <v>1986.2083900000057</v>
      </c>
      <c r="CE16" s="27">
        <f>SUBTOTAL(9,CE14:CE15)</f>
        <v>1517.7485809313175</v>
      </c>
      <c r="CF16" s="27">
        <f t="shared" ref="CF16:CF31" si="136">CC16-CD16</f>
        <v>-1129.1778800000097</v>
      </c>
      <c r="CG16" s="27">
        <f t="shared" ref="CG16:CG31" si="137">CC16-CE16</f>
        <v>-660.71807093132156</v>
      </c>
      <c r="CH16" s="28">
        <f t="shared" ref="CH16:CH31" si="138">IFERROR((CC16-CD16)/ABS(CD16),0)</f>
        <v>-0.56850926906013444</v>
      </c>
      <c r="CI16" s="28">
        <f t="shared" ref="CI16:CI31" si="139">IFERROR((CC16-CE16)/ABS(CE16),0)</f>
        <v>-0.43532774744937874</v>
      </c>
      <c r="CJ16" s="17"/>
      <c r="CK16" s="27">
        <f>SUBTOTAL(9,CK14:CK15)</f>
        <v>-691.87701000000004</v>
      </c>
      <c r="CL16" s="27">
        <f>SUBTOTAL(9,CL14:CL15)</f>
        <v>-740.2008800000001</v>
      </c>
      <c r="CM16" s="27">
        <f>SUBTOTAL(9,CM14:CM15)</f>
        <v>-384.19928000000004</v>
      </c>
      <c r="CN16" s="27">
        <f t="shared" ref="CN16:CN31" si="140">CK16-CL16</f>
        <v>48.323870000000056</v>
      </c>
      <c r="CO16" s="27">
        <f t="shared" ref="CO16:CO31" si="141">CK16-CM16</f>
        <v>-307.67773</v>
      </c>
      <c r="CP16" s="28">
        <f t="shared" ref="CP16:CP31" si="142">IFERROR((CK16-CL16)/ABS(CL16),0)</f>
        <v>6.5284804849191816E-2</v>
      </c>
      <c r="CQ16" s="28">
        <f t="shared" ref="CQ16:CQ31" si="143">IFERROR((CK16-CM16)/ABS(CM16),0)</f>
        <v>-0.80082849192221273</v>
      </c>
      <c r="CR16" s="17"/>
      <c r="CS16" s="27">
        <f>SUBTOTAL(9,CS14:CS15)</f>
        <v>165.15349999999589</v>
      </c>
      <c r="CT16" s="27">
        <f>SUBTOTAL(9,CT14:CT15)</f>
        <v>1246.0075100000056</v>
      </c>
      <c r="CU16" s="27">
        <f>SUBTOTAL(9,CU14:CU15)</f>
        <v>1133.5493009313175</v>
      </c>
      <c r="CV16" s="27">
        <f>SUBTOTAL(9,CV14:CV15)</f>
        <v>-1080.8540100000096</v>
      </c>
      <c r="CW16" s="27">
        <f>SUBTOTAL(9,CW14:CW15)</f>
        <v>-968.39580093132156</v>
      </c>
      <c r="CX16" s="28">
        <f t="shared" ref="CX16:CX31" si="144">IFERROR((CS16-CT16)/ABS(CT16),0)</f>
        <v>-0.8674538486529707</v>
      </c>
      <c r="CY16" s="28">
        <f t="shared" ref="CY16:CY31" si="145">IFERROR((CS16-CU16)/ABS(CU16),0)</f>
        <v>-0.85430408729085994</v>
      </c>
    </row>
    <row r="17" spans="2:103" x14ac:dyDescent="0.85">
      <c r="B17" s="30" t="s">
        <v>92</v>
      </c>
      <c r="C17" s="30"/>
      <c r="D17" s="31"/>
      <c r="E17" s="31"/>
      <c r="F17" s="31"/>
      <c r="G17" s="30"/>
      <c r="H17" s="16"/>
      <c r="I17" s="32">
        <f>SUBTOTAL(9,I6:I16)</f>
        <v>170116.49146000002</v>
      </c>
      <c r="J17" s="32">
        <f>SUBTOTAL(9,J6:J16)</f>
        <v>164055.49110000001</v>
      </c>
      <c r="K17" s="32">
        <f>SUBTOTAL(9,K6:K16)</f>
        <v>161484.90990999999</v>
      </c>
      <c r="L17" s="32">
        <f t="shared" si="100"/>
        <v>6061.0003600000055</v>
      </c>
      <c r="M17" s="32">
        <f t="shared" si="101"/>
        <v>8631.5815500000317</v>
      </c>
      <c r="N17" s="33">
        <f t="shared" si="102"/>
        <v>3.6944818605952806E-2</v>
      </c>
      <c r="O17" s="33">
        <f t="shared" si="103"/>
        <v>5.3451319722757074E-2</v>
      </c>
      <c r="P17" s="29"/>
      <c r="Q17" s="32">
        <f>SUBTOTAL(9,Q6:Q16)</f>
        <v>7240.0801099999899</v>
      </c>
      <c r="R17" s="32">
        <f>SUBTOTAL(9,R6:R16)</f>
        <v>9427.9144900000047</v>
      </c>
      <c r="S17" s="32">
        <f>SUBTOTAL(9,S6:S16)</f>
        <v>8978.8421060830533</v>
      </c>
      <c r="T17" s="32">
        <f t="shared" si="104"/>
        <v>-2187.8343800000148</v>
      </c>
      <c r="U17" s="32">
        <f t="shared" si="105"/>
        <v>-1738.7619960830634</v>
      </c>
      <c r="V17" s="33">
        <f t="shared" si="106"/>
        <v>-0.23205920909874669</v>
      </c>
      <c r="W17" s="33">
        <f t="shared" si="107"/>
        <v>-0.19365102710794679</v>
      </c>
      <c r="X17" s="29"/>
      <c r="Y17" s="32">
        <f>SUBTOTAL(9,Y6:Y16)</f>
        <v>41294.318339999998</v>
      </c>
      <c r="Z17" s="32">
        <f>SUBTOTAL(9,Z6:Z16)</f>
        <v>41079.439510000011</v>
      </c>
      <c r="AA17" s="32">
        <f>SUBTOTAL(9,AA6:AA16)</f>
        <v>38311.266182520725</v>
      </c>
      <c r="AB17" s="32">
        <f t="shared" si="108"/>
        <v>214.87882999998692</v>
      </c>
      <c r="AC17" s="32">
        <f t="shared" si="109"/>
        <v>2983.0521574792729</v>
      </c>
      <c r="AD17" s="33">
        <f t="shared" si="110"/>
        <v>5.2308121182539193E-3</v>
      </c>
      <c r="AE17" s="33">
        <f t="shared" si="111"/>
        <v>7.7863575254014231E-2</v>
      </c>
      <c r="AF17" s="29"/>
      <c r="AG17" s="32">
        <f>SUBTOTAL(9,AG6:AG16)</f>
        <v>-651.57556999999997</v>
      </c>
      <c r="AH17" s="32">
        <f>SUBTOTAL(9,AH6:AH16)</f>
        <v>-1003.0432299999998</v>
      </c>
      <c r="AI17" s="32">
        <f>SUBTOTAL(9,AI6:AI16)</f>
        <v>-935.56187</v>
      </c>
      <c r="AJ17" s="32">
        <f t="shared" si="112"/>
        <v>351.4676599999998</v>
      </c>
      <c r="AK17" s="32">
        <f t="shared" si="113"/>
        <v>283.98630000000003</v>
      </c>
      <c r="AL17" s="33">
        <f t="shared" si="114"/>
        <v>0.35040130822676496</v>
      </c>
      <c r="AM17" s="33">
        <f t="shared" si="115"/>
        <v>0.30354625290575388</v>
      </c>
      <c r="AN17" s="29"/>
      <c r="AO17" s="32">
        <f>SUBTOTAL(9,AO6:AO16)</f>
        <v>-2803.2503000000002</v>
      </c>
      <c r="AP17" s="32">
        <f>SUBTOTAL(9,AP6:AP16)</f>
        <v>-3034.7314799999999</v>
      </c>
      <c r="AQ17" s="32">
        <f>SUBTOTAL(9,AQ6:AQ16)</f>
        <v>-2536.2530441631657</v>
      </c>
      <c r="AR17" s="32">
        <f t="shared" si="116"/>
        <v>231.48117999999977</v>
      </c>
      <c r="AS17" s="32">
        <f t="shared" si="117"/>
        <v>-266.99725583683448</v>
      </c>
      <c r="AT17" s="33">
        <f t="shared" si="118"/>
        <v>7.6277318611398123E-2</v>
      </c>
      <c r="AU17" s="33">
        <f t="shared" si="119"/>
        <v>-0.10527232542955113</v>
      </c>
      <c r="AV17" s="17"/>
      <c r="AW17" s="32">
        <f>SUBTOTAL(9,AW6:AW16)</f>
        <v>37839.492469999997</v>
      </c>
      <c r="AX17" s="32">
        <f>SUBTOTAL(9,AX6:AX16)</f>
        <v>37041.664800000013</v>
      </c>
      <c r="AY17" s="32">
        <f>SUBTOTAL(9,AY6:AY16)</f>
        <v>34839.451268357559</v>
      </c>
      <c r="AZ17" s="32">
        <f t="shared" si="120"/>
        <v>797.82766999998421</v>
      </c>
      <c r="BA17" s="32">
        <f t="shared" si="121"/>
        <v>3000.041201642438</v>
      </c>
      <c r="BB17" s="33">
        <f t="shared" si="122"/>
        <v>2.1538655843567376E-2</v>
      </c>
      <c r="BC17" s="33">
        <f t="shared" si="123"/>
        <v>8.6110460768570804E-2</v>
      </c>
      <c r="BD17" s="17"/>
      <c r="BE17" s="32">
        <f>SUBTOTAL(9,BE6:BE16)</f>
        <v>-12574.453099999999</v>
      </c>
      <c r="BF17" s="32">
        <f>SUBTOTAL(9,BF6:BF16)</f>
        <v>-12098.01893</v>
      </c>
      <c r="BG17" s="32">
        <f>SUBTOTAL(9,BG6:BG16)</f>
        <v>-12277.017989999998</v>
      </c>
      <c r="BH17" s="32">
        <f t="shared" si="124"/>
        <v>-476.43416999999863</v>
      </c>
      <c r="BI17" s="32">
        <f t="shared" si="125"/>
        <v>-297.43511000000035</v>
      </c>
      <c r="BJ17" s="33">
        <f t="shared" si="126"/>
        <v>-3.9381172467713985E-2</v>
      </c>
      <c r="BK17" s="33">
        <f t="shared" si="127"/>
        <v>-2.4226983314862796E-2</v>
      </c>
      <c r="BL17" s="17"/>
      <c r="BM17" s="32">
        <f>SUBTOTAL(9,BM6:BM16)</f>
        <v>-4671.4193699999996</v>
      </c>
      <c r="BN17" s="32">
        <f>SUBTOTAL(9,BN6:BN16)</f>
        <v>-4893.5995600000006</v>
      </c>
      <c r="BO17" s="32">
        <f>SUBTOTAL(9,BO6:BO16)</f>
        <v>-5074.1049499999999</v>
      </c>
      <c r="BP17" s="32">
        <f t="shared" si="128"/>
        <v>222.18019000000095</v>
      </c>
      <c r="BQ17" s="32">
        <f t="shared" si="129"/>
        <v>402.6855800000003</v>
      </c>
      <c r="BR17" s="33">
        <f t="shared" si="130"/>
        <v>4.540220082903574E-2</v>
      </c>
      <c r="BS17" s="33">
        <f t="shared" si="131"/>
        <v>7.9360908764805962E-2</v>
      </c>
      <c r="BT17" s="17"/>
      <c r="BU17" s="32">
        <f>SUBTOTAL(9,BU6:BU16)</f>
        <v>-8490.5138399999996</v>
      </c>
      <c r="BV17" s="32">
        <f>SUBTOTAL(9,BV6:BV16)</f>
        <v>-7871.20082</v>
      </c>
      <c r="BW17" s="32">
        <f>SUBTOTAL(9,BW6:BW16)</f>
        <v>-8256.8976199999997</v>
      </c>
      <c r="BX17" s="32">
        <f t="shared" si="132"/>
        <v>-619.3130199999996</v>
      </c>
      <c r="BY17" s="32">
        <f t="shared" si="133"/>
        <v>-233.61621999999988</v>
      </c>
      <c r="BZ17" s="33">
        <f t="shared" si="134"/>
        <v>-7.868088162944363E-2</v>
      </c>
      <c r="CA17" s="33">
        <f t="shared" si="135"/>
        <v>-2.8293462115132766E-2</v>
      </c>
      <c r="CB17" s="17"/>
      <c r="CC17" s="32">
        <f>SUBTOTAL(9,CC6:CC16)</f>
        <v>12103.106159999999</v>
      </c>
      <c r="CD17" s="32">
        <f>SUBTOTAL(9,CD6:CD16)</f>
        <v>12178.845490000012</v>
      </c>
      <c r="CE17" s="32">
        <f>SUBTOTAL(9,CE6:CE16)</f>
        <v>9231.4307083575586</v>
      </c>
      <c r="CF17" s="32">
        <f t="shared" si="136"/>
        <v>-75.739330000013069</v>
      </c>
      <c r="CG17" s="32">
        <f t="shared" si="137"/>
        <v>2871.6754516424407</v>
      </c>
      <c r="CH17" s="33">
        <f t="shared" si="138"/>
        <v>-6.2189252718742715E-3</v>
      </c>
      <c r="CI17" s="33">
        <f t="shared" si="139"/>
        <v>0.3110758822077932</v>
      </c>
      <c r="CJ17" s="17"/>
      <c r="CK17" s="32">
        <f>SUBTOTAL(9,CK6:CK16)</f>
        <v>-4534.6968099999995</v>
      </c>
      <c r="CL17" s="32">
        <f>SUBTOTAL(9,CL6:CL16)</f>
        <v>-3938.4147400000002</v>
      </c>
      <c r="CM17" s="32">
        <f>SUBTOTAL(9,CM6:CM16)</f>
        <v>-3442.1742600000002</v>
      </c>
      <c r="CN17" s="32">
        <f t="shared" si="140"/>
        <v>-596.28206999999929</v>
      </c>
      <c r="CO17" s="32">
        <f t="shared" si="141"/>
        <v>-1092.5225499999992</v>
      </c>
      <c r="CP17" s="33">
        <f t="shared" si="142"/>
        <v>-0.15140154335294795</v>
      </c>
      <c r="CQ17" s="33">
        <f t="shared" si="143"/>
        <v>-0.3173931554528559</v>
      </c>
      <c r="CR17" s="17"/>
      <c r="CS17" s="32">
        <f>SUBTOTAL(9,CS6:CS16)</f>
        <v>7568.4093500000008</v>
      </c>
      <c r="CT17" s="32">
        <f>SUBTOTAL(9,CT6:CT16)</f>
        <v>8240.4307500000123</v>
      </c>
      <c r="CU17" s="32">
        <f>SUBTOTAL(9,CU6:CU16)</f>
        <v>5789.2564483575588</v>
      </c>
      <c r="CV17" s="32">
        <f>SUBTOTAL(9,CV6:CV16)</f>
        <v>-672.02140000001157</v>
      </c>
      <c r="CW17" s="32">
        <f>SUBTOTAL(9,CW6:CW16)</f>
        <v>1779.152901642442</v>
      </c>
      <c r="CX17" s="33">
        <f t="shared" si="144"/>
        <v>-8.1551731989254375E-2</v>
      </c>
      <c r="CY17" s="33">
        <f t="shared" si="145"/>
        <v>0.3073197598885426</v>
      </c>
    </row>
    <row r="18" spans="2:103" outlineLevel="2" x14ac:dyDescent="0.85">
      <c r="B18" s="1" t="s">
        <v>93</v>
      </c>
      <c r="C18" s="1" t="s">
        <v>68</v>
      </c>
      <c r="D18" s="2">
        <v>402</v>
      </c>
      <c r="E18" s="1" t="s">
        <v>24</v>
      </c>
      <c r="F18" s="2" t="s">
        <v>13</v>
      </c>
      <c r="G18" s="1" t="s">
        <v>64</v>
      </c>
      <c r="I18" s="3">
        <f>SUMIFS('P&amp;L Data'!$N:$N,'P&amp;L Data'!$B:$B,$D18,'P&amp;L Data'!$C:$C,$I$4)</f>
        <v>20081.158530000001</v>
      </c>
      <c r="J18" s="3">
        <f>SUMIFS('P&amp;L Data'!$P:$P,'P&amp;L Data'!$B:$B,$D18,'P&amp;L Data'!$C:$C,$I$4)</f>
        <v>20121.194609999995</v>
      </c>
      <c r="K18" s="3">
        <f>SUMIFS('P&amp;L Data'!$T:$T,'P&amp;L Data'!$B:$B,$D18,'P&amp;L Data'!$C:$C,$I$4)</f>
        <v>19160.678969999997</v>
      </c>
      <c r="L18" s="3">
        <f t="shared" si="100"/>
        <v>-40.036079999994399</v>
      </c>
      <c r="M18" s="3">
        <f t="shared" si="101"/>
        <v>920.4795600000034</v>
      </c>
      <c r="N18" s="8">
        <f t="shared" si="102"/>
        <v>-1.9897466714077178E-3</v>
      </c>
      <c r="O18" s="8">
        <f t="shared" si="103"/>
        <v>4.8040028301773875E-2</v>
      </c>
      <c r="P18" s="24"/>
      <c r="Q18" s="3">
        <f>SUMIFS('P&amp;L Data'!$N:$N,'P&amp;L Data'!$B:$B,$D18,'P&amp;L Data'!$C:$C,$Q$4)</f>
        <v>1480.2832299999998</v>
      </c>
      <c r="R18" s="3">
        <f>SUMIFS('P&amp;L Data'!$P:$P,'P&amp;L Data'!$B:$B,$D18,'P&amp;L Data'!$C:$C,$Q$4)</f>
        <v>1465.0470300000015</v>
      </c>
      <c r="S18" s="3">
        <f>SUMIFS('P&amp;L Data'!$T:$T,'P&amp;L Data'!$B:$B,$D18,'P&amp;L Data'!$C:$C,$Q$4)</f>
        <v>1988.2945246544484</v>
      </c>
      <c r="T18" s="3">
        <f t="shared" si="104"/>
        <v>15.236199999998234</v>
      </c>
      <c r="U18" s="3">
        <f t="shared" si="105"/>
        <v>-508.01129465444865</v>
      </c>
      <c r="V18" s="8">
        <f t="shared" si="106"/>
        <v>1.0399802660258776E-2</v>
      </c>
      <c r="W18" s="8">
        <f t="shared" si="107"/>
        <v>-0.25550102781816864</v>
      </c>
      <c r="X18" s="24"/>
      <c r="Y18" s="3">
        <f>SUMIFS('P&amp;L Data'!$N:$N,'P&amp;L Data'!$B:$B,$D18,'P&amp;L Data'!$C:$C,$Y$4)</f>
        <v>5532.2874500000016</v>
      </c>
      <c r="Z18" s="3">
        <f>SUMIFS('P&amp;L Data'!$P:$P,'P&amp;L Data'!$B:$B,$D18,'P&amp;L Data'!$C:$C,$Y$4)</f>
        <v>5342.3604800000039</v>
      </c>
      <c r="AA18" s="3">
        <f>SUMIFS('P&amp;L Data'!$T:$T,'P&amp;L Data'!$B:$B,$D18,'P&amp;L Data'!$C:$C,$Y$4)</f>
        <v>5488.6640546544459</v>
      </c>
      <c r="AB18" s="3">
        <f t="shared" si="108"/>
        <v>189.92696999999771</v>
      </c>
      <c r="AC18" s="3">
        <f t="shared" si="109"/>
        <v>43.623395345555764</v>
      </c>
      <c r="AD18" s="8">
        <f t="shared" si="110"/>
        <v>3.5551133382148256E-2</v>
      </c>
      <c r="AE18" s="8">
        <f t="shared" si="111"/>
        <v>7.9479077078078147E-3</v>
      </c>
      <c r="AF18" s="24"/>
      <c r="AG18" s="3">
        <f>SUMIFS('P&amp;L Data'!$N:$N,'P&amp;L Data'!$B:$B,$D18,'P&amp;L Data'!$C:$C,$AG$4)</f>
        <v>-64.262160000000009</v>
      </c>
      <c r="AH18" s="3">
        <f>SUMIFS('P&amp;L Data'!$P:$P,'P&amp;L Data'!$B:$B,$D18,'P&amp;L Data'!$C:$C,$AG$4)</f>
        <v>-128.92507000000001</v>
      </c>
      <c r="AI18" s="3">
        <f>SUMIFS('P&amp;L Data'!$T:$T,'P&amp;L Data'!$B:$B,$D18,'P&amp;L Data'!$C:$C,$AG$4)</f>
        <v>-148.92064999999997</v>
      </c>
      <c r="AJ18" s="3">
        <f t="shared" si="112"/>
        <v>64.662909999999997</v>
      </c>
      <c r="AK18" s="3">
        <f t="shared" si="113"/>
        <v>84.658489999999958</v>
      </c>
      <c r="AL18" s="8">
        <f t="shared" si="114"/>
        <v>0.50155419733338125</v>
      </c>
      <c r="AM18" s="8">
        <f t="shared" si="115"/>
        <v>0.5684805297317731</v>
      </c>
      <c r="AN18" s="24"/>
      <c r="AO18" s="3">
        <f>SUMIFS('P&amp;L Data'!$N:$N,'P&amp;L Data'!$B:$B,$D18,'P&amp;L Data'!$C:$C,$AO$4)</f>
        <v>-370.63342</v>
      </c>
      <c r="AP18" s="3">
        <f>SUMIFS('P&amp;L Data'!$P:$P,'P&amp;L Data'!$B:$B,$D18,'P&amp;L Data'!$C:$C,$AO$4)</f>
        <v>-399.73025999999993</v>
      </c>
      <c r="AQ18" s="3">
        <f>SUMIFS('P&amp;L Data'!$T:$T,'P&amp;L Data'!$B:$B,$D18,'P&amp;L Data'!$C:$C,$AO$4)</f>
        <v>-347.71074999999996</v>
      </c>
      <c r="AR18" s="3">
        <f t="shared" si="116"/>
        <v>29.096839999999929</v>
      </c>
      <c r="AS18" s="3">
        <f t="shared" si="117"/>
        <v>-22.922670000000039</v>
      </c>
      <c r="AT18" s="8">
        <f t="shared" si="118"/>
        <v>7.2791186736775787E-2</v>
      </c>
      <c r="AU18" s="8">
        <f t="shared" si="119"/>
        <v>-6.5924536414246726E-2</v>
      </c>
      <c r="AW18" s="3">
        <f>SUMIFS('P&amp;L Data'!$N:$N,'P&amp;L Data'!$B:$B,$D18,'P&amp;L Data'!$C:$C,$AW$4)</f>
        <v>5097.3918700000022</v>
      </c>
      <c r="AX18" s="3">
        <f>SUMIFS('P&amp;L Data'!$P:$P,'P&amp;L Data'!$B:$B,$D18,'P&amp;L Data'!$C:$C,$AW$4)</f>
        <v>4813.7051500000043</v>
      </c>
      <c r="AY18" s="3">
        <f>SUMIFS('P&amp;L Data'!$T:$T,'P&amp;L Data'!$B:$B,$D18,'P&amp;L Data'!$C:$C,$AW$4)</f>
        <v>4992.0326546544457</v>
      </c>
      <c r="AZ18" s="3">
        <f t="shared" si="120"/>
        <v>283.68671999999788</v>
      </c>
      <c r="BA18" s="3">
        <f t="shared" si="121"/>
        <v>105.35921534555655</v>
      </c>
      <c r="BB18" s="8">
        <f t="shared" si="122"/>
        <v>5.893313178934477E-2</v>
      </c>
      <c r="BC18" s="8">
        <f t="shared" si="123"/>
        <v>2.1105473989101869E-2</v>
      </c>
      <c r="BE18" s="3">
        <f>SUMIFS('P&amp;L Data'!$N:$N,'P&amp;L Data'!$B:$B,$D18,'P&amp;L Data'!$C:$C,$BE$4)</f>
        <v>-1307.7717000000002</v>
      </c>
      <c r="BF18" s="3">
        <f>SUMIFS('P&amp;L Data'!$P:$P,'P&amp;L Data'!$B:$B,$D18,'P&amp;L Data'!$C:$C,$BE$4)</f>
        <v>-1349.1993599999998</v>
      </c>
      <c r="BG18" s="3">
        <f>SUMIFS('P&amp;L Data'!$T:$T,'P&amp;L Data'!$B:$B,$D18,'P&amp;L Data'!$C:$C,$BE$4)</f>
        <v>-1293.7509000000002</v>
      </c>
      <c r="BH18" s="3">
        <f t="shared" si="124"/>
        <v>41.427659999999605</v>
      </c>
      <c r="BI18" s="3">
        <f t="shared" si="125"/>
        <v>-14.020800000000008</v>
      </c>
      <c r="BJ18" s="8">
        <f t="shared" si="126"/>
        <v>3.0705365884549196E-2</v>
      </c>
      <c r="BK18" s="8">
        <f t="shared" si="127"/>
        <v>-1.0837325794324089E-2</v>
      </c>
      <c r="BM18" s="3">
        <f>SUMIFS('P&amp;L Data'!$N:$N,'P&amp;L Data'!$B:$B,$D18,'P&amp;L Data'!$C:$C,$BM$4)</f>
        <v>-570.40420000000006</v>
      </c>
      <c r="BN18" s="3">
        <f>SUMIFS('P&amp;L Data'!$P:$P,'P&amp;L Data'!$B:$B,$D18,'P&amp;L Data'!$C:$C,$BM$4)</f>
        <v>-570.27540999999997</v>
      </c>
      <c r="BO18" s="3">
        <f>SUMIFS('P&amp;L Data'!$T:$T,'P&amp;L Data'!$B:$B,$D18,'P&amp;L Data'!$C:$C,$BM$4)</f>
        <v>-480.30593000000005</v>
      </c>
      <c r="BP18" s="3">
        <f t="shared" si="128"/>
        <v>-0.12879000000009455</v>
      </c>
      <c r="BQ18" s="3">
        <f t="shared" si="129"/>
        <v>-90.098270000000014</v>
      </c>
      <c r="BR18" s="8">
        <f t="shared" si="130"/>
        <v>-2.2583824892624172E-4</v>
      </c>
      <c r="BS18" s="8">
        <f t="shared" si="131"/>
        <v>-0.18758517097634003</v>
      </c>
      <c r="BU18" s="3">
        <f>SUMIFS('P&amp;L Data'!$N:$N,'P&amp;L Data'!$B:$B,$D18,'P&amp;L Data'!$C:$C,$BU$4)</f>
        <v>-507.82747000000001</v>
      </c>
      <c r="BV18" s="3">
        <f>SUMIFS('P&amp;L Data'!$P:$P,'P&amp;L Data'!$B:$B,$D18,'P&amp;L Data'!$C:$C,$BU$4)</f>
        <v>-505.16466000000003</v>
      </c>
      <c r="BW18" s="3">
        <f>SUMIFS('P&amp;L Data'!$T:$T,'P&amp;L Data'!$B:$B,$D18,'P&amp;L Data'!$C:$C,$BU$4)</f>
        <v>-480.60654999999997</v>
      </c>
      <c r="BX18" s="3">
        <f t="shared" si="132"/>
        <v>-2.662809999999979</v>
      </c>
      <c r="BY18" s="3">
        <f t="shared" si="133"/>
        <v>-27.220920000000035</v>
      </c>
      <c r="BZ18" s="8">
        <f t="shared" si="134"/>
        <v>-5.271172373776065E-3</v>
      </c>
      <c r="CA18" s="8">
        <f t="shared" si="135"/>
        <v>-5.6638678769567408E-2</v>
      </c>
      <c r="CC18" s="3">
        <f>SUMIFS('P&amp;L Data'!$N:$N,'P&amp;L Data'!$B:$B,$D18,'P&amp;L Data'!$C:$C,$CC$4)</f>
        <v>2711.3885000000018</v>
      </c>
      <c r="CD18" s="3">
        <f>SUMIFS('P&amp;L Data'!$P:$P,'P&amp;L Data'!$B:$B,$D18,'P&amp;L Data'!$C:$C,$CC$4)</f>
        <v>2389.0657200000046</v>
      </c>
      <c r="CE18" s="3">
        <f>SUMIFS('P&amp;L Data'!$T:$T,'P&amp;L Data'!$B:$B,$D18,'P&amp;L Data'!$C:$C,$CC$4)</f>
        <v>2737.3692746544457</v>
      </c>
      <c r="CF18" s="3">
        <f t="shared" si="136"/>
        <v>322.32277999999724</v>
      </c>
      <c r="CG18" s="3">
        <f t="shared" si="137"/>
        <v>-25.980774654443849</v>
      </c>
      <c r="CH18" s="8">
        <f t="shared" si="138"/>
        <v>0.13491582810036579</v>
      </c>
      <c r="CI18" s="8">
        <f t="shared" si="139"/>
        <v>-9.491147173675921E-3</v>
      </c>
      <c r="CK18" s="3">
        <f>SUMIFS('P&amp;L Data'!$N:$N,'P&amp;L Data'!$B:$B,$D18,'P&amp;L Data'!$C:$C,$CK$4)</f>
        <v>-611.54353000000015</v>
      </c>
      <c r="CL18" s="3">
        <f>SUMIFS('P&amp;L Data'!$P:$P,'P&amp;L Data'!$B:$B,$D18,'P&amp;L Data'!$C:$C,$CK$4)</f>
        <v>-586.45099000000005</v>
      </c>
      <c r="CM18" s="3">
        <f>SUMIFS('P&amp;L Data'!$T:$T,'P&amp;L Data'!$B:$B,$D18,'P&amp;L Data'!$C:$C,$CK$4)</f>
        <v>-615.07577000000003</v>
      </c>
      <c r="CN18" s="3">
        <f t="shared" si="140"/>
        <v>-25.092540000000099</v>
      </c>
      <c r="CO18" s="3">
        <f t="shared" si="141"/>
        <v>3.5322399999998879</v>
      </c>
      <c r="CP18" s="8">
        <f t="shared" si="142"/>
        <v>-4.2787104852530129E-2</v>
      </c>
      <c r="CQ18" s="8">
        <f t="shared" si="143"/>
        <v>5.7427721465924233E-3</v>
      </c>
      <c r="CS18" s="3">
        <f>SUMIFS('P&amp;L Data'!$N:$N,'P&amp;L Data'!$B:$B,$D18,'P&amp;L Data'!$C:$C,$CS$4)</f>
        <v>2099.8449700000019</v>
      </c>
      <c r="CT18" s="3">
        <f>SUMIFS('P&amp;L Data'!$P:$P,'P&amp;L Data'!$B:$B,$D18,'P&amp;L Data'!$C:$C,$CS$4)</f>
        <v>1802.6147300000046</v>
      </c>
      <c r="CU18" s="3">
        <f>SUMIFS('P&amp;L Data'!$T:$T,'P&amp;L Data'!$B:$B,$D18,'P&amp;L Data'!$C:$C,$CS$4)</f>
        <v>2122.2935046544458</v>
      </c>
      <c r="CV18" s="3">
        <f t="shared" ref="CV18:CV19" si="146">CS18-CT18</f>
        <v>297.23023999999737</v>
      </c>
      <c r="CW18" s="3">
        <f t="shared" ref="CW18:CW19" si="147">CS18-CU18</f>
        <v>-22.448534654443847</v>
      </c>
      <c r="CX18" s="8">
        <f t="shared" si="144"/>
        <v>0.16488838965606178</v>
      </c>
      <c r="CY18" s="8">
        <f t="shared" si="145"/>
        <v>-1.0577488271632317E-2</v>
      </c>
    </row>
    <row r="19" spans="2:103" outlineLevel="2" x14ac:dyDescent="0.85">
      <c r="B19" s="1" t="s">
        <v>93</v>
      </c>
      <c r="C19" s="1" t="s">
        <v>68</v>
      </c>
      <c r="D19" s="2">
        <v>40013</v>
      </c>
      <c r="E19" s="1" t="s">
        <v>26</v>
      </c>
      <c r="F19" s="2" t="s">
        <v>15</v>
      </c>
      <c r="G19" s="1" t="s">
        <v>64</v>
      </c>
      <c r="I19" s="3">
        <f>SUMIFS('P&amp;L Data'!$N:$N,'P&amp;L Data'!$B:$B,$D19,'P&amp;L Data'!$C:$C,$I$4)</f>
        <v>18220.989509999996</v>
      </c>
      <c r="J19" s="3">
        <f>SUMIFS('P&amp;L Data'!$P:$P,'P&amp;L Data'!$B:$B,$D19,'P&amp;L Data'!$C:$C,$I$4)</f>
        <v>16816.752280000001</v>
      </c>
      <c r="K19" s="3">
        <f>SUMIFS('P&amp;L Data'!$T:$T,'P&amp;L Data'!$B:$B,$D19,'P&amp;L Data'!$C:$C,$I$4)</f>
        <v>18592.789460000004</v>
      </c>
      <c r="L19" s="3">
        <f t="shared" si="100"/>
        <v>1404.2372299999952</v>
      </c>
      <c r="M19" s="3">
        <f t="shared" si="101"/>
        <v>-371.79995000000781</v>
      </c>
      <c r="N19" s="8">
        <f t="shared" si="102"/>
        <v>8.3502284306705338E-2</v>
      </c>
      <c r="O19" s="8">
        <f t="shared" si="103"/>
        <v>-1.9996996728214859E-2</v>
      </c>
      <c r="P19" s="24"/>
      <c r="Q19" s="3">
        <f>SUMIFS('P&amp;L Data'!$N:$N,'P&amp;L Data'!$B:$B,$D19,'P&amp;L Data'!$C:$C,$Q$4)</f>
        <v>879.16962999999839</v>
      </c>
      <c r="R19" s="3">
        <f>SUMIFS('P&amp;L Data'!$P:$P,'P&amp;L Data'!$B:$B,$D19,'P&amp;L Data'!$C:$C,$Q$4)</f>
        <v>1013.9987300000007</v>
      </c>
      <c r="S19" s="3">
        <f>SUMIFS('P&amp;L Data'!$T:$T,'P&amp;L Data'!$B:$B,$D19,'P&amp;L Data'!$C:$C,$Q$4)</f>
        <v>1458.310941649034</v>
      </c>
      <c r="T19" s="3">
        <f t="shared" si="104"/>
        <v>-134.82910000000231</v>
      </c>
      <c r="U19" s="3">
        <f t="shared" si="105"/>
        <v>-579.14131164903563</v>
      </c>
      <c r="V19" s="8">
        <f t="shared" si="106"/>
        <v>-0.132967720778114</v>
      </c>
      <c r="W19" s="8">
        <f t="shared" si="107"/>
        <v>-0.39713156852142395</v>
      </c>
      <c r="X19" s="24"/>
      <c r="Y19" s="3">
        <f>SUMIFS('P&amp;L Data'!$N:$N,'P&amp;L Data'!$B:$B,$D19,'P&amp;L Data'!$C:$C,$Y$4)</f>
        <v>4430.5333199999977</v>
      </c>
      <c r="Z19" s="3">
        <f>SUMIFS('P&amp;L Data'!$P:$P,'P&amp;L Data'!$B:$B,$D19,'P&amp;L Data'!$C:$C,$Y$4)</f>
        <v>4240.7309500000019</v>
      </c>
      <c r="AA19" s="3">
        <f>SUMIFS('P&amp;L Data'!$T:$T,'P&amp;L Data'!$B:$B,$D19,'P&amp;L Data'!$C:$C,$Y$4)</f>
        <v>4760.9880598558802</v>
      </c>
      <c r="AB19" s="3">
        <f t="shared" si="108"/>
        <v>189.80236999999579</v>
      </c>
      <c r="AC19" s="3">
        <f t="shared" si="109"/>
        <v>-330.45473985588251</v>
      </c>
      <c r="AD19" s="8">
        <f t="shared" si="110"/>
        <v>4.4756994074334214E-2</v>
      </c>
      <c r="AE19" s="8">
        <f t="shared" si="111"/>
        <v>-6.9408857090451456E-2</v>
      </c>
      <c r="AF19" s="24"/>
      <c r="AG19" s="3">
        <f>SUMIFS('P&amp;L Data'!$N:$N,'P&amp;L Data'!$B:$B,$D19,'P&amp;L Data'!$C:$C,$AG$4)</f>
        <v>-91.41758999999999</v>
      </c>
      <c r="AH19" s="3">
        <f>SUMIFS('P&amp;L Data'!$P:$P,'P&amp;L Data'!$B:$B,$D19,'P&amp;L Data'!$C:$C,$AG$4)</f>
        <v>-107.57256999999998</v>
      </c>
      <c r="AI19" s="3">
        <f>SUMIFS('P&amp;L Data'!$T:$T,'P&amp;L Data'!$B:$B,$D19,'P&amp;L Data'!$C:$C,$AG$4)</f>
        <v>-143.93165999999999</v>
      </c>
      <c r="AJ19" s="3">
        <f t="shared" si="112"/>
        <v>16.154979999999995</v>
      </c>
      <c r="AK19" s="3">
        <f t="shared" si="113"/>
        <v>52.514070000000004</v>
      </c>
      <c r="AL19" s="8">
        <f t="shared" si="114"/>
        <v>0.15017750342861566</v>
      </c>
      <c r="AM19" s="8">
        <f t="shared" si="115"/>
        <v>0.36485419538689406</v>
      </c>
      <c r="AN19" s="24"/>
      <c r="AO19" s="3">
        <f>SUMIFS('P&amp;L Data'!$N:$N,'P&amp;L Data'!$B:$B,$D19,'P&amp;L Data'!$C:$C,$AO$4)</f>
        <v>-335.59960000000007</v>
      </c>
      <c r="AP19" s="3">
        <f>SUMIFS('P&amp;L Data'!$P:$P,'P&amp;L Data'!$B:$B,$D19,'P&amp;L Data'!$C:$C,$AO$4)</f>
        <v>-327.49597999999997</v>
      </c>
      <c r="AQ19" s="3">
        <f>SUMIFS('P&amp;L Data'!$T:$T,'P&amp;L Data'!$B:$B,$D19,'P&amp;L Data'!$C:$C,$AO$4)</f>
        <v>-315.53509246653363</v>
      </c>
      <c r="AR19" s="3">
        <f t="shared" si="116"/>
        <v>-8.1036200000000917</v>
      </c>
      <c r="AS19" s="3">
        <f t="shared" si="117"/>
        <v>-20.06450753346644</v>
      </c>
      <c r="AT19" s="8">
        <f t="shared" si="118"/>
        <v>-2.4744181592702582E-2</v>
      </c>
      <c r="AU19" s="8">
        <f t="shared" si="119"/>
        <v>-6.3588830569121332E-2</v>
      </c>
      <c r="AW19" s="3">
        <f>SUMIFS('P&amp;L Data'!$N:$N,'P&amp;L Data'!$B:$B,$D19,'P&amp;L Data'!$C:$C,$AW$4)</f>
        <v>4003.5161299999982</v>
      </c>
      <c r="AX19" s="3">
        <f>SUMIFS('P&amp;L Data'!$P:$P,'P&amp;L Data'!$B:$B,$D19,'P&amp;L Data'!$C:$C,$AW$4)</f>
        <v>3805.6624000000029</v>
      </c>
      <c r="AY19" s="3">
        <f>SUMIFS('P&amp;L Data'!$T:$T,'P&amp;L Data'!$B:$B,$D19,'P&amp;L Data'!$C:$C,$AW$4)</f>
        <v>4301.5213073893465</v>
      </c>
      <c r="AZ19" s="3">
        <f t="shared" si="120"/>
        <v>197.85372999999527</v>
      </c>
      <c r="BA19" s="3">
        <f t="shared" si="121"/>
        <v>-298.00517738934832</v>
      </c>
      <c r="BB19" s="8">
        <f t="shared" si="122"/>
        <v>5.198930152080624E-2</v>
      </c>
      <c r="BC19" s="8">
        <f t="shared" si="123"/>
        <v>-6.927901923382819E-2</v>
      </c>
      <c r="BE19" s="3">
        <f>SUMIFS('P&amp;L Data'!$N:$N,'P&amp;L Data'!$B:$B,$D19,'P&amp;L Data'!$C:$C,$BE$4)</f>
        <v>-1375.6674299999997</v>
      </c>
      <c r="BF19" s="3">
        <f>SUMIFS('P&amp;L Data'!$P:$P,'P&amp;L Data'!$B:$B,$D19,'P&amp;L Data'!$C:$C,$BE$4)</f>
        <v>-1482.3300199999996</v>
      </c>
      <c r="BG19" s="3">
        <f>SUMIFS('P&amp;L Data'!$T:$T,'P&amp;L Data'!$B:$B,$D19,'P&amp;L Data'!$C:$C,$BE$4)</f>
        <v>-1625.3752299999996</v>
      </c>
      <c r="BH19" s="3">
        <f t="shared" si="124"/>
        <v>106.66258999999991</v>
      </c>
      <c r="BI19" s="3">
        <f t="shared" si="125"/>
        <v>249.70779999999991</v>
      </c>
      <c r="BJ19" s="8">
        <f t="shared" si="126"/>
        <v>7.1956034459856613E-2</v>
      </c>
      <c r="BK19" s="8">
        <f t="shared" si="127"/>
        <v>0.15363086344068377</v>
      </c>
      <c r="BM19" s="3">
        <f>SUMIFS('P&amp;L Data'!$N:$N,'P&amp;L Data'!$B:$B,$D19,'P&amp;L Data'!$C:$C,$BM$4)</f>
        <v>-701.59464999999989</v>
      </c>
      <c r="BN19" s="3">
        <f>SUMIFS('P&amp;L Data'!$P:$P,'P&amp;L Data'!$B:$B,$D19,'P&amp;L Data'!$C:$C,$BM$4)</f>
        <v>-636.36207999999999</v>
      </c>
      <c r="BO19" s="3">
        <f>SUMIFS('P&amp;L Data'!$T:$T,'P&amp;L Data'!$B:$B,$D19,'P&amp;L Data'!$C:$C,$BM$4)</f>
        <v>-612.66206999999997</v>
      </c>
      <c r="BP19" s="3">
        <f t="shared" si="128"/>
        <v>-65.232569999999896</v>
      </c>
      <c r="BQ19" s="3">
        <f t="shared" si="129"/>
        <v>-88.932579999999916</v>
      </c>
      <c r="BR19" s="8">
        <f t="shared" si="130"/>
        <v>-0.10250857499240039</v>
      </c>
      <c r="BS19" s="8">
        <f t="shared" si="131"/>
        <v>-0.14515763967565337</v>
      </c>
      <c r="BU19" s="3">
        <f>SUMIFS('P&amp;L Data'!$N:$N,'P&amp;L Data'!$B:$B,$D19,'P&amp;L Data'!$C:$C,$BU$4)</f>
        <v>-1760.1472800000001</v>
      </c>
      <c r="BV19" s="3">
        <f>SUMIFS('P&amp;L Data'!$P:$P,'P&amp;L Data'!$B:$B,$D19,'P&amp;L Data'!$C:$C,$BU$4)</f>
        <v>-1760.1472800000001</v>
      </c>
      <c r="BW19" s="3">
        <f>SUMIFS('P&amp;L Data'!$T:$T,'P&amp;L Data'!$B:$B,$D19,'P&amp;L Data'!$C:$C,$BU$4)</f>
        <v>-1760.1472800000001</v>
      </c>
      <c r="BX19" s="3">
        <f t="shared" si="132"/>
        <v>0</v>
      </c>
      <c r="BY19" s="3">
        <f t="shared" si="133"/>
        <v>0</v>
      </c>
      <c r="BZ19" s="8">
        <f t="shared" si="134"/>
        <v>0</v>
      </c>
      <c r="CA19" s="8">
        <f t="shared" si="135"/>
        <v>0</v>
      </c>
      <c r="CC19" s="3">
        <f>SUMIFS('P&amp;L Data'!$N:$N,'P&amp;L Data'!$B:$B,$D19,'P&amp;L Data'!$C:$C,$CC$4)</f>
        <v>166.10676999999851</v>
      </c>
      <c r="CD19" s="3">
        <f>SUMIFS('P&amp;L Data'!$P:$P,'P&amp;L Data'!$B:$B,$D19,'P&amp;L Data'!$C:$C,$CC$4)</f>
        <v>-73.176979999997002</v>
      </c>
      <c r="CE19" s="3">
        <f>SUMIFS('P&amp;L Data'!$T:$T,'P&amp;L Data'!$B:$B,$D19,'P&amp;L Data'!$C:$C,$CC$4)</f>
        <v>303.33672738934683</v>
      </c>
      <c r="CF19" s="3">
        <f t="shared" si="136"/>
        <v>239.28374999999551</v>
      </c>
      <c r="CG19" s="3">
        <f t="shared" si="137"/>
        <v>-137.22995738934833</v>
      </c>
      <c r="CH19" s="8">
        <f t="shared" si="138"/>
        <v>3.2699320196051449</v>
      </c>
      <c r="CI19" s="8">
        <f t="shared" si="139"/>
        <v>-0.4524013909242427</v>
      </c>
      <c r="CK19" s="3">
        <f>SUMIFS('P&amp;L Data'!$N:$N,'P&amp;L Data'!$B:$B,$D19,'P&amp;L Data'!$C:$C,$CK$4)</f>
        <v>-260.53206</v>
      </c>
      <c r="CL19" s="3">
        <f>SUMIFS('P&amp;L Data'!$P:$P,'P&amp;L Data'!$B:$B,$D19,'P&amp;L Data'!$C:$C,$CK$4)</f>
        <v>-252.77984000000001</v>
      </c>
      <c r="CM19" s="3">
        <f>SUMIFS('P&amp;L Data'!$T:$T,'P&amp;L Data'!$B:$B,$D19,'P&amp;L Data'!$C:$C,$CK$4)</f>
        <v>-286.64746999999994</v>
      </c>
      <c r="CN19" s="3">
        <f t="shared" si="140"/>
        <v>-7.7522199999999941</v>
      </c>
      <c r="CO19" s="3">
        <f t="shared" si="141"/>
        <v>26.11540999999994</v>
      </c>
      <c r="CP19" s="8">
        <f t="shared" si="142"/>
        <v>-3.0667872881001878E-2</v>
      </c>
      <c r="CQ19" s="8">
        <f t="shared" si="143"/>
        <v>9.1106368390413306E-2</v>
      </c>
      <c r="CS19" s="3">
        <f>SUMIFS('P&amp;L Data'!$N:$N,'P&amp;L Data'!$B:$B,$D19,'P&amp;L Data'!$C:$C,$CS$4)</f>
        <v>-94.425290000001496</v>
      </c>
      <c r="CT19" s="3">
        <f>SUMIFS('P&amp;L Data'!$P:$P,'P&amp;L Data'!$B:$B,$D19,'P&amp;L Data'!$C:$C,$CS$4)</f>
        <v>-325.95681999999704</v>
      </c>
      <c r="CU19" s="3">
        <f>SUMIFS('P&amp;L Data'!$T:$T,'P&amp;L Data'!$B:$B,$D19,'P&amp;L Data'!$C:$C,$CS$4)</f>
        <v>16.689257389346892</v>
      </c>
      <c r="CV19" s="3">
        <f t="shared" si="146"/>
        <v>231.53152999999554</v>
      </c>
      <c r="CW19" s="3">
        <f t="shared" si="147"/>
        <v>-111.11454738934839</v>
      </c>
      <c r="CX19" s="8">
        <f t="shared" si="144"/>
        <v>0.71031350103365731</v>
      </c>
      <c r="CY19" s="8">
        <f t="shared" si="145"/>
        <v>-6.6578485068050526</v>
      </c>
    </row>
    <row r="20" spans="2:103" outlineLevel="1" x14ac:dyDescent="0.85">
      <c r="B20" s="25" t="s">
        <v>93</v>
      </c>
      <c r="C20" s="25" t="s">
        <v>69</v>
      </c>
      <c r="D20" s="26"/>
      <c r="E20" s="26"/>
      <c r="F20" s="26"/>
      <c r="G20" s="25"/>
      <c r="H20" s="16"/>
      <c r="I20" s="27">
        <f>SUBTOTAL(9,I18:I19)</f>
        <v>38302.14804</v>
      </c>
      <c r="J20" s="27">
        <f>SUBTOTAL(9,J18:J19)</f>
        <v>36937.946889999992</v>
      </c>
      <c r="K20" s="27">
        <f>SUBTOTAL(9,K18:K19)</f>
        <v>37753.468430000001</v>
      </c>
      <c r="L20" s="27">
        <f t="shared" si="100"/>
        <v>1364.2011500000081</v>
      </c>
      <c r="M20" s="27">
        <f t="shared" si="101"/>
        <v>548.67960999999923</v>
      </c>
      <c r="N20" s="28">
        <f t="shared" si="102"/>
        <v>3.6932240821682776E-2</v>
      </c>
      <c r="O20" s="28">
        <f t="shared" si="103"/>
        <v>1.453322390808476E-2</v>
      </c>
      <c r="P20" s="29"/>
      <c r="Q20" s="27">
        <f>SUBTOTAL(9,Q18:Q19)</f>
        <v>2359.4528599999981</v>
      </c>
      <c r="R20" s="27">
        <f>SUBTOTAL(9,R18:R19)</f>
        <v>2479.0457600000022</v>
      </c>
      <c r="S20" s="27">
        <f>SUBTOTAL(9,S18:S19)</f>
        <v>3446.6054663034824</v>
      </c>
      <c r="T20" s="27">
        <f t="shared" si="104"/>
        <v>-119.59290000000419</v>
      </c>
      <c r="U20" s="27">
        <f t="shared" si="105"/>
        <v>-1087.1526063034844</v>
      </c>
      <c r="V20" s="28">
        <f t="shared" si="106"/>
        <v>-4.8241505634814941E-2</v>
      </c>
      <c r="W20" s="28">
        <f t="shared" si="107"/>
        <v>-0.31542705335213955</v>
      </c>
      <c r="X20" s="29"/>
      <c r="Y20" s="27">
        <f>SUBTOTAL(9,Y18:Y19)</f>
        <v>9962.8207699999984</v>
      </c>
      <c r="Z20" s="27">
        <f>SUBTOTAL(9,Z18:Z19)</f>
        <v>9583.0914300000059</v>
      </c>
      <c r="AA20" s="27">
        <f>SUBTOTAL(9,AA18:AA19)</f>
        <v>10249.652114510325</v>
      </c>
      <c r="AB20" s="27">
        <f t="shared" si="108"/>
        <v>379.72933999999259</v>
      </c>
      <c r="AC20" s="27">
        <f t="shared" si="109"/>
        <v>-286.83134451032674</v>
      </c>
      <c r="AD20" s="28">
        <f t="shared" si="110"/>
        <v>3.9624931346396677E-2</v>
      </c>
      <c r="AE20" s="28">
        <f t="shared" si="111"/>
        <v>-2.7984495601003141E-2</v>
      </c>
      <c r="AF20" s="29"/>
      <c r="AG20" s="27">
        <f>SUBTOTAL(9,AG18:AG19)</f>
        <v>-155.67975000000001</v>
      </c>
      <c r="AH20" s="27">
        <f>SUBTOTAL(9,AH18:AH19)</f>
        <v>-236.49763999999999</v>
      </c>
      <c r="AI20" s="27">
        <f>SUBTOTAL(9,AI18:AI19)</f>
        <v>-292.85230999999999</v>
      </c>
      <c r="AJ20" s="27">
        <f t="shared" si="112"/>
        <v>80.817889999999977</v>
      </c>
      <c r="AK20" s="27">
        <f t="shared" si="113"/>
        <v>137.17255999999998</v>
      </c>
      <c r="AL20" s="28">
        <f t="shared" si="114"/>
        <v>0.3417281035024281</v>
      </c>
      <c r="AM20" s="28">
        <f t="shared" si="115"/>
        <v>0.46840183708982858</v>
      </c>
      <c r="AN20" s="29"/>
      <c r="AO20" s="27">
        <f>SUBTOTAL(9,AO18:AO19)</f>
        <v>-706.23302000000012</v>
      </c>
      <c r="AP20" s="27">
        <f>SUBTOTAL(9,AP18:AP19)</f>
        <v>-727.22623999999996</v>
      </c>
      <c r="AQ20" s="27">
        <f>SUBTOTAL(9,AQ18:AQ19)</f>
        <v>-663.24584246653353</v>
      </c>
      <c r="AR20" s="27">
        <f t="shared" si="116"/>
        <v>20.993219999999837</v>
      </c>
      <c r="AS20" s="27">
        <f t="shared" si="117"/>
        <v>-42.987177533466593</v>
      </c>
      <c r="AT20" s="28">
        <f t="shared" si="118"/>
        <v>2.8867522712051532E-2</v>
      </c>
      <c r="AU20" s="28">
        <f t="shared" si="119"/>
        <v>-6.4813338857281522E-2</v>
      </c>
      <c r="AV20" s="17"/>
      <c r="AW20" s="27">
        <f>SUBTOTAL(9,AW18:AW19)</f>
        <v>9100.9079999999994</v>
      </c>
      <c r="AX20" s="27">
        <f>SUBTOTAL(9,AX18:AX19)</f>
        <v>8619.3675500000063</v>
      </c>
      <c r="AY20" s="27">
        <f>SUBTOTAL(9,AY18:AY19)</f>
        <v>9293.5539620437921</v>
      </c>
      <c r="AZ20" s="27">
        <f t="shared" si="120"/>
        <v>481.54044999999314</v>
      </c>
      <c r="BA20" s="27">
        <f t="shared" si="121"/>
        <v>-192.64596204379268</v>
      </c>
      <c r="BB20" s="28">
        <f t="shared" si="122"/>
        <v>5.5867260237671704E-2</v>
      </c>
      <c r="BC20" s="28">
        <f t="shared" si="123"/>
        <v>-2.0728987299216902E-2</v>
      </c>
      <c r="BD20" s="17"/>
      <c r="BE20" s="27">
        <f>SUBTOTAL(9,BE18:BE19)</f>
        <v>-2683.4391299999997</v>
      </c>
      <c r="BF20" s="27">
        <f>SUBTOTAL(9,BF18:BF19)</f>
        <v>-2831.5293799999995</v>
      </c>
      <c r="BG20" s="27">
        <f>SUBTOTAL(9,BG18:BG19)</f>
        <v>-2919.1261299999996</v>
      </c>
      <c r="BH20" s="27">
        <f t="shared" si="124"/>
        <v>148.09024999999974</v>
      </c>
      <c r="BI20" s="27">
        <f t="shared" si="125"/>
        <v>235.6869999999999</v>
      </c>
      <c r="BJ20" s="28">
        <f t="shared" si="126"/>
        <v>5.2300446199149017E-2</v>
      </c>
      <c r="BK20" s="28">
        <f t="shared" si="127"/>
        <v>8.0738888798888561E-2</v>
      </c>
      <c r="BL20" s="17"/>
      <c r="BM20" s="27">
        <f>SUBTOTAL(9,BM18:BM19)</f>
        <v>-1271.9988499999999</v>
      </c>
      <c r="BN20" s="27">
        <f>SUBTOTAL(9,BN18:BN19)</f>
        <v>-1206.6374900000001</v>
      </c>
      <c r="BO20" s="27">
        <f>SUBTOTAL(9,BO18:BO19)</f>
        <v>-1092.9680000000001</v>
      </c>
      <c r="BP20" s="27">
        <f t="shared" si="128"/>
        <v>-65.361359999999877</v>
      </c>
      <c r="BQ20" s="27">
        <f t="shared" si="129"/>
        <v>-179.03084999999987</v>
      </c>
      <c r="BR20" s="28">
        <f t="shared" si="130"/>
        <v>-5.4168182690892415E-2</v>
      </c>
      <c r="BS20" s="28">
        <f t="shared" si="131"/>
        <v>-0.16380246265215437</v>
      </c>
      <c r="BT20" s="17"/>
      <c r="BU20" s="27">
        <f>SUBTOTAL(9,BU18:BU19)</f>
        <v>-2267.9747500000003</v>
      </c>
      <c r="BV20" s="27">
        <f>SUBTOTAL(9,BV18:BV19)</f>
        <v>-2265.31194</v>
      </c>
      <c r="BW20" s="27">
        <f>SUBTOTAL(9,BW18:BW19)</f>
        <v>-2240.7538300000001</v>
      </c>
      <c r="BX20" s="27">
        <f t="shared" si="132"/>
        <v>-2.6628100000002632</v>
      </c>
      <c r="BY20" s="27">
        <f t="shared" si="133"/>
        <v>-27.220920000000206</v>
      </c>
      <c r="BZ20" s="28">
        <f t="shared" si="134"/>
        <v>-1.1754716659464848E-3</v>
      </c>
      <c r="CA20" s="28">
        <f t="shared" si="135"/>
        <v>-1.2148108210530294E-2</v>
      </c>
      <c r="CB20" s="17"/>
      <c r="CC20" s="27">
        <f>SUBTOTAL(9,CC18:CC19)</f>
        <v>2877.4952700000003</v>
      </c>
      <c r="CD20" s="27">
        <f>SUBTOTAL(9,CD18:CD19)</f>
        <v>2315.8887400000076</v>
      </c>
      <c r="CE20" s="27">
        <f>SUBTOTAL(9,CE18:CE19)</f>
        <v>3040.7060020437925</v>
      </c>
      <c r="CF20" s="27">
        <f t="shared" si="136"/>
        <v>561.60652999999274</v>
      </c>
      <c r="CG20" s="27">
        <f t="shared" si="137"/>
        <v>-163.21073204379218</v>
      </c>
      <c r="CH20" s="28">
        <f t="shared" si="138"/>
        <v>0.24250151585433716</v>
      </c>
      <c r="CI20" s="28">
        <f t="shared" si="139"/>
        <v>-5.3675275391337096E-2</v>
      </c>
      <c r="CJ20" s="17"/>
      <c r="CK20" s="27">
        <f>SUBTOTAL(9,CK18:CK19)</f>
        <v>-872.07559000000015</v>
      </c>
      <c r="CL20" s="27">
        <f>SUBTOTAL(9,CL18:CL19)</f>
        <v>-839.23083000000008</v>
      </c>
      <c r="CM20" s="27">
        <f>SUBTOTAL(9,CM18:CM19)</f>
        <v>-901.72324000000003</v>
      </c>
      <c r="CN20" s="27">
        <f t="shared" si="140"/>
        <v>-32.844760000000065</v>
      </c>
      <c r="CO20" s="27">
        <f t="shared" si="141"/>
        <v>29.647649999999885</v>
      </c>
      <c r="CP20" s="28">
        <f t="shared" si="142"/>
        <v>-3.9136741437394595E-2</v>
      </c>
      <c r="CQ20" s="28">
        <f t="shared" si="143"/>
        <v>3.2878879776903479E-2</v>
      </c>
      <c r="CR20" s="17"/>
      <c r="CS20" s="27">
        <f>SUBTOTAL(9,CS18:CS19)</f>
        <v>2005.4196800000004</v>
      </c>
      <c r="CT20" s="27">
        <f>SUBTOTAL(9,CT18:CT19)</f>
        <v>1476.6579100000076</v>
      </c>
      <c r="CU20" s="27">
        <f>SUBTOTAL(9,CU18:CU19)</f>
        <v>2138.9827620437927</v>
      </c>
      <c r="CV20" s="27">
        <f>SUBTOTAL(9,CV18:CV19)</f>
        <v>528.76176999999291</v>
      </c>
      <c r="CW20" s="27">
        <f>SUBTOTAL(9,CW18:CW19)</f>
        <v>-133.56308204379224</v>
      </c>
      <c r="CX20" s="28">
        <f t="shared" si="144"/>
        <v>0.35808007150416449</v>
      </c>
      <c r="CY20" s="28">
        <f t="shared" si="145"/>
        <v>-6.2442336803206912E-2</v>
      </c>
    </row>
    <row r="21" spans="2:103" outlineLevel="2" x14ac:dyDescent="0.85">
      <c r="B21" s="1" t="s">
        <v>93</v>
      </c>
      <c r="C21" s="1" t="s">
        <v>70</v>
      </c>
      <c r="D21" s="2">
        <v>403</v>
      </c>
      <c r="E21" s="1" t="s">
        <v>22</v>
      </c>
      <c r="F21" s="2" t="s">
        <v>13</v>
      </c>
      <c r="G21" s="1" t="s">
        <v>64</v>
      </c>
      <c r="I21" s="3">
        <f>SUMIFS('P&amp;L Data'!$N:$N,'P&amp;L Data'!$B:$B,$D21,'P&amp;L Data'!$C:$C,$I$4)</f>
        <v>17491.603319999998</v>
      </c>
      <c r="J21" s="3">
        <f>SUMIFS('P&amp;L Data'!$P:$P,'P&amp;L Data'!$B:$B,$D21,'P&amp;L Data'!$C:$C,$I$4)</f>
        <v>18027.35627</v>
      </c>
      <c r="K21" s="3">
        <f>SUMIFS('P&amp;L Data'!$T:$T,'P&amp;L Data'!$B:$B,$D21,'P&amp;L Data'!$C:$C,$I$4)</f>
        <v>17875.27145</v>
      </c>
      <c r="L21" s="3">
        <f t="shared" si="100"/>
        <v>-535.75295000000187</v>
      </c>
      <c r="M21" s="3">
        <f t="shared" si="101"/>
        <v>-383.66813000000184</v>
      </c>
      <c r="N21" s="8">
        <f t="shared" si="102"/>
        <v>-2.9718886229123262E-2</v>
      </c>
      <c r="O21" s="8">
        <f t="shared" si="103"/>
        <v>-2.1463625381756193E-2</v>
      </c>
      <c r="P21" s="24"/>
      <c r="Q21" s="3">
        <f>SUMIFS('P&amp;L Data'!$N:$N,'P&amp;L Data'!$B:$B,$D21,'P&amp;L Data'!$C:$C,$Q$4)</f>
        <v>457.02187000000032</v>
      </c>
      <c r="R21" s="3">
        <f>SUMIFS('P&amp;L Data'!$P:$P,'P&amp;L Data'!$B:$B,$D21,'P&amp;L Data'!$C:$C,$Q$4)</f>
        <v>562.02675000000124</v>
      </c>
      <c r="S21" s="3">
        <f>SUMIFS('P&amp;L Data'!$T:$T,'P&amp;L Data'!$B:$B,$D21,'P&amp;L Data'!$C:$C,$Q$4)</f>
        <v>485.75011270140124</v>
      </c>
      <c r="T21" s="3">
        <f t="shared" si="104"/>
        <v>-105.00488000000092</v>
      </c>
      <c r="U21" s="3">
        <f t="shared" si="105"/>
        <v>-28.728242701400916</v>
      </c>
      <c r="V21" s="8">
        <f t="shared" si="106"/>
        <v>-0.18683253065801705</v>
      </c>
      <c r="W21" s="8">
        <f t="shared" si="107"/>
        <v>-5.9142019631523275E-2</v>
      </c>
      <c r="X21" s="24"/>
      <c r="Y21" s="3">
        <f>SUMIFS('P&amp;L Data'!$N:$N,'P&amp;L Data'!$B:$B,$D21,'P&amp;L Data'!$C:$C,$Y$4)</f>
        <v>3820.627300000001</v>
      </c>
      <c r="Z21" s="3">
        <f>SUMIFS('P&amp;L Data'!$P:$P,'P&amp;L Data'!$B:$B,$D21,'P&amp;L Data'!$C:$C,$Y$4)</f>
        <v>3887.6297799999988</v>
      </c>
      <c r="AA21" s="3">
        <f>SUMIFS('P&amp;L Data'!$T:$T,'P&amp;L Data'!$B:$B,$D21,'P&amp;L Data'!$C:$C,$Y$4)</f>
        <v>3581.875122701405</v>
      </c>
      <c r="AB21" s="3">
        <f t="shared" si="108"/>
        <v>-67.002479999997831</v>
      </c>
      <c r="AC21" s="3">
        <f t="shared" si="109"/>
        <v>238.75217729859605</v>
      </c>
      <c r="AD21" s="8">
        <f t="shared" si="110"/>
        <v>-1.7234789265349708E-2</v>
      </c>
      <c r="AE21" s="8">
        <f t="shared" si="111"/>
        <v>6.6655639607706971E-2</v>
      </c>
      <c r="AF21" s="24"/>
      <c r="AG21" s="3">
        <f>SUMIFS('P&amp;L Data'!$N:$N,'P&amp;L Data'!$B:$B,$D21,'P&amp;L Data'!$C:$C,$AG$4)</f>
        <v>-52.591270000000009</v>
      </c>
      <c r="AH21" s="3">
        <f>SUMIFS('P&amp;L Data'!$P:$P,'P&amp;L Data'!$B:$B,$D21,'P&amp;L Data'!$C:$C,$AG$4)</f>
        <v>-104.03198999999999</v>
      </c>
      <c r="AI21" s="3">
        <f>SUMIFS('P&amp;L Data'!$T:$T,'P&amp;L Data'!$B:$B,$D21,'P&amp;L Data'!$C:$C,$AG$4)</f>
        <v>-105.28811000000002</v>
      </c>
      <c r="AJ21" s="3">
        <f t="shared" si="112"/>
        <v>51.440719999999985</v>
      </c>
      <c r="AK21" s="3">
        <f t="shared" si="113"/>
        <v>52.696840000000009</v>
      </c>
      <c r="AL21" s="8">
        <f t="shared" si="114"/>
        <v>0.49447021055734863</v>
      </c>
      <c r="AM21" s="8">
        <f t="shared" si="115"/>
        <v>0.50050133866017732</v>
      </c>
      <c r="AN21" s="24"/>
      <c r="AO21" s="3">
        <f>SUMIFS('P&amp;L Data'!$N:$N,'P&amp;L Data'!$B:$B,$D21,'P&amp;L Data'!$C:$C,$AO$4)</f>
        <v>-305.91338000000007</v>
      </c>
      <c r="AP21" s="3">
        <f>SUMIFS('P&amp;L Data'!$P:$P,'P&amp;L Data'!$B:$B,$D21,'P&amp;L Data'!$C:$C,$AO$4)</f>
        <v>-336.35045000000008</v>
      </c>
      <c r="AQ21" s="3">
        <f>SUMIFS('P&amp;L Data'!$T:$T,'P&amp;L Data'!$B:$B,$D21,'P&amp;L Data'!$C:$C,$AO$4)</f>
        <v>-272.74923999999999</v>
      </c>
      <c r="AR21" s="3">
        <f t="shared" si="116"/>
        <v>30.437070000000006</v>
      </c>
      <c r="AS21" s="3">
        <f t="shared" si="117"/>
        <v>-33.164140000000089</v>
      </c>
      <c r="AT21" s="8">
        <f t="shared" si="118"/>
        <v>9.0492134022713513E-2</v>
      </c>
      <c r="AU21" s="8">
        <f t="shared" si="119"/>
        <v>-0.12159205283211821</v>
      </c>
      <c r="AW21" s="3">
        <f>SUMIFS('P&amp;L Data'!$N:$N,'P&amp;L Data'!$B:$B,$D21,'P&amp;L Data'!$C:$C,$AW$4)</f>
        <v>3462.1226500000012</v>
      </c>
      <c r="AX21" s="3">
        <f>SUMIFS('P&amp;L Data'!$P:$P,'P&amp;L Data'!$B:$B,$D21,'P&amp;L Data'!$C:$C,$AW$4)</f>
        <v>3447.2473399999994</v>
      </c>
      <c r="AY21" s="3">
        <f>SUMIFS('P&amp;L Data'!$T:$T,'P&amp;L Data'!$B:$B,$D21,'P&amp;L Data'!$C:$C,$AW$4)</f>
        <v>3203.8377727014054</v>
      </c>
      <c r="AZ21" s="3">
        <f t="shared" si="120"/>
        <v>14.875310000001718</v>
      </c>
      <c r="BA21" s="3">
        <f t="shared" si="121"/>
        <v>258.2848772985958</v>
      </c>
      <c r="BB21" s="8">
        <f t="shared" si="122"/>
        <v>4.3151269789656931E-3</v>
      </c>
      <c r="BC21" s="8">
        <f t="shared" si="123"/>
        <v>8.0617339460610601E-2</v>
      </c>
      <c r="BE21" s="3">
        <f>SUMIFS('P&amp;L Data'!$N:$N,'P&amp;L Data'!$B:$B,$D21,'P&amp;L Data'!$C:$C,$BE$4)</f>
        <v>-1275.7016200000005</v>
      </c>
      <c r="BF21" s="3">
        <f>SUMIFS('P&amp;L Data'!$P:$P,'P&amp;L Data'!$B:$B,$D21,'P&amp;L Data'!$C:$C,$BE$4)</f>
        <v>-1314.7496699999999</v>
      </c>
      <c r="BG21" s="3">
        <f>SUMIFS('P&amp;L Data'!$T:$T,'P&amp;L Data'!$B:$B,$D21,'P&amp;L Data'!$C:$C,$BE$4)</f>
        <v>-1232.5590300000001</v>
      </c>
      <c r="BH21" s="3">
        <f t="shared" si="124"/>
        <v>39.048049999999421</v>
      </c>
      <c r="BI21" s="3">
        <f t="shared" si="125"/>
        <v>-43.142590000000382</v>
      </c>
      <c r="BJ21" s="8">
        <f t="shared" si="126"/>
        <v>2.9699988439623966E-2</v>
      </c>
      <c r="BK21" s="8">
        <f t="shared" si="127"/>
        <v>-3.5002453391624076E-2</v>
      </c>
      <c r="BM21" s="3">
        <f>SUMIFS('P&amp;L Data'!$N:$N,'P&amp;L Data'!$B:$B,$D21,'P&amp;L Data'!$C:$C,$BM$4)</f>
        <v>-545.18259</v>
      </c>
      <c r="BN21" s="3">
        <f>SUMIFS('P&amp;L Data'!$P:$P,'P&amp;L Data'!$B:$B,$D21,'P&amp;L Data'!$C:$C,$BM$4)</f>
        <v>-526.71839</v>
      </c>
      <c r="BO21" s="3">
        <f>SUMIFS('P&amp;L Data'!$T:$T,'P&amp;L Data'!$B:$B,$D21,'P&amp;L Data'!$C:$C,$BM$4)</f>
        <v>-510.32951999999995</v>
      </c>
      <c r="BP21" s="3">
        <f t="shared" si="128"/>
        <v>-18.464200000000005</v>
      </c>
      <c r="BQ21" s="3">
        <f t="shared" si="129"/>
        <v>-34.853070000000059</v>
      </c>
      <c r="BR21" s="8">
        <f t="shared" si="130"/>
        <v>-3.505516486713138E-2</v>
      </c>
      <c r="BS21" s="8">
        <f t="shared" si="131"/>
        <v>-6.8295226190325145E-2</v>
      </c>
      <c r="BU21" s="3">
        <f>SUMIFS('P&amp;L Data'!$N:$N,'P&amp;L Data'!$B:$B,$D21,'P&amp;L Data'!$C:$C,$BU$4)</f>
        <v>-510.33403999999996</v>
      </c>
      <c r="BV21" s="3">
        <f>SUMIFS('P&amp;L Data'!$P:$P,'P&amp;L Data'!$B:$B,$D21,'P&amp;L Data'!$C:$C,$BU$4)</f>
        <v>-510.33403999999996</v>
      </c>
      <c r="BW21" s="3">
        <f>SUMIFS('P&amp;L Data'!$T:$T,'P&amp;L Data'!$B:$B,$D21,'P&amp;L Data'!$C:$C,$BU$4)</f>
        <v>-510.33403999999996</v>
      </c>
      <c r="BX21" s="3">
        <f t="shared" si="132"/>
        <v>0</v>
      </c>
      <c r="BY21" s="3">
        <f t="shared" si="133"/>
        <v>0</v>
      </c>
      <c r="BZ21" s="8">
        <f t="shared" si="134"/>
        <v>0</v>
      </c>
      <c r="CA21" s="8">
        <f t="shared" si="135"/>
        <v>0</v>
      </c>
      <c r="CC21" s="3">
        <f>SUMIFS('P&amp;L Data'!$N:$N,'P&amp;L Data'!$B:$B,$D21,'P&amp;L Data'!$C:$C,$CC$4)</f>
        <v>1130.9044000000004</v>
      </c>
      <c r="CD21" s="3">
        <f>SUMIFS('P&amp;L Data'!$P:$P,'P&amp;L Data'!$B:$B,$D21,'P&amp;L Data'!$C:$C,$CC$4)</f>
        <v>1095.4452399999996</v>
      </c>
      <c r="CE21" s="3">
        <f>SUMIFS('P&amp;L Data'!$T:$T,'P&amp;L Data'!$B:$B,$D21,'P&amp;L Data'!$C:$C,$CC$4)</f>
        <v>950.61518270140505</v>
      </c>
      <c r="CF21" s="3">
        <f t="shared" si="136"/>
        <v>35.459160000000793</v>
      </c>
      <c r="CG21" s="3">
        <f t="shared" si="137"/>
        <v>180.2892172985953</v>
      </c>
      <c r="CH21" s="8">
        <f t="shared" si="138"/>
        <v>3.2369632643618779E-2</v>
      </c>
      <c r="CI21" s="8">
        <f t="shared" si="139"/>
        <v>0.18965531013954509</v>
      </c>
      <c r="CK21" s="3">
        <f>SUMIFS('P&amp;L Data'!$N:$N,'P&amp;L Data'!$B:$B,$D21,'P&amp;L Data'!$C:$C,$CK$4)</f>
        <v>-599.01964999999996</v>
      </c>
      <c r="CL21" s="3">
        <f>SUMIFS('P&amp;L Data'!$P:$P,'P&amp;L Data'!$B:$B,$D21,'P&amp;L Data'!$C:$C,$CK$4)</f>
        <v>-381.79381999999998</v>
      </c>
      <c r="CM21" s="3">
        <f>SUMIFS('P&amp;L Data'!$T:$T,'P&amp;L Data'!$B:$B,$D21,'P&amp;L Data'!$C:$C,$CK$4)</f>
        <v>-395.13774999999998</v>
      </c>
      <c r="CN21" s="3">
        <f t="shared" si="140"/>
        <v>-217.22582999999997</v>
      </c>
      <c r="CO21" s="3">
        <f t="shared" si="141"/>
        <v>-203.88189999999997</v>
      </c>
      <c r="CP21" s="8">
        <f t="shared" si="142"/>
        <v>-0.56896109528436045</v>
      </c>
      <c r="CQ21" s="8">
        <f t="shared" si="143"/>
        <v>-0.51597677012636722</v>
      </c>
      <c r="CS21" s="3">
        <f>SUMIFS('P&amp;L Data'!$N:$N,'P&amp;L Data'!$B:$B,$D21,'P&amp;L Data'!$C:$C,$CS$4)</f>
        <v>531.88475000000039</v>
      </c>
      <c r="CT21" s="3">
        <f>SUMIFS('P&amp;L Data'!$P:$P,'P&amp;L Data'!$B:$B,$D21,'P&amp;L Data'!$C:$C,$CS$4)</f>
        <v>713.65141999999958</v>
      </c>
      <c r="CU21" s="3">
        <f>SUMIFS('P&amp;L Data'!$T:$T,'P&amp;L Data'!$B:$B,$D21,'P&amp;L Data'!$C:$C,$CS$4)</f>
        <v>555.47743270140506</v>
      </c>
      <c r="CV21" s="3">
        <f t="shared" ref="CV21:CV22" si="148">CS21-CT21</f>
        <v>-181.76666999999918</v>
      </c>
      <c r="CW21" s="3">
        <f t="shared" ref="CW21:CW22" si="149">CS21-CU21</f>
        <v>-23.592682701404669</v>
      </c>
      <c r="CX21" s="8">
        <f t="shared" si="144"/>
        <v>-0.25469951422502501</v>
      </c>
      <c r="CY21" s="8">
        <f t="shared" si="145"/>
        <v>-4.2472801436177939E-2</v>
      </c>
    </row>
    <row r="22" spans="2:103" outlineLevel="2" x14ac:dyDescent="0.85">
      <c r="B22" s="1" t="s">
        <v>93</v>
      </c>
      <c r="C22" s="1" t="s">
        <v>70</v>
      </c>
      <c r="D22" s="2">
        <v>40004</v>
      </c>
      <c r="E22" s="1" t="s">
        <v>27</v>
      </c>
      <c r="F22" s="2" t="s">
        <v>15</v>
      </c>
      <c r="G22" s="1" t="s">
        <v>64</v>
      </c>
      <c r="I22" s="3">
        <f>SUMIFS('P&amp;L Data'!$N:$N,'P&amp;L Data'!$B:$B,$D22,'P&amp;L Data'!$C:$C,$I$4)</f>
        <v>45810.779490000001</v>
      </c>
      <c r="J22" s="3">
        <f>SUMIFS('P&amp;L Data'!$P:$P,'P&amp;L Data'!$B:$B,$D22,'P&amp;L Data'!$C:$C,$I$4)</f>
        <v>45889.676269999996</v>
      </c>
      <c r="K22" s="3">
        <f>SUMIFS('P&amp;L Data'!$T:$T,'P&amp;L Data'!$B:$B,$D22,'P&amp;L Data'!$C:$C,$I$4)</f>
        <v>40338.094039999996</v>
      </c>
      <c r="L22" s="3">
        <f t="shared" si="100"/>
        <v>-78.896779999995488</v>
      </c>
      <c r="M22" s="3">
        <f t="shared" si="101"/>
        <v>5472.6854500000045</v>
      </c>
      <c r="N22" s="8">
        <f t="shared" si="102"/>
        <v>-1.7192707905759105E-3</v>
      </c>
      <c r="O22" s="8">
        <f t="shared" si="103"/>
        <v>0.1356704023886996</v>
      </c>
      <c r="P22" s="24"/>
      <c r="Q22" s="3">
        <f>SUMIFS('P&amp;L Data'!$N:$N,'P&amp;L Data'!$B:$B,$D22,'P&amp;L Data'!$C:$C,$Q$4)</f>
        <v>3758.6206200000038</v>
      </c>
      <c r="R22" s="3">
        <f>SUMIFS('P&amp;L Data'!$P:$P,'P&amp;L Data'!$B:$B,$D22,'P&amp;L Data'!$C:$C,$Q$4)</f>
        <v>3623.862450000001</v>
      </c>
      <c r="S22" s="3">
        <f>SUMIFS('P&amp;L Data'!$T:$T,'P&amp;L Data'!$B:$B,$D22,'P&amp;L Data'!$C:$C,$Q$4)</f>
        <v>4155.3536584436879</v>
      </c>
      <c r="T22" s="3">
        <f t="shared" si="104"/>
        <v>134.75817000000279</v>
      </c>
      <c r="U22" s="3">
        <f t="shared" si="105"/>
        <v>-396.73303844368411</v>
      </c>
      <c r="V22" s="8">
        <f t="shared" si="106"/>
        <v>3.718633691518914E-2</v>
      </c>
      <c r="W22" s="8">
        <f t="shared" si="107"/>
        <v>-9.5475155920248009E-2</v>
      </c>
      <c r="X22" s="24"/>
      <c r="Y22" s="3">
        <f>SUMIFS('P&amp;L Data'!$N:$N,'P&amp;L Data'!$B:$B,$D22,'P&amp;L Data'!$C:$C,$Y$4)</f>
        <v>12502.498910000004</v>
      </c>
      <c r="Z22" s="3">
        <f>SUMIFS('P&amp;L Data'!$P:$P,'P&amp;L Data'!$B:$B,$D22,'P&amp;L Data'!$C:$C,$Y$4)</f>
        <v>12283.954099999997</v>
      </c>
      <c r="AA22" s="3">
        <f>SUMIFS('P&amp;L Data'!$T:$T,'P&amp;L Data'!$B:$B,$D22,'P&amp;L Data'!$C:$C,$Y$4)</f>
        <v>11412.367066214052</v>
      </c>
      <c r="AB22" s="3">
        <f t="shared" si="108"/>
        <v>218.54481000000669</v>
      </c>
      <c r="AC22" s="3">
        <f t="shared" si="109"/>
        <v>1090.1318437859518</v>
      </c>
      <c r="AD22" s="8">
        <f t="shared" si="110"/>
        <v>1.7791079991092341E-2</v>
      </c>
      <c r="AE22" s="8">
        <f t="shared" si="111"/>
        <v>9.5521975192442959E-2</v>
      </c>
      <c r="AF22" s="24"/>
      <c r="AG22" s="3">
        <f>SUMIFS('P&amp;L Data'!$N:$N,'P&amp;L Data'!$B:$B,$D22,'P&amp;L Data'!$C:$C,$AG$4)</f>
        <v>-151.68627000000001</v>
      </c>
      <c r="AH22" s="3">
        <f>SUMIFS('P&amp;L Data'!$P:$P,'P&amp;L Data'!$B:$B,$D22,'P&amp;L Data'!$C:$C,$AG$4)</f>
        <v>-277.68354999999997</v>
      </c>
      <c r="AI22" s="3">
        <f>SUMIFS('P&amp;L Data'!$T:$T,'P&amp;L Data'!$B:$B,$D22,'P&amp;L Data'!$C:$C,$AG$4)</f>
        <v>-101.66819999999998</v>
      </c>
      <c r="AJ22" s="3">
        <f t="shared" si="112"/>
        <v>125.99727999999996</v>
      </c>
      <c r="AK22" s="3">
        <f t="shared" si="113"/>
        <v>-50.018070000000023</v>
      </c>
      <c r="AL22" s="8">
        <f t="shared" si="114"/>
        <v>0.45374412708278894</v>
      </c>
      <c r="AM22" s="8">
        <f t="shared" si="115"/>
        <v>-0.49197359646379135</v>
      </c>
      <c r="AN22" s="24"/>
      <c r="AO22" s="3">
        <f>SUMIFS('P&amp;L Data'!$N:$N,'P&amp;L Data'!$B:$B,$D22,'P&amp;L Data'!$C:$C,$AO$4)</f>
        <v>-806.63312000000008</v>
      </c>
      <c r="AP22" s="3">
        <f>SUMIFS('P&amp;L Data'!$P:$P,'P&amp;L Data'!$B:$B,$D22,'P&amp;L Data'!$C:$C,$AO$4)</f>
        <v>-882.73460999999998</v>
      </c>
      <c r="AQ22" s="3">
        <f>SUMIFS('P&amp;L Data'!$T:$T,'P&amp;L Data'!$B:$B,$D22,'P&amp;L Data'!$C:$C,$AO$4)</f>
        <v>-680.88047723828993</v>
      </c>
      <c r="AR22" s="3">
        <f t="shared" si="116"/>
        <v>76.101489999999899</v>
      </c>
      <c r="AS22" s="3">
        <f t="shared" si="117"/>
        <v>-125.75264276171015</v>
      </c>
      <c r="AT22" s="8">
        <f t="shared" si="118"/>
        <v>8.6211064047890792E-2</v>
      </c>
      <c r="AU22" s="8">
        <f t="shared" si="119"/>
        <v>-0.18469121522146403</v>
      </c>
      <c r="AW22" s="3">
        <f>SUMIFS('P&amp;L Data'!$N:$N,'P&amp;L Data'!$B:$B,$D22,'P&amp;L Data'!$C:$C,$AW$4)</f>
        <v>11544.179520000003</v>
      </c>
      <c r="AX22" s="3">
        <f>SUMIFS('P&amp;L Data'!$P:$P,'P&amp;L Data'!$B:$B,$D22,'P&amp;L Data'!$C:$C,$AW$4)</f>
        <v>11123.53594</v>
      </c>
      <c r="AY22" s="3">
        <f>SUMIFS('P&amp;L Data'!$T:$T,'P&amp;L Data'!$B:$B,$D22,'P&amp;L Data'!$C:$C,$AW$4)</f>
        <v>10629.818388975762</v>
      </c>
      <c r="AZ22" s="3">
        <f t="shared" si="120"/>
        <v>420.64358000000357</v>
      </c>
      <c r="BA22" s="3">
        <f t="shared" si="121"/>
        <v>914.36113102424133</v>
      </c>
      <c r="BB22" s="8">
        <f t="shared" si="122"/>
        <v>3.7815635448021356E-2</v>
      </c>
      <c r="BC22" s="8">
        <f t="shared" si="123"/>
        <v>8.6018509212963584E-2</v>
      </c>
      <c r="BE22" s="3">
        <f>SUMIFS('P&amp;L Data'!$N:$N,'P&amp;L Data'!$B:$B,$D22,'P&amp;L Data'!$C:$C,$BE$4)</f>
        <v>-3062.0290200000004</v>
      </c>
      <c r="BF22" s="3">
        <f>SUMIFS('P&amp;L Data'!$P:$P,'P&amp;L Data'!$B:$B,$D22,'P&amp;L Data'!$C:$C,$BE$4)</f>
        <v>-2741.4133299999994</v>
      </c>
      <c r="BG22" s="3">
        <f>SUMIFS('P&amp;L Data'!$T:$T,'P&amp;L Data'!$B:$B,$D22,'P&amp;L Data'!$C:$C,$BE$4)</f>
        <v>-2734.0391299999997</v>
      </c>
      <c r="BH22" s="3">
        <f t="shared" si="124"/>
        <v>-320.615690000001</v>
      </c>
      <c r="BI22" s="3">
        <f t="shared" si="125"/>
        <v>-327.98989000000074</v>
      </c>
      <c r="BJ22" s="8">
        <f t="shared" si="126"/>
        <v>-0.1169526997229568</v>
      </c>
      <c r="BK22" s="8">
        <f t="shared" si="127"/>
        <v>-0.11996532397837363</v>
      </c>
      <c r="BM22" s="3">
        <f>SUMIFS('P&amp;L Data'!$N:$N,'P&amp;L Data'!$B:$B,$D22,'P&amp;L Data'!$C:$C,$BM$4)</f>
        <v>-1168.9916600000004</v>
      </c>
      <c r="BN22" s="3">
        <f>SUMIFS('P&amp;L Data'!$P:$P,'P&amp;L Data'!$B:$B,$D22,'P&amp;L Data'!$C:$C,$BM$4)</f>
        <v>-1435.3065799999999</v>
      </c>
      <c r="BO22" s="3">
        <f>SUMIFS('P&amp;L Data'!$T:$T,'P&amp;L Data'!$B:$B,$D22,'P&amp;L Data'!$C:$C,$BM$4)</f>
        <v>-1633.03764</v>
      </c>
      <c r="BP22" s="3">
        <f t="shared" si="128"/>
        <v>266.31491999999957</v>
      </c>
      <c r="BQ22" s="3">
        <f t="shared" si="129"/>
        <v>464.04597999999964</v>
      </c>
      <c r="BR22" s="8">
        <f t="shared" si="130"/>
        <v>0.18554566927436478</v>
      </c>
      <c r="BS22" s="8">
        <f t="shared" si="131"/>
        <v>0.28416122729418514</v>
      </c>
      <c r="BU22" s="3">
        <f>SUMIFS('P&amp;L Data'!$N:$N,'P&amp;L Data'!$B:$B,$D22,'P&amp;L Data'!$C:$C,$BU$4)</f>
        <v>-1508.4021599999999</v>
      </c>
      <c r="BV22" s="3">
        <f>SUMIFS('P&amp;L Data'!$P:$P,'P&amp;L Data'!$B:$B,$D22,'P&amp;L Data'!$C:$C,$BU$4)</f>
        <v>-1508.4021599999999</v>
      </c>
      <c r="BW22" s="3">
        <f>SUMIFS('P&amp;L Data'!$T:$T,'P&amp;L Data'!$B:$B,$D22,'P&amp;L Data'!$C:$C,$BU$4)</f>
        <v>-1508.4021599999999</v>
      </c>
      <c r="BX22" s="3">
        <f t="shared" si="132"/>
        <v>0</v>
      </c>
      <c r="BY22" s="3">
        <f t="shared" si="133"/>
        <v>0</v>
      </c>
      <c r="BZ22" s="8">
        <f t="shared" si="134"/>
        <v>0</v>
      </c>
      <c r="CA22" s="8">
        <f t="shared" si="135"/>
        <v>0</v>
      </c>
      <c r="CC22" s="3">
        <f>SUMIFS('P&amp;L Data'!$N:$N,'P&amp;L Data'!$B:$B,$D22,'P&amp;L Data'!$C:$C,$CC$4)</f>
        <v>5804.7566800000031</v>
      </c>
      <c r="CD22" s="3">
        <f>SUMIFS('P&amp;L Data'!$P:$P,'P&amp;L Data'!$B:$B,$D22,'P&amp;L Data'!$C:$C,$CC$4)</f>
        <v>5438.4138700000003</v>
      </c>
      <c r="CE22" s="3">
        <f>SUMIFS('P&amp;L Data'!$T:$T,'P&amp;L Data'!$B:$B,$D22,'P&amp;L Data'!$C:$C,$CC$4)</f>
        <v>4754.3394589757627</v>
      </c>
      <c r="CF22" s="3">
        <f t="shared" si="136"/>
        <v>366.34281000000283</v>
      </c>
      <c r="CG22" s="3">
        <f t="shared" si="137"/>
        <v>1050.4172210242405</v>
      </c>
      <c r="CH22" s="8">
        <f t="shared" si="138"/>
        <v>6.7362068933529473E-2</v>
      </c>
      <c r="CI22" s="8">
        <f t="shared" si="139"/>
        <v>0.22093862461611735</v>
      </c>
      <c r="CK22" s="3">
        <f>SUMIFS('P&amp;L Data'!$N:$N,'P&amp;L Data'!$B:$B,$D22,'P&amp;L Data'!$C:$C,$CK$4)</f>
        <v>-1551.4712300000003</v>
      </c>
      <c r="CL22" s="3">
        <f>SUMIFS('P&amp;L Data'!$P:$P,'P&amp;L Data'!$B:$B,$D22,'P&amp;L Data'!$C:$C,$CK$4)</f>
        <v>-1450.7237499999999</v>
      </c>
      <c r="CM22" s="3">
        <f>SUMIFS('P&amp;L Data'!$T:$T,'P&amp;L Data'!$B:$B,$D22,'P&amp;L Data'!$C:$C,$CK$4)</f>
        <v>-1436.0115200000002</v>
      </c>
      <c r="CN22" s="3">
        <f t="shared" si="140"/>
        <v>-100.74748000000045</v>
      </c>
      <c r="CO22" s="3">
        <f t="shared" si="141"/>
        <v>-115.45971000000009</v>
      </c>
      <c r="CP22" s="8">
        <f t="shared" si="142"/>
        <v>-6.9446357378515691E-2</v>
      </c>
      <c r="CQ22" s="8">
        <f t="shared" si="143"/>
        <v>-8.0403052755454271E-2</v>
      </c>
      <c r="CS22" s="3">
        <f>SUMIFS('P&amp;L Data'!$N:$N,'P&amp;L Data'!$B:$B,$D22,'P&amp;L Data'!$C:$C,$CS$4)</f>
        <v>4253.285450000003</v>
      </c>
      <c r="CT22" s="3">
        <f>SUMIFS('P&amp;L Data'!$P:$P,'P&amp;L Data'!$B:$B,$D22,'P&amp;L Data'!$C:$C,$CS$4)</f>
        <v>3987.6901200000002</v>
      </c>
      <c r="CU22" s="3">
        <f>SUMIFS('P&amp;L Data'!$T:$T,'P&amp;L Data'!$B:$B,$D22,'P&amp;L Data'!$C:$C,$CS$4)</f>
        <v>3318.3279389757627</v>
      </c>
      <c r="CV22" s="3">
        <f t="shared" si="148"/>
        <v>265.59533000000283</v>
      </c>
      <c r="CW22" s="3">
        <f t="shared" si="149"/>
        <v>934.95751102424038</v>
      </c>
      <c r="CX22" s="8">
        <f t="shared" si="144"/>
        <v>6.6603803707797338E-2</v>
      </c>
      <c r="CY22" s="8">
        <f t="shared" si="145"/>
        <v>0.28175560951725132</v>
      </c>
    </row>
    <row r="23" spans="2:103" outlineLevel="1" x14ac:dyDescent="0.85">
      <c r="B23" s="25" t="s">
        <v>93</v>
      </c>
      <c r="C23" s="25" t="s">
        <v>71</v>
      </c>
      <c r="D23" s="26"/>
      <c r="E23" s="26"/>
      <c r="F23" s="26"/>
      <c r="G23" s="25"/>
      <c r="H23" s="16"/>
      <c r="I23" s="27">
        <f>SUBTOTAL(9,I21:I22)</f>
        <v>63302.382809999996</v>
      </c>
      <c r="J23" s="27">
        <f>SUBTOTAL(9,J21:J22)</f>
        <v>63917.03254</v>
      </c>
      <c r="K23" s="27">
        <f>SUBTOTAL(9,K21:K22)</f>
        <v>58213.365489999996</v>
      </c>
      <c r="L23" s="27">
        <f t="shared" si="100"/>
        <v>-614.64973000000464</v>
      </c>
      <c r="M23" s="27">
        <f t="shared" si="101"/>
        <v>5089.017319999999</v>
      </c>
      <c r="N23" s="28">
        <f t="shared" si="102"/>
        <v>-9.6163683696571783E-3</v>
      </c>
      <c r="O23" s="28">
        <f t="shared" si="103"/>
        <v>8.7420084325380579E-2</v>
      </c>
      <c r="P23" s="29"/>
      <c r="Q23" s="27">
        <f>SUBTOTAL(9,Q21:Q22)</f>
        <v>4215.6424900000038</v>
      </c>
      <c r="R23" s="27">
        <f>SUBTOTAL(9,R21:R22)</f>
        <v>4185.8892000000023</v>
      </c>
      <c r="S23" s="27">
        <f>SUBTOTAL(9,S21:S22)</f>
        <v>4641.103771145089</v>
      </c>
      <c r="T23" s="27">
        <f t="shared" si="104"/>
        <v>29.753290000001471</v>
      </c>
      <c r="U23" s="27">
        <f t="shared" si="105"/>
        <v>-425.4612811450852</v>
      </c>
      <c r="V23" s="28">
        <f t="shared" si="106"/>
        <v>7.1079975074355654E-3</v>
      </c>
      <c r="W23" s="28">
        <f t="shared" si="107"/>
        <v>-9.1672434430422597E-2</v>
      </c>
      <c r="X23" s="29"/>
      <c r="Y23" s="27">
        <f>SUBTOTAL(9,Y21:Y22)</f>
        <v>16323.126210000006</v>
      </c>
      <c r="Z23" s="27">
        <f>SUBTOTAL(9,Z21:Z22)</f>
        <v>16171.583879999996</v>
      </c>
      <c r="AA23" s="27">
        <f>SUBTOTAL(9,AA21:AA22)</f>
        <v>14994.242188915458</v>
      </c>
      <c r="AB23" s="27">
        <f t="shared" si="108"/>
        <v>151.54233000000931</v>
      </c>
      <c r="AC23" s="27">
        <f t="shared" si="109"/>
        <v>1328.8840210845483</v>
      </c>
      <c r="AD23" s="28">
        <f t="shared" si="110"/>
        <v>9.3709021407252131E-3</v>
      </c>
      <c r="AE23" s="28">
        <f t="shared" si="111"/>
        <v>8.8626287633724501E-2</v>
      </c>
      <c r="AF23" s="29"/>
      <c r="AG23" s="27">
        <f>SUBTOTAL(9,AG21:AG22)</f>
        <v>-204.27754000000002</v>
      </c>
      <c r="AH23" s="27">
        <f>SUBTOTAL(9,AH21:AH22)</f>
        <v>-381.71553999999998</v>
      </c>
      <c r="AI23" s="27">
        <f>SUBTOTAL(9,AI21:AI22)</f>
        <v>-206.95631</v>
      </c>
      <c r="AJ23" s="27">
        <f t="shared" si="112"/>
        <v>177.43799999999996</v>
      </c>
      <c r="AK23" s="27">
        <f t="shared" si="113"/>
        <v>2.6787699999999859</v>
      </c>
      <c r="AL23" s="28">
        <f t="shared" si="114"/>
        <v>0.4648435324377938</v>
      </c>
      <c r="AM23" s="28">
        <f t="shared" si="115"/>
        <v>1.2943649797389536E-2</v>
      </c>
      <c r="AN23" s="29"/>
      <c r="AO23" s="27">
        <f>SUBTOTAL(9,AO21:AO22)</f>
        <v>-1112.5465000000002</v>
      </c>
      <c r="AP23" s="27">
        <f>SUBTOTAL(9,AP21:AP22)</f>
        <v>-1219.0850600000001</v>
      </c>
      <c r="AQ23" s="27">
        <f>SUBTOTAL(9,AQ21:AQ22)</f>
        <v>-953.62971723828991</v>
      </c>
      <c r="AR23" s="27">
        <f t="shared" si="116"/>
        <v>106.53855999999996</v>
      </c>
      <c r="AS23" s="27">
        <f t="shared" si="117"/>
        <v>-158.91678276171024</v>
      </c>
      <c r="AT23" s="28">
        <f t="shared" si="118"/>
        <v>8.739222839791011E-2</v>
      </c>
      <c r="AU23" s="28">
        <f t="shared" si="119"/>
        <v>-0.16664411761614664</v>
      </c>
      <c r="AV23" s="17"/>
      <c r="AW23" s="27">
        <f>SUBTOTAL(9,AW21:AW22)</f>
        <v>15006.302170000004</v>
      </c>
      <c r="AX23" s="27">
        <f>SUBTOTAL(9,AX21:AX22)</f>
        <v>14570.78328</v>
      </c>
      <c r="AY23" s="27">
        <f>SUBTOTAL(9,AY21:AY22)</f>
        <v>13833.656161677167</v>
      </c>
      <c r="AZ23" s="27">
        <f t="shared" si="120"/>
        <v>435.51889000000483</v>
      </c>
      <c r="BA23" s="27">
        <f t="shared" si="121"/>
        <v>1172.6460083228376</v>
      </c>
      <c r="BB23" s="28">
        <f t="shared" si="122"/>
        <v>2.9889874938830663E-2</v>
      </c>
      <c r="BC23" s="28">
        <f t="shared" si="123"/>
        <v>8.4767612742275081E-2</v>
      </c>
      <c r="BD23" s="17"/>
      <c r="BE23" s="27">
        <f>SUBTOTAL(9,BE21:BE22)</f>
        <v>-4337.7306400000007</v>
      </c>
      <c r="BF23" s="27">
        <f>SUBTOTAL(9,BF21:BF22)</f>
        <v>-4056.1629999999996</v>
      </c>
      <c r="BG23" s="27">
        <f>SUBTOTAL(9,BG21:BG22)</f>
        <v>-3966.5981599999996</v>
      </c>
      <c r="BH23" s="27">
        <f t="shared" si="124"/>
        <v>-281.56764000000112</v>
      </c>
      <c r="BI23" s="27">
        <f t="shared" si="125"/>
        <v>-371.13248000000112</v>
      </c>
      <c r="BJ23" s="28">
        <f t="shared" si="126"/>
        <v>-6.9417239889028412E-2</v>
      </c>
      <c r="BK23" s="28">
        <f t="shared" si="127"/>
        <v>-9.3564425996708764E-2</v>
      </c>
      <c r="BL23" s="17"/>
      <c r="BM23" s="27">
        <f>SUBTOTAL(9,BM21:BM22)</f>
        <v>-1714.1742500000005</v>
      </c>
      <c r="BN23" s="27">
        <f>SUBTOTAL(9,BN21:BN22)</f>
        <v>-1962.0249699999999</v>
      </c>
      <c r="BO23" s="27">
        <f>SUBTOTAL(9,BO21:BO22)</f>
        <v>-2143.3671599999998</v>
      </c>
      <c r="BP23" s="27">
        <f t="shared" si="128"/>
        <v>247.85071999999946</v>
      </c>
      <c r="BQ23" s="27">
        <f t="shared" si="129"/>
        <v>429.1929099999993</v>
      </c>
      <c r="BR23" s="28">
        <f t="shared" si="130"/>
        <v>0.12632393766120084</v>
      </c>
      <c r="BS23" s="28">
        <f t="shared" si="131"/>
        <v>0.20024236538176657</v>
      </c>
      <c r="BT23" s="17"/>
      <c r="BU23" s="27">
        <f>SUBTOTAL(9,BU21:BU22)</f>
        <v>-2018.7361999999998</v>
      </c>
      <c r="BV23" s="27">
        <f>SUBTOTAL(9,BV21:BV22)</f>
        <v>-2018.7361999999998</v>
      </c>
      <c r="BW23" s="27">
        <f>SUBTOTAL(9,BW21:BW22)</f>
        <v>-2018.7361999999998</v>
      </c>
      <c r="BX23" s="27">
        <f t="shared" si="132"/>
        <v>0</v>
      </c>
      <c r="BY23" s="27">
        <f t="shared" si="133"/>
        <v>0</v>
      </c>
      <c r="BZ23" s="28">
        <f t="shared" si="134"/>
        <v>0</v>
      </c>
      <c r="CA23" s="28">
        <f t="shared" si="135"/>
        <v>0</v>
      </c>
      <c r="CB23" s="17"/>
      <c r="CC23" s="27">
        <f>SUBTOTAL(9,CC21:CC22)</f>
        <v>6935.6610800000035</v>
      </c>
      <c r="CD23" s="27">
        <f>SUBTOTAL(9,CD21:CD22)</f>
        <v>6533.8591099999994</v>
      </c>
      <c r="CE23" s="27">
        <f>SUBTOTAL(9,CE21:CE22)</f>
        <v>5704.9546416771682</v>
      </c>
      <c r="CF23" s="27">
        <f t="shared" si="136"/>
        <v>401.80197000000408</v>
      </c>
      <c r="CG23" s="27">
        <f t="shared" si="137"/>
        <v>1230.7064383228353</v>
      </c>
      <c r="CH23" s="28">
        <f t="shared" si="138"/>
        <v>6.1495352629359665E-2</v>
      </c>
      <c r="CI23" s="28">
        <f t="shared" si="139"/>
        <v>0.21572589365250883</v>
      </c>
      <c r="CJ23" s="17"/>
      <c r="CK23" s="27">
        <f>SUBTOTAL(9,CK21:CK22)</f>
        <v>-2150.4908800000003</v>
      </c>
      <c r="CL23" s="27">
        <f>SUBTOTAL(9,CL21:CL22)</f>
        <v>-1832.51757</v>
      </c>
      <c r="CM23" s="27">
        <f>SUBTOTAL(9,CM21:CM22)</f>
        <v>-1831.1492700000003</v>
      </c>
      <c r="CN23" s="27">
        <f t="shared" si="140"/>
        <v>-317.97331000000031</v>
      </c>
      <c r="CO23" s="27">
        <f t="shared" si="141"/>
        <v>-319.34160999999995</v>
      </c>
      <c r="CP23" s="28">
        <f t="shared" si="142"/>
        <v>-0.17351719579965627</v>
      </c>
      <c r="CQ23" s="28">
        <f t="shared" si="143"/>
        <v>-0.17439408967462269</v>
      </c>
      <c r="CR23" s="17"/>
      <c r="CS23" s="27">
        <f>SUBTOTAL(9,CS21:CS22)</f>
        <v>4785.1702000000032</v>
      </c>
      <c r="CT23" s="27">
        <f>SUBTOTAL(9,CT21:CT22)</f>
        <v>4701.3415399999994</v>
      </c>
      <c r="CU23" s="27">
        <f>SUBTOTAL(9,CU21:CU22)</f>
        <v>3873.8053716771678</v>
      </c>
      <c r="CV23" s="27">
        <f>SUBTOTAL(9,CV21:CV22)</f>
        <v>83.828660000003651</v>
      </c>
      <c r="CW23" s="27">
        <f>SUBTOTAL(9,CW21:CW22)</f>
        <v>911.36482832283571</v>
      </c>
      <c r="CX23" s="28">
        <f t="shared" si="144"/>
        <v>1.7830795590316497E-2</v>
      </c>
      <c r="CY23" s="28">
        <f t="shared" si="145"/>
        <v>0.2352634530857339</v>
      </c>
    </row>
    <row r="24" spans="2:103" outlineLevel="2" x14ac:dyDescent="0.85">
      <c r="B24" s="1" t="s">
        <v>93</v>
      </c>
      <c r="C24" s="1" t="s">
        <v>72</v>
      </c>
      <c r="D24" s="2">
        <v>404</v>
      </c>
      <c r="E24" s="1" t="s">
        <v>25</v>
      </c>
      <c r="F24" s="2" t="s">
        <v>13</v>
      </c>
      <c r="G24" s="1" t="s">
        <v>64</v>
      </c>
      <c r="I24" s="3">
        <f>SUMIFS('P&amp;L Data'!$N:$N,'P&amp;L Data'!$B:$B,$D24,'P&amp;L Data'!$C:$C,$I$4)</f>
        <v>21390.41215</v>
      </c>
      <c r="J24" s="3">
        <f>SUMIFS('P&amp;L Data'!$P:$P,'P&amp;L Data'!$B:$B,$D24,'P&amp;L Data'!$C:$C,$I$4)</f>
        <v>21643.45435</v>
      </c>
      <c r="K24" s="3">
        <f>SUMIFS('P&amp;L Data'!$T:$T,'P&amp;L Data'!$B:$B,$D24,'P&amp;L Data'!$C:$C,$I$4)</f>
        <v>21883.537209999999</v>
      </c>
      <c r="L24" s="3">
        <f t="shared" si="100"/>
        <v>-253.04219999999987</v>
      </c>
      <c r="M24" s="3">
        <f t="shared" si="101"/>
        <v>-493.12505999999848</v>
      </c>
      <c r="N24" s="8">
        <f t="shared" si="102"/>
        <v>-1.1691396202658374E-2</v>
      </c>
      <c r="O24" s="8">
        <f t="shared" si="103"/>
        <v>-2.2534065460617484E-2</v>
      </c>
      <c r="P24" s="24"/>
      <c r="Q24" s="3">
        <f>SUMIFS('P&amp;L Data'!$N:$N,'P&amp;L Data'!$B:$B,$D24,'P&amp;L Data'!$C:$C,$Q$4)</f>
        <v>578.01322000000039</v>
      </c>
      <c r="R24" s="3">
        <f>SUMIFS('P&amp;L Data'!$P:$P,'P&amp;L Data'!$B:$B,$D24,'P&amp;L Data'!$C:$C,$Q$4)</f>
        <v>691.35242999999855</v>
      </c>
      <c r="S24" s="3">
        <f>SUMIFS('P&amp;L Data'!$T:$T,'P&amp;L Data'!$B:$B,$D24,'P&amp;L Data'!$C:$C,$Q$4)</f>
        <v>705.06065785374699</v>
      </c>
      <c r="T24" s="3">
        <f t="shared" si="104"/>
        <v>-113.33920999999816</v>
      </c>
      <c r="U24" s="3">
        <f t="shared" si="105"/>
        <v>-127.0474378537466</v>
      </c>
      <c r="V24" s="8">
        <f t="shared" si="106"/>
        <v>-0.16393839824935366</v>
      </c>
      <c r="W24" s="8">
        <f t="shared" si="107"/>
        <v>-0.18019362793619448</v>
      </c>
      <c r="X24" s="24"/>
      <c r="Y24" s="3">
        <f>SUMIFS('P&amp;L Data'!$N:$N,'P&amp;L Data'!$B:$B,$D24,'P&amp;L Data'!$C:$C,$Y$4)</f>
        <v>4927.2245600000015</v>
      </c>
      <c r="Z24" s="3">
        <f>SUMIFS('P&amp;L Data'!$P:$P,'P&amp;L Data'!$B:$B,$D24,'P&amp;L Data'!$C:$C,$Y$4)</f>
        <v>4851.8079299999972</v>
      </c>
      <c r="AA24" s="3">
        <f>SUMIFS('P&amp;L Data'!$T:$T,'P&amp;L Data'!$B:$B,$D24,'P&amp;L Data'!$C:$C,$Y$4)</f>
        <v>4618.2213578537467</v>
      </c>
      <c r="AB24" s="3">
        <f t="shared" si="108"/>
        <v>75.416630000004261</v>
      </c>
      <c r="AC24" s="3">
        <f t="shared" si="109"/>
        <v>309.00320214625481</v>
      </c>
      <c r="AD24" s="8">
        <f t="shared" si="110"/>
        <v>1.5544026286301136E-2</v>
      </c>
      <c r="AE24" s="8">
        <f t="shared" si="111"/>
        <v>6.6909569334688557E-2</v>
      </c>
      <c r="AF24" s="24"/>
      <c r="AG24" s="3">
        <f>SUMIFS('P&amp;L Data'!$N:$N,'P&amp;L Data'!$B:$B,$D24,'P&amp;L Data'!$C:$C,$AG$4)</f>
        <v>-54.855919999999998</v>
      </c>
      <c r="AH24" s="3">
        <f>SUMIFS('P&amp;L Data'!$P:$P,'P&amp;L Data'!$B:$B,$D24,'P&amp;L Data'!$C:$C,$AG$4)</f>
        <v>-134.18504000000001</v>
      </c>
      <c r="AI24" s="3">
        <f>SUMIFS('P&amp;L Data'!$T:$T,'P&amp;L Data'!$B:$B,$D24,'P&amp;L Data'!$C:$C,$AG$4)</f>
        <v>-101.24665</v>
      </c>
      <c r="AJ24" s="3">
        <f t="shared" si="112"/>
        <v>79.329120000000017</v>
      </c>
      <c r="AK24" s="3">
        <f t="shared" si="113"/>
        <v>46.390730000000005</v>
      </c>
      <c r="AL24" s="8">
        <f t="shared" si="114"/>
        <v>0.59119198384559124</v>
      </c>
      <c r="AM24" s="8">
        <f t="shared" si="115"/>
        <v>0.45819520942174385</v>
      </c>
      <c r="AN24" s="24"/>
      <c r="AO24" s="3">
        <f>SUMIFS('P&amp;L Data'!$N:$N,'P&amp;L Data'!$B:$B,$D24,'P&amp;L Data'!$C:$C,$AO$4)</f>
        <v>-386.05072999999999</v>
      </c>
      <c r="AP24" s="3">
        <f>SUMIFS('P&amp;L Data'!$P:$P,'P&amp;L Data'!$B:$B,$D24,'P&amp;L Data'!$C:$C,$AO$4)</f>
        <v>-408.86964999999998</v>
      </c>
      <c r="AQ24" s="3">
        <f>SUMIFS('P&amp;L Data'!$T:$T,'P&amp;L Data'!$B:$B,$D24,'P&amp;L Data'!$C:$C,$AO$4)</f>
        <v>-360.00399000000004</v>
      </c>
      <c r="AR24" s="3">
        <f t="shared" si="116"/>
        <v>22.818919999999991</v>
      </c>
      <c r="AS24" s="3">
        <f t="shared" si="117"/>
        <v>-26.046739999999943</v>
      </c>
      <c r="AT24" s="8">
        <f t="shared" si="118"/>
        <v>5.5809767244890868E-2</v>
      </c>
      <c r="AU24" s="8">
        <f t="shared" si="119"/>
        <v>-7.2351253662493967E-2</v>
      </c>
      <c r="AW24" s="3">
        <f>SUMIFS('P&amp;L Data'!$N:$N,'P&amp;L Data'!$B:$B,$D24,'P&amp;L Data'!$C:$C,$AW$4)</f>
        <v>4486.3179100000016</v>
      </c>
      <c r="AX24" s="3">
        <f>SUMIFS('P&amp;L Data'!$P:$P,'P&amp;L Data'!$B:$B,$D24,'P&amp;L Data'!$C:$C,$AW$4)</f>
        <v>4308.7532399999973</v>
      </c>
      <c r="AY24" s="3">
        <f>SUMIFS('P&amp;L Data'!$T:$T,'P&amp;L Data'!$B:$B,$D24,'P&amp;L Data'!$C:$C,$AW$4)</f>
        <v>4156.9707178537465</v>
      </c>
      <c r="AZ24" s="3">
        <f t="shared" si="120"/>
        <v>177.5646700000043</v>
      </c>
      <c r="BA24" s="3">
        <f t="shared" si="121"/>
        <v>329.34719214625511</v>
      </c>
      <c r="BB24" s="8">
        <f t="shared" si="122"/>
        <v>4.1210220244593171E-2</v>
      </c>
      <c r="BC24" s="8">
        <f t="shared" si="123"/>
        <v>7.9227691148206547E-2</v>
      </c>
      <c r="BE24" s="3">
        <f>SUMIFS('P&amp;L Data'!$N:$N,'P&amp;L Data'!$B:$B,$D24,'P&amp;L Data'!$C:$C,$BE$4)</f>
        <v>-1590.5575600000006</v>
      </c>
      <c r="BF24" s="3">
        <f>SUMIFS('P&amp;L Data'!$P:$P,'P&amp;L Data'!$B:$B,$D24,'P&amp;L Data'!$C:$C,$BE$4)</f>
        <v>-1573.3537100000003</v>
      </c>
      <c r="BG24" s="3">
        <f>SUMIFS('P&amp;L Data'!$T:$T,'P&amp;L Data'!$B:$B,$D24,'P&amp;L Data'!$C:$C,$BE$4)</f>
        <v>-1526.9218599999997</v>
      </c>
      <c r="BH24" s="3">
        <f t="shared" si="124"/>
        <v>-17.20385000000033</v>
      </c>
      <c r="BI24" s="3">
        <f t="shared" si="125"/>
        <v>-63.635700000000952</v>
      </c>
      <c r="BJ24" s="8">
        <f t="shared" si="126"/>
        <v>-1.0934508807940158E-2</v>
      </c>
      <c r="BK24" s="8">
        <f t="shared" si="127"/>
        <v>-4.1675806514421744E-2</v>
      </c>
      <c r="BM24" s="3">
        <f>SUMIFS('P&amp;L Data'!$N:$N,'P&amp;L Data'!$B:$B,$D24,'P&amp;L Data'!$C:$C,$BM$4)</f>
        <v>-340.97273999999993</v>
      </c>
      <c r="BN24" s="3">
        <f>SUMIFS('P&amp;L Data'!$P:$P,'P&amp;L Data'!$B:$B,$D24,'P&amp;L Data'!$C:$C,$BM$4)</f>
        <v>-349.03117999999989</v>
      </c>
      <c r="BO24" s="3">
        <f>SUMIFS('P&amp;L Data'!$T:$T,'P&amp;L Data'!$B:$B,$D24,'P&amp;L Data'!$C:$C,$BM$4)</f>
        <v>-476.9456899999999</v>
      </c>
      <c r="BP24" s="3">
        <f t="shared" si="128"/>
        <v>8.0584399999999619</v>
      </c>
      <c r="BQ24" s="3">
        <f t="shared" si="129"/>
        <v>135.97294999999997</v>
      </c>
      <c r="BR24" s="8">
        <f t="shared" si="130"/>
        <v>2.3088023253395196E-2</v>
      </c>
      <c r="BS24" s="8">
        <f t="shared" si="131"/>
        <v>0.28509105512621363</v>
      </c>
      <c r="BU24" s="3">
        <f>SUMIFS('P&amp;L Data'!$N:$N,'P&amp;L Data'!$B:$B,$D24,'P&amp;L Data'!$C:$C,$BU$4)</f>
        <v>-514.64311999999995</v>
      </c>
      <c r="BV24" s="3">
        <f>SUMIFS('P&amp;L Data'!$P:$P,'P&amp;L Data'!$B:$B,$D24,'P&amp;L Data'!$C:$C,$BU$4)</f>
        <v>-514.64311999999995</v>
      </c>
      <c r="BW24" s="3">
        <f>SUMIFS('P&amp;L Data'!$T:$T,'P&amp;L Data'!$B:$B,$D24,'P&amp;L Data'!$C:$C,$BU$4)</f>
        <v>-476.95375999999999</v>
      </c>
      <c r="BX24" s="3">
        <f t="shared" si="132"/>
        <v>0</v>
      </c>
      <c r="BY24" s="3">
        <f t="shared" si="133"/>
        <v>-37.689359999999965</v>
      </c>
      <c r="BZ24" s="8">
        <f t="shared" si="134"/>
        <v>0</v>
      </c>
      <c r="CA24" s="8">
        <f t="shared" si="135"/>
        <v>-7.9020993565497771E-2</v>
      </c>
      <c r="CC24" s="3">
        <f>SUMIFS('P&amp;L Data'!$N:$N,'P&amp;L Data'!$B:$B,$D24,'P&amp;L Data'!$C:$C,$CC$4)</f>
        <v>2040.144490000001</v>
      </c>
      <c r="CD24" s="3">
        <f>SUMIFS('P&amp;L Data'!$P:$P,'P&amp;L Data'!$B:$B,$D24,'P&amp;L Data'!$C:$C,$CC$4)</f>
        <v>1871.7252299999973</v>
      </c>
      <c r="CE24" s="3">
        <f>SUMIFS('P&amp;L Data'!$T:$T,'P&amp;L Data'!$B:$B,$D24,'P&amp;L Data'!$C:$C,$CC$4)</f>
        <v>1676.1494078537471</v>
      </c>
      <c r="CF24" s="3">
        <f t="shared" si="136"/>
        <v>168.41926000000376</v>
      </c>
      <c r="CG24" s="3">
        <f t="shared" si="137"/>
        <v>363.99508214625394</v>
      </c>
      <c r="CH24" s="8">
        <f t="shared" si="138"/>
        <v>8.9980760691035833E-2</v>
      </c>
      <c r="CI24" s="8">
        <f t="shared" si="139"/>
        <v>0.21716147763482338</v>
      </c>
      <c r="CK24" s="3">
        <f>SUMIFS('P&amp;L Data'!$N:$N,'P&amp;L Data'!$B:$B,$D24,'P&amp;L Data'!$C:$C,$CK$4)</f>
        <v>-559.94047999999998</v>
      </c>
      <c r="CL24" s="3">
        <f>SUMIFS('P&amp;L Data'!$P:$P,'P&amp;L Data'!$B:$B,$D24,'P&amp;L Data'!$C:$C,$CK$4)</f>
        <v>-498.15163999999999</v>
      </c>
      <c r="CM24" s="3">
        <f>SUMIFS('P&amp;L Data'!$T:$T,'P&amp;L Data'!$B:$B,$D24,'P&amp;L Data'!$C:$C,$CK$4)</f>
        <v>-532.90942999999993</v>
      </c>
      <c r="CN24" s="3">
        <f t="shared" si="140"/>
        <v>-61.788839999999993</v>
      </c>
      <c r="CO24" s="3">
        <f t="shared" si="141"/>
        <v>-27.03105000000005</v>
      </c>
      <c r="CP24" s="8">
        <f t="shared" si="142"/>
        <v>-0.12403620712761278</v>
      </c>
      <c r="CQ24" s="8">
        <f t="shared" si="143"/>
        <v>-5.0723534766498789E-2</v>
      </c>
      <c r="CS24" s="3">
        <f>SUMIFS('P&amp;L Data'!$N:$N,'P&amp;L Data'!$B:$B,$D24,'P&amp;L Data'!$C:$C,$CS$4)</f>
        <v>1480.2040100000011</v>
      </c>
      <c r="CT24" s="3">
        <f>SUMIFS('P&amp;L Data'!$P:$P,'P&amp;L Data'!$B:$B,$D24,'P&amp;L Data'!$C:$C,$CS$4)</f>
        <v>1373.5735899999972</v>
      </c>
      <c r="CU24" s="3">
        <f>SUMIFS('P&amp;L Data'!$T:$T,'P&amp;L Data'!$B:$B,$D24,'P&amp;L Data'!$C:$C,$CS$4)</f>
        <v>1143.2399778537472</v>
      </c>
      <c r="CV24" s="3">
        <f t="shared" ref="CV24:CV25" si="150">CS24-CT24</f>
        <v>106.63042000000382</v>
      </c>
      <c r="CW24" s="3">
        <f t="shared" ref="CW24:CW25" si="151">CS24-CU24</f>
        <v>336.96403214625389</v>
      </c>
      <c r="CX24" s="8">
        <f t="shared" si="144"/>
        <v>7.7629928804909556E-2</v>
      </c>
      <c r="CY24" s="8">
        <f t="shared" si="145"/>
        <v>0.2947447943334266</v>
      </c>
    </row>
    <row r="25" spans="2:103" outlineLevel="2" x14ac:dyDescent="0.85">
      <c r="B25" s="1" t="s">
        <v>93</v>
      </c>
      <c r="C25" s="1" t="s">
        <v>72</v>
      </c>
      <c r="D25" s="2">
        <v>40005</v>
      </c>
      <c r="E25" s="1" t="s">
        <v>23</v>
      </c>
      <c r="F25" s="2" t="s">
        <v>15</v>
      </c>
      <c r="G25" s="1" t="s">
        <v>64</v>
      </c>
      <c r="I25" s="3">
        <f>SUMIFS('P&amp;L Data'!$N:$N,'P&amp;L Data'!$B:$B,$D25,'P&amp;L Data'!$C:$C,$I$4)</f>
        <v>25551.633829999999</v>
      </c>
      <c r="J25" s="3">
        <f>SUMIFS('P&amp;L Data'!$P:$P,'P&amp;L Data'!$B:$B,$D25,'P&amp;L Data'!$C:$C,$I$4)</f>
        <v>25904.943909999995</v>
      </c>
      <c r="K25" s="3">
        <f>SUMIFS('P&amp;L Data'!$T:$T,'P&amp;L Data'!$B:$B,$D25,'P&amp;L Data'!$C:$C,$I$4)</f>
        <v>23845.285330000002</v>
      </c>
      <c r="L25" s="3">
        <f t="shared" si="100"/>
        <v>-353.31007999999565</v>
      </c>
      <c r="M25" s="3">
        <f t="shared" si="101"/>
        <v>1706.3484999999964</v>
      </c>
      <c r="N25" s="8">
        <f t="shared" si="102"/>
        <v>-1.3638712410552976E-2</v>
      </c>
      <c r="O25" s="8">
        <f t="shared" si="103"/>
        <v>7.1559156302198723E-2</v>
      </c>
      <c r="P25" s="24"/>
      <c r="Q25" s="3">
        <f>SUMIFS('P&amp;L Data'!$N:$N,'P&amp;L Data'!$B:$B,$D25,'P&amp;L Data'!$C:$C,$Q$4)</f>
        <v>1567.2319899999975</v>
      </c>
      <c r="R25" s="3">
        <f>SUMIFS('P&amp;L Data'!$P:$P,'P&amp;L Data'!$B:$B,$D25,'P&amp;L Data'!$C:$C,$Q$4)</f>
        <v>1680.1125200000004</v>
      </c>
      <c r="S25" s="3">
        <f>SUMIFS('P&amp;L Data'!$T:$T,'P&amp;L Data'!$B:$B,$D25,'P&amp;L Data'!$C:$C,$Q$4)</f>
        <v>1799.677286889445</v>
      </c>
      <c r="T25" s="3">
        <f t="shared" si="104"/>
        <v>-112.88053000000286</v>
      </c>
      <c r="U25" s="3">
        <f t="shared" si="105"/>
        <v>-232.44529688944749</v>
      </c>
      <c r="V25" s="8">
        <f t="shared" si="106"/>
        <v>-6.7186291784792393E-2</v>
      </c>
      <c r="W25" s="8">
        <f t="shared" si="107"/>
        <v>-0.12915943240646494</v>
      </c>
      <c r="X25" s="24"/>
      <c r="Y25" s="3">
        <f>SUMIFS('P&amp;L Data'!$N:$N,'P&amp;L Data'!$B:$B,$D25,'P&amp;L Data'!$C:$C,$Y$4)</f>
        <v>6523.7808500000001</v>
      </c>
      <c r="Z25" s="3">
        <f>SUMIFS('P&amp;L Data'!$P:$P,'P&amp;L Data'!$B:$B,$D25,'P&amp;L Data'!$C:$C,$Y$4)</f>
        <v>6450.4268600000014</v>
      </c>
      <c r="AA25" s="3">
        <f>SUMIFS('P&amp;L Data'!$T:$T,'P&amp;L Data'!$B:$B,$D25,'P&amp;L Data'!$C:$C,$Y$4)</f>
        <v>5885.4743668894489</v>
      </c>
      <c r="AB25" s="3">
        <f t="shared" si="108"/>
        <v>73.353989999998703</v>
      </c>
      <c r="AC25" s="3">
        <f t="shared" si="109"/>
        <v>638.3064831105512</v>
      </c>
      <c r="AD25" s="8">
        <f t="shared" si="110"/>
        <v>1.1371959033421036E-2</v>
      </c>
      <c r="AE25" s="8">
        <f t="shared" si="111"/>
        <v>0.10845455154839195</v>
      </c>
      <c r="AF25" s="24"/>
      <c r="AG25" s="3">
        <f>SUMIFS('P&amp;L Data'!$N:$N,'P&amp;L Data'!$B:$B,$D25,'P&amp;L Data'!$C:$C,$AG$4)</f>
        <v>-6.538050000000009</v>
      </c>
      <c r="AH25" s="3">
        <f>SUMIFS('P&amp;L Data'!$P:$P,'P&amp;L Data'!$B:$B,$D25,'P&amp;L Data'!$C:$C,$AG$4)</f>
        <v>-152.26749000000004</v>
      </c>
      <c r="AI25" s="3">
        <f>SUMIFS('P&amp;L Data'!$T:$T,'P&amp;L Data'!$B:$B,$D25,'P&amp;L Data'!$C:$C,$AG$4)</f>
        <v>-96.744630000000001</v>
      </c>
      <c r="AJ25" s="3">
        <f t="shared" si="112"/>
        <v>145.72944000000004</v>
      </c>
      <c r="AK25" s="3">
        <f t="shared" si="113"/>
        <v>90.206579999999988</v>
      </c>
      <c r="AL25" s="8">
        <f t="shared" si="114"/>
        <v>0.95706207543054667</v>
      </c>
      <c r="AM25" s="8">
        <f t="shared" si="115"/>
        <v>0.93241950483453173</v>
      </c>
      <c r="AN25" s="24"/>
      <c r="AO25" s="3">
        <f>SUMIFS('P&amp;L Data'!$N:$N,'P&amp;L Data'!$B:$B,$D25,'P&amp;L Data'!$C:$C,$AO$4)</f>
        <v>-441.20679000000001</v>
      </c>
      <c r="AP25" s="3">
        <f>SUMIFS('P&amp;L Data'!$P:$P,'P&amp;L Data'!$B:$B,$D25,'P&amp;L Data'!$C:$C,$AO$4)</f>
        <v>-475.1895300000001</v>
      </c>
      <c r="AQ25" s="3">
        <f>SUMIFS('P&amp;L Data'!$T:$T,'P&amp;L Data'!$B:$B,$D25,'P&amp;L Data'!$C:$C,$AO$4)</f>
        <v>-374.33716000000004</v>
      </c>
      <c r="AR25" s="3">
        <f t="shared" si="116"/>
        <v>33.982740000000092</v>
      </c>
      <c r="AS25" s="3">
        <f t="shared" si="117"/>
        <v>-66.869629999999972</v>
      </c>
      <c r="AT25" s="8">
        <f t="shared" si="118"/>
        <v>7.1514075657348936E-2</v>
      </c>
      <c r="AU25" s="8">
        <f t="shared" si="119"/>
        <v>-0.1786347633774856</v>
      </c>
      <c r="AW25" s="3">
        <f>SUMIFS('P&amp;L Data'!$N:$N,'P&amp;L Data'!$B:$B,$D25,'P&amp;L Data'!$C:$C,$AW$4)</f>
        <v>6076.0360099999989</v>
      </c>
      <c r="AX25" s="3">
        <f>SUMIFS('P&amp;L Data'!$P:$P,'P&amp;L Data'!$B:$B,$D25,'P&amp;L Data'!$C:$C,$AW$4)</f>
        <v>5822.9698400000025</v>
      </c>
      <c r="AY25" s="3">
        <f>SUMIFS('P&amp;L Data'!$T:$T,'P&amp;L Data'!$B:$B,$D25,'P&amp;L Data'!$C:$C,$AW$4)</f>
        <v>5414.3925768894478</v>
      </c>
      <c r="AZ25" s="3">
        <f t="shared" si="120"/>
        <v>253.06616999999642</v>
      </c>
      <c r="BA25" s="3">
        <f t="shared" si="121"/>
        <v>661.64343311055109</v>
      </c>
      <c r="BB25" s="8">
        <f t="shared" si="122"/>
        <v>4.3459982956050532E-2</v>
      </c>
      <c r="BC25" s="8">
        <f t="shared" si="123"/>
        <v>0.12220086070867496</v>
      </c>
      <c r="BE25" s="3">
        <f>SUMIFS('P&amp;L Data'!$N:$N,'P&amp;L Data'!$B:$B,$D25,'P&amp;L Data'!$C:$C,$BE$4)</f>
        <v>-1900.4148699999994</v>
      </c>
      <c r="BF25" s="3">
        <f>SUMIFS('P&amp;L Data'!$P:$P,'P&amp;L Data'!$B:$B,$D25,'P&amp;L Data'!$C:$C,$BE$4)</f>
        <v>-1832.4147800000001</v>
      </c>
      <c r="BG25" s="3">
        <f>SUMIFS('P&amp;L Data'!$T:$T,'P&amp;L Data'!$B:$B,$D25,'P&amp;L Data'!$C:$C,$BE$4)</f>
        <v>-1730.0783100000001</v>
      </c>
      <c r="BH25" s="3">
        <f t="shared" si="124"/>
        <v>-68.000089999999318</v>
      </c>
      <c r="BI25" s="3">
        <f t="shared" si="125"/>
        <v>-170.33655999999928</v>
      </c>
      <c r="BJ25" s="8">
        <f t="shared" si="126"/>
        <v>-3.7109551146492781E-2</v>
      </c>
      <c r="BK25" s="8">
        <f t="shared" si="127"/>
        <v>-9.8455982608093198E-2</v>
      </c>
      <c r="BM25" s="3">
        <f>SUMIFS('P&amp;L Data'!$N:$N,'P&amp;L Data'!$B:$B,$D25,'P&amp;L Data'!$C:$C,$BM$4)</f>
        <v>-607.73273000000006</v>
      </c>
      <c r="BN25" s="3">
        <f>SUMIFS('P&amp;L Data'!$P:$P,'P&amp;L Data'!$B:$B,$D25,'P&amp;L Data'!$C:$C,$BM$4)</f>
        <v>-598.77541999999994</v>
      </c>
      <c r="BO25" s="3">
        <f>SUMIFS('P&amp;L Data'!$T:$T,'P&amp;L Data'!$B:$B,$D25,'P&amp;L Data'!$C:$C,$BM$4)</f>
        <v>-717.4285900000001</v>
      </c>
      <c r="BP25" s="3">
        <f t="shared" si="128"/>
        <v>-8.9573100000001205</v>
      </c>
      <c r="BQ25" s="3">
        <f t="shared" si="129"/>
        <v>109.69586000000004</v>
      </c>
      <c r="BR25" s="8">
        <f t="shared" si="130"/>
        <v>-1.4959381599198112E-2</v>
      </c>
      <c r="BS25" s="8">
        <f t="shared" si="131"/>
        <v>0.15290143371621143</v>
      </c>
      <c r="BU25" s="3">
        <f>SUMIFS('P&amp;L Data'!$N:$N,'P&amp;L Data'!$B:$B,$D25,'P&amp;L Data'!$C:$C,$BU$4)</f>
        <v>-1706.9338400000001</v>
      </c>
      <c r="BV25" s="3">
        <f>SUMIFS('P&amp;L Data'!$P:$P,'P&amp;L Data'!$B:$B,$D25,'P&amp;L Data'!$C:$C,$BU$4)</f>
        <v>-1706.9338400000001</v>
      </c>
      <c r="BW25" s="3">
        <f>SUMIFS('P&amp;L Data'!$T:$T,'P&amp;L Data'!$B:$B,$D25,'P&amp;L Data'!$C:$C,$BU$4)</f>
        <v>-1706.9338400000001</v>
      </c>
      <c r="BX25" s="3">
        <f t="shared" si="132"/>
        <v>0</v>
      </c>
      <c r="BY25" s="3">
        <f t="shared" si="133"/>
        <v>0</v>
      </c>
      <c r="BZ25" s="8">
        <f t="shared" si="134"/>
        <v>0</v>
      </c>
      <c r="CA25" s="8">
        <f t="shared" si="135"/>
        <v>0</v>
      </c>
      <c r="CC25" s="3">
        <f>SUMIFS('P&amp;L Data'!$N:$N,'P&amp;L Data'!$B:$B,$D25,'P&amp;L Data'!$C:$C,$CC$4)</f>
        <v>1860.954569999999</v>
      </c>
      <c r="CD25" s="3">
        <f>SUMIFS('P&amp;L Data'!$P:$P,'P&amp;L Data'!$B:$B,$D25,'P&amp;L Data'!$C:$C,$CC$4)</f>
        <v>1684.8458000000019</v>
      </c>
      <c r="CE25" s="3">
        <f>SUMIFS('P&amp;L Data'!$T:$T,'P&amp;L Data'!$B:$B,$D25,'P&amp;L Data'!$C:$C,$CC$4)</f>
        <v>1259.9518368894478</v>
      </c>
      <c r="CF25" s="3">
        <f t="shared" si="136"/>
        <v>176.10876999999709</v>
      </c>
      <c r="CG25" s="3">
        <f t="shared" si="137"/>
        <v>601.00273311055116</v>
      </c>
      <c r="CH25" s="8">
        <f t="shared" si="138"/>
        <v>0.1045251559519553</v>
      </c>
      <c r="CI25" s="8">
        <f t="shared" si="139"/>
        <v>0.47700452947018884</v>
      </c>
      <c r="CK25" s="3">
        <f>SUMIFS('P&amp;L Data'!$N:$N,'P&amp;L Data'!$B:$B,$D25,'P&amp;L Data'!$C:$C,$CK$4)</f>
        <v>-788.64954</v>
      </c>
      <c r="CL25" s="3">
        <f>SUMIFS('P&amp;L Data'!$P:$P,'P&amp;L Data'!$B:$B,$D25,'P&amp;L Data'!$C:$C,$CK$4)</f>
        <v>-622.83455000000004</v>
      </c>
      <c r="CM25" s="3">
        <f>SUMIFS('P&amp;L Data'!$T:$T,'P&amp;L Data'!$B:$B,$D25,'P&amp;L Data'!$C:$C,$CK$4)</f>
        <v>-708.42043999999999</v>
      </c>
      <c r="CN25" s="3">
        <f t="shared" si="140"/>
        <v>-165.81498999999997</v>
      </c>
      <c r="CO25" s="3">
        <f t="shared" si="141"/>
        <v>-80.229100000000017</v>
      </c>
      <c r="CP25" s="8">
        <f t="shared" si="142"/>
        <v>-0.26622638387674535</v>
      </c>
      <c r="CQ25" s="8">
        <f t="shared" si="143"/>
        <v>-0.11325068486166212</v>
      </c>
      <c r="CS25" s="3">
        <f>SUMIFS('P&amp;L Data'!$N:$N,'P&amp;L Data'!$B:$B,$D25,'P&amp;L Data'!$C:$C,$CS$4)</f>
        <v>1072.3050299999991</v>
      </c>
      <c r="CT25" s="3">
        <f>SUMIFS('P&amp;L Data'!$P:$P,'P&amp;L Data'!$B:$B,$D25,'P&amp;L Data'!$C:$C,$CS$4)</f>
        <v>1062.0112500000018</v>
      </c>
      <c r="CU25" s="3">
        <f>SUMIFS('P&amp;L Data'!$T:$T,'P&amp;L Data'!$B:$B,$D25,'P&amp;L Data'!$C:$C,$CS$4)</f>
        <v>551.53139688944782</v>
      </c>
      <c r="CV25" s="3">
        <f t="shared" si="150"/>
        <v>10.293779999997241</v>
      </c>
      <c r="CW25" s="3">
        <f t="shared" si="151"/>
        <v>520.77363311055126</v>
      </c>
      <c r="CX25" s="8">
        <f t="shared" si="144"/>
        <v>9.6927221816126927E-3</v>
      </c>
      <c r="CY25" s="8">
        <f t="shared" si="145"/>
        <v>0.94423207100744289</v>
      </c>
    </row>
    <row r="26" spans="2:103" outlineLevel="1" x14ac:dyDescent="0.85">
      <c r="B26" s="25" t="s">
        <v>93</v>
      </c>
      <c r="C26" s="25" t="s">
        <v>73</v>
      </c>
      <c r="D26" s="26"/>
      <c r="E26" s="26"/>
      <c r="F26" s="26"/>
      <c r="G26" s="25"/>
      <c r="H26" s="16"/>
      <c r="I26" s="27">
        <f>SUBTOTAL(9,I24:I25)</f>
        <v>46942.045979999995</v>
      </c>
      <c r="J26" s="27">
        <f>SUBTOTAL(9,J24:J25)</f>
        <v>47548.398259999994</v>
      </c>
      <c r="K26" s="27">
        <f>SUBTOTAL(9,K24:K25)</f>
        <v>45728.822540000001</v>
      </c>
      <c r="L26" s="27">
        <f t="shared" si="100"/>
        <v>-606.35227999999915</v>
      </c>
      <c r="M26" s="27">
        <f t="shared" si="101"/>
        <v>1213.2234399999943</v>
      </c>
      <c r="N26" s="28">
        <f t="shared" si="102"/>
        <v>-1.2752317684486376E-2</v>
      </c>
      <c r="O26" s="28">
        <f t="shared" si="103"/>
        <v>2.6530826131347711E-2</v>
      </c>
      <c r="P26" s="29"/>
      <c r="Q26" s="27">
        <f>SUBTOTAL(9,Q24:Q25)</f>
        <v>2145.2452099999978</v>
      </c>
      <c r="R26" s="27">
        <f>SUBTOTAL(9,R24:R25)</f>
        <v>2371.4649499999987</v>
      </c>
      <c r="S26" s="27">
        <f>SUBTOTAL(9,S24:S25)</f>
        <v>2504.7379447431922</v>
      </c>
      <c r="T26" s="27">
        <f t="shared" si="104"/>
        <v>-226.21974000000091</v>
      </c>
      <c r="U26" s="27">
        <f t="shared" si="105"/>
        <v>-359.49273474319443</v>
      </c>
      <c r="V26" s="28">
        <f t="shared" si="106"/>
        <v>-9.5392402911120847E-2</v>
      </c>
      <c r="W26" s="28">
        <f t="shared" si="107"/>
        <v>-0.14352508832218486</v>
      </c>
      <c r="X26" s="29"/>
      <c r="Y26" s="27">
        <f>SUBTOTAL(9,Y24:Y25)</f>
        <v>11451.005410000002</v>
      </c>
      <c r="Z26" s="27">
        <f>SUBTOTAL(9,Z24:Z25)</f>
        <v>11302.234789999999</v>
      </c>
      <c r="AA26" s="27">
        <f>SUBTOTAL(9,AA24:AA25)</f>
        <v>10503.695724743196</v>
      </c>
      <c r="AB26" s="27">
        <f t="shared" si="108"/>
        <v>148.77062000000296</v>
      </c>
      <c r="AC26" s="27">
        <f t="shared" si="109"/>
        <v>947.3096852568051</v>
      </c>
      <c r="AD26" s="28">
        <f t="shared" si="110"/>
        <v>1.3162938371412384E-2</v>
      </c>
      <c r="AE26" s="28">
        <f t="shared" si="111"/>
        <v>9.0188226133137137E-2</v>
      </c>
      <c r="AF26" s="29"/>
      <c r="AG26" s="27">
        <f>SUBTOTAL(9,AG24:AG25)</f>
        <v>-61.39397000000001</v>
      </c>
      <c r="AH26" s="27">
        <f>SUBTOTAL(9,AH24:AH25)</f>
        <v>-286.45253000000002</v>
      </c>
      <c r="AI26" s="27">
        <f>SUBTOTAL(9,AI24:AI25)</f>
        <v>-197.99128000000002</v>
      </c>
      <c r="AJ26" s="27">
        <f t="shared" si="112"/>
        <v>225.05856</v>
      </c>
      <c r="AK26" s="27">
        <f t="shared" si="113"/>
        <v>136.59730999999999</v>
      </c>
      <c r="AL26" s="28">
        <f t="shared" si="114"/>
        <v>0.78567489000708068</v>
      </c>
      <c r="AM26" s="28">
        <f t="shared" si="115"/>
        <v>0.68991578821047062</v>
      </c>
      <c r="AN26" s="29"/>
      <c r="AO26" s="27">
        <f>SUBTOTAL(9,AO24:AO25)</f>
        <v>-827.25752</v>
      </c>
      <c r="AP26" s="27">
        <f>SUBTOTAL(9,AP24:AP25)</f>
        <v>-884.05918000000008</v>
      </c>
      <c r="AQ26" s="27">
        <f>SUBTOTAL(9,AQ24:AQ25)</f>
        <v>-734.34115000000008</v>
      </c>
      <c r="AR26" s="27">
        <f t="shared" si="116"/>
        <v>56.801660000000084</v>
      </c>
      <c r="AS26" s="27">
        <f t="shared" si="117"/>
        <v>-92.916369999999915</v>
      </c>
      <c r="AT26" s="28">
        <f t="shared" si="118"/>
        <v>6.425097016695204E-2</v>
      </c>
      <c r="AU26" s="28">
        <f t="shared" si="119"/>
        <v>-0.12653025096033349</v>
      </c>
      <c r="AV26" s="17"/>
      <c r="AW26" s="27">
        <f>SUBTOTAL(9,AW24:AW25)</f>
        <v>10562.353920000001</v>
      </c>
      <c r="AX26" s="27">
        <f>SUBTOTAL(9,AX24:AX25)</f>
        <v>10131.72308</v>
      </c>
      <c r="AY26" s="27">
        <f>SUBTOTAL(9,AY24:AY25)</f>
        <v>9571.3632947431943</v>
      </c>
      <c r="AZ26" s="27">
        <f t="shared" si="120"/>
        <v>430.63084000000163</v>
      </c>
      <c r="BA26" s="27">
        <f t="shared" si="121"/>
        <v>990.99062525680711</v>
      </c>
      <c r="BB26" s="28">
        <f t="shared" si="122"/>
        <v>4.25032185147328E-2</v>
      </c>
      <c r="BC26" s="28">
        <f t="shared" si="123"/>
        <v>0.10353704009971926</v>
      </c>
      <c r="BD26" s="17"/>
      <c r="BE26" s="27">
        <f>SUBTOTAL(9,BE24:BE25)</f>
        <v>-3490.9724299999998</v>
      </c>
      <c r="BF26" s="27">
        <f>SUBTOTAL(9,BF24:BF25)</f>
        <v>-3405.7684900000004</v>
      </c>
      <c r="BG26" s="27">
        <f>SUBTOTAL(9,BG24:BG25)</f>
        <v>-3257.0001699999998</v>
      </c>
      <c r="BH26" s="27">
        <f t="shared" si="124"/>
        <v>-85.20393999999942</v>
      </c>
      <c r="BI26" s="27">
        <f t="shared" si="125"/>
        <v>-233.97226000000001</v>
      </c>
      <c r="BJ26" s="28">
        <f t="shared" si="126"/>
        <v>-2.5017537231369302E-2</v>
      </c>
      <c r="BK26" s="28">
        <f t="shared" si="127"/>
        <v>-7.1836735581134473E-2</v>
      </c>
      <c r="BL26" s="17"/>
      <c r="BM26" s="27">
        <f>SUBTOTAL(9,BM24:BM25)</f>
        <v>-948.70546999999999</v>
      </c>
      <c r="BN26" s="27">
        <f>SUBTOTAL(9,BN24:BN25)</f>
        <v>-947.80659999999989</v>
      </c>
      <c r="BO26" s="27">
        <f>SUBTOTAL(9,BO24:BO25)</f>
        <v>-1194.37428</v>
      </c>
      <c r="BP26" s="27">
        <f t="shared" si="128"/>
        <v>-0.89887000000010175</v>
      </c>
      <c r="BQ26" s="27">
        <f t="shared" si="129"/>
        <v>245.66881000000001</v>
      </c>
      <c r="BR26" s="28">
        <f t="shared" si="130"/>
        <v>-9.4836858067890838E-4</v>
      </c>
      <c r="BS26" s="28">
        <f t="shared" si="131"/>
        <v>0.20568829563208613</v>
      </c>
      <c r="BT26" s="17"/>
      <c r="BU26" s="27">
        <f>SUBTOTAL(9,BU24:BU25)</f>
        <v>-2221.5769600000003</v>
      </c>
      <c r="BV26" s="27">
        <f>SUBTOTAL(9,BV24:BV25)</f>
        <v>-2221.5769600000003</v>
      </c>
      <c r="BW26" s="27">
        <f>SUBTOTAL(9,BW24:BW25)</f>
        <v>-2183.8876</v>
      </c>
      <c r="BX26" s="27">
        <f t="shared" si="132"/>
        <v>0</v>
      </c>
      <c r="BY26" s="27">
        <f t="shared" si="133"/>
        <v>-37.689360000000306</v>
      </c>
      <c r="BZ26" s="28">
        <f t="shared" si="134"/>
        <v>0</v>
      </c>
      <c r="CA26" s="28">
        <f t="shared" si="135"/>
        <v>-1.7257921149421932E-2</v>
      </c>
      <c r="CB26" s="17"/>
      <c r="CC26" s="27">
        <f>SUBTOTAL(9,CC24:CC25)</f>
        <v>3901.09906</v>
      </c>
      <c r="CD26" s="27">
        <f>SUBTOTAL(9,CD24:CD25)</f>
        <v>3556.5710299999992</v>
      </c>
      <c r="CE26" s="27">
        <f>SUBTOTAL(9,CE24:CE25)</f>
        <v>2936.1012447431949</v>
      </c>
      <c r="CF26" s="27">
        <f t="shared" si="136"/>
        <v>344.52803000000085</v>
      </c>
      <c r="CG26" s="27">
        <f t="shared" si="137"/>
        <v>964.9978152568051</v>
      </c>
      <c r="CH26" s="28">
        <f t="shared" si="138"/>
        <v>9.6870841913144906E-2</v>
      </c>
      <c r="CI26" s="28">
        <f t="shared" si="139"/>
        <v>0.32866639629152444</v>
      </c>
      <c r="CJ26" s="17"/>
      <c r="CK26" s="27">
        <f>SUBTOTAL(9,CK24:CK25)</f>
        <v>-1348.5900200000001</v>
      </c>
      <c r="CL26" s="27">
        <f>SUBTOTAL(9,CL24:CL25)</f>
        <v>-1120.9861900000001</v>
      </c>
      <c r="CM26" s="27">
        <f>SUBTOTAL(9,CM24:CM25)</f>
        <v>-1241.32987</v>
      </c>
      <c r="CN26" s="27">
        <f t="shared" si="140"/>
        <v>-227.60383000000002</v>
      </c>
      <c r="CO26" s="27">
        <f t="shared" si="141"/>
        <v>-107.26015000000007</v>
      </c>
      <c r="CP26" s="28">
        <f t="shared" si="142"/>
        <v>-0.20303892414588978</v>
      </c>
      <c r="CQ26" s="28">
        <f t="shared" si="143"/>
        <v>-8.6407451066975505E-2</v>
      </c>
      <c r="CR26" s="17"/>
      <c r="CS26" s="27">
        <f>SUBTOTAL(9,CS24:CS25)</f>
        <v>2552.5090399999999</v>
      </c>
      <c r="CT26" s="27">
        <f>SUBTOTAL(9,CT24:CT25)</f>
        <v>2435.5848399999991</v>
      </c>
      <c r="CU26" s="27">
        <f>SUBTOTAL(9,CU24:CU25)</f>
        <v>1694.7713747431949</v>
      </c>
      <c r="CV26" s="27">
        <f>SUBTOTAL(9,CV24:CV25)</f>
        <v>116.92420000000106</v>
      </c>
      <c r="CW26" s="27">
        <f>SUBTOTAL(9,CW24:CW25)</f>
        <v>857.73766525680514</v>
      </c>
      <c r="CX26" s="28">
        <f t="shared" si="144"/>
        <v>4.8006621686806396E-2</v>
      </c>
      <c r="CY26" s="28">
        <f t="shared" si="145"/>
        <v>0.50610818546942726</v>
      </c>
    </row>
    <row r="27" spans="2:103" x14ac:dyDescent="0.85">
      <c r="B27" s="30" t="s">
        <v>94</v>
      </c>
      <c r="C27" s="30"/>
      <c r="D27" s="31"/>
      <c r="E27" s="31"/>
      <c r="F27" s="31"/>
      <c r="G27" s="30"/>
      <c r="H27" s="16"/>
      <c r="I27" s="32">
        <f>SUBTOTAL(9,I18:I26)</f>
        <v>148546.57683000001</v>
      </c>
      <c r="J27" s="32">
        <f t="shared" ref="J27:K27" si="152">SUBTOTAL(9,J18:J26)</f>
        <v>148403.37768999999</v>
      </c>
      <c r="K27" s="32">
        <f t="shared" si="152"/>
        <v>141695.65646</v>
      </c>
      <c r="L27" s="32">
        <f t="shared" si="100"/>
        <v>143.19914000001154</v>
      </c>
      <c r="M27" s="32">
        <f t="shared" si="101"/>
        <v>6850.9203700000071</v>
      </c>
      <c r="N27" s="33">
        <f t="shared" si="102"/>
        <v>9.6493181104772695E-4</v>
      </c>
      <c r="O27" s="33">
        <f t="shared" si="103"/>
        <v>4.8349543953268521E-2</v>
      </c>
      <c r="P27" s="29"/>
      <c r="Q27" s="32">
        <f>SUBTOTAL(9,Q18:Q26)</f>
        <v>8720.3405600000006</v>
      </c>
      <c r="R27" s="32">
        <f t="shared" ref="R27" si="153">SUBTOTAL(9,R18:R26)</f>
        <v>9036.3999100000037</v>
      </c>
      <c r="S27" s="32">
        <f t="shared" ref="S27" si="154">SUBTOTAL(9,S18:S26)</f>
        <v>10592.447182191761</v>
      </c>
      <c r="T27" s="32">
        <f t="shared" si="104"/>
        <v>-316.05935000000318</v>
      </c>
      <c r="U27" s="32">
        <f t="shared" si="105"/>
        <v>-1872.1066221917608</v>
      </c>
      <c r="V27" s="33">
        <f t="shared" si="106"/>
        <v>-3.4976246419798282E-2</v>
      </c>
      <c r="W27" s="33">
        <f t="shared" si="107"/>
        <v>-0.17673976466355998</v>
      </c>
      <c r="X27" s="29"/>
      <c r="Y27" s="32">
        <f>SUBTOTAL(9,Y18:Y26)</f>
        <v>37736.952390000006</v>
      </c>
      <c r="Z27" s="32">
        <f t="shared" ref="Z27" si="155">SUBTOTAL(9,Z18:Z26)</f>
        <v>37056.910100000001</v>
      </c>
      <c r="AA27" s="32">
        <f t="shared" ref="AA27" si="156">SUBTOTAL(9,AA18:AA26)</f>
        <v>35747.590028168983</v>
      </c>
      <c r="AB27" s="32">
        <f t="shared" si="108"/>
        <v>680.04229000000487</v>
      </c>
      <c r="AC27" s="32">
        <f t="shared" si="109"/>
        <v>1989.362361831023</v>
      </c>
      <c r="AD27" s="33">
        <f t="shared" si="110"/>
        <v>1.8351295026079489E-2</v>
      </c>
      <c r="AE27" s="33">
        <f t="shared" si="111"/>
        <v>5.5650251115205586E-2</v>
      </c>
      <c r="AF27" s="29"/>
      <c r="AG27" s="32">
        <f>SUBTOTAL(9,AG18:AG26)</f>
        <v>-421.35126000000002</v>
      </c>
      <c r="AH27" s="32">
        <f t="shared" ref="AH27" si="157">SUBTOTAL(9,AH18:AH26)</f>
        <v>-904.6657100000001</v>
      </c>
      <c r="AI27" s="32">
        <f t="shared" ref="AI27" si="158">SUBTOTAL(9,AI18:AI26)</f>
        <v>-697.79990000000009</v>
      </c>
      <c r="AJ27" s="32">
        <f t="shared" si="112"/>
        <v>483.31445000000008</v>
      </c>
      <c r="AK27" s="32">
        <f t="shared" si="113"/>
        <v>276.44864000000007</v>
      </c>
      <c r="AL27" s="33">
        <f t="shared" si="114"/>
        <v>0.53424645662760895</v>
      </c>
      <c r="AM27" s="33">
        <f t="shared" si="115"/>
        <v>0.39617179652791584</v>
      </c>
      <c r="AN27" s="29"/>
      <c r="AO27" s="32">
        <f>SUBTOTAL(9,AO18:AO26)</f>
        <v>-2646.0370400000006</v>
      </c>
      <c r="AP27" s="32">
        <f t="shared" ref="AP27" si="159">SUBTOTAL(9,AP18:AP26)</f>
        <v>-2830.37048</v>
      </c>
      <c r="AQ27" s="32">
        <f t="shared" ref="AQ27" si="160">SUBTOTAL(9,AQ18:AQ26)</f>
        <v>-2351.2167097048236</v>
      </c>
      <c r="AR27" s="32">
        <f t="shared" si="116"/>
        <v>184.33343999999943</v>
      </c>
      <c r="AS27" s="32">
        <f t="shared" si="117"/>
        <v>-294.82033029517697</v>
      </c>
      <c r="AT27" s="33">
        <f t="shared" si="118"/>
        <v>6.5126965286890437E-2</v>
      </c>
      <c r="AU27" s="33">
        <f t="shared" si="119"/>
        <v>-0.12539053889770513</v>
      </c>
      <c r="AV27" s="17"/>
      <c r="AW27" s="32">
        <f>SUBTOTAL(9,AW18:AW26)</f>
        <v>34669.564090000007</v>
      </c>
      <c r="AX27" s="32">
        <f t="shared" ref="AX27" si="161">SUBTOTAL(9,AX18:AX26)</f>
        <v>33321.873910000009</v>
      </c>
      <c r="AY27" s="32">
        <f t="shared" ref="AY27" si="162">SUBTOTAL(9,AY18:AY26)</f>
        <v>32698.573418464151</v>
      </c>
      <c r="AZ27" s="32">
        <f t="shared" si="120"/>
        <v>1347.6901799999978</v>
      </c>
      <c r="BA27" s="32">
        <f t="shared" si="121"/>
        <v>1970.9906715358557</v>
      </c>
      <c r="BB27" s="33">
        <f t="shared" si="122"/>
        <v>4.04446095570739E-2</v>
      </c>
      <c r="BC27" s="33">
        <f t="shared" si="123"/>
        <v>6.0277573773994723E-2</v>
      </c>
      <c r="BD27" s="17"/>
      <c r="BE27" s="32">
        <f>SUBTOTAL(9,BE18:BE26)</f>
        <v>-10512.1422</v>
      </c>
      <c r="BF27" s="32">
        <f t="shared" ref="BF27" si="163">SUBTOTAL(9,BF18:BF26)</f>
        <v>-10293.460869999999</v>
      </c>
      <c r="BG27" s="32">
        <f t="shared" ref="BG27" si="164">SUBTOTAL(9,BG18:BG26)</f>
        <v>-10142.724460000001</v>
      </c>
      <c r="BH27" s="32">
        <f t="shared" si="124"/>
        <v>-218.68133000000125</v>
      </c>
      <c r="BI27" s="32">
        <f t="shared" si="125"/>
        <v>-369.41773999999896</v>
      </c>
      <c r="BJ27" s="33">
        <f t="shared" si="126"/>
        <v>-2.1244684636373547E-2</v>
      </c>
      <c r="BK27" s="33">
        <f t="shared" si="127"/>
        <v>-3.6421943774266635E-2</v>
      </c>
      <c r="BL27" s="17"/>
      <c r="BM27" s="32">
        <f>SUBTOTAL(9,BM18:BM26)</f>
        <v>-3934.8785700000003</v>
      </c>
      <c r="BN27" s="32">
        <f t="shared" ref="BN27" si="165">SUBTOTAL(9,BN18:BN26)</f>
        <v>-4116.4690599999994</v>
      </c>
      <c r="BO27" s="32">
        <f t="shared" ref="BO27" si="166">SUBTOTAL(9,BO18:BO26)</f>
        <v>-4430.7094400000005</v>
      </c>
      <c r="BP27" s="32">
        <f t="shared" si="128"/>
        <v>181.59048999999914</v>
      </c>
      <c r="BQ27" s="32">
        <f t="shared" si="129"/>
        <v>495.83087000000023</v>
      </c>
      <c r="BR27" s="33">
        <f t="shared" si="130"/>
        <v>4.411316770591716E-2</v>
      </c>
      <c r="BS27" s="33">
        <f t="shared" si="131"/>
        <v>0.11190778287641452</v>
      </c>
      <c r="BT27" s="17"/>
      <c r="BU27" s="32">
        <f>SUBTOTAL(9,BU18:BU26)</f>
        <v>-6508.2879099999991</v>
      </c>
      <c r="BV27" s="32">
        <f t="shared" ref="BV27" si="167">SUBTOTAL(9,BV18:BV26)</f>
        <v>-6505.6250999999993</v>
      </c>
      <c r="BW27" s="32">
        <f t="shared" ref="BW27" si="168">SUBTOTAL(9,BW18:BW26)</f>
        <v>-6443.3776300000009</v>
      </c>
      <c r="BX27" s="32">
        <f t="shared" si="132"/>
        <v>-2.6628099999998085</v>
      </c>
      <c r="BY27" s="32">
        <f t="shared" si="133"/>
        <v>-64.910279999998238</v>
      </c>
      <c r="BZ27" s="33">
        <f t="shared" si="134"/>
        <v>-4.0930886103470804E-4</v>
      </c>
      <c r="CA27" s="33">
        <f t="shared" si="135"/>
        <v>-1.0073952471414939E-2</v>
      </c>
      <c r="CB27" s="17"/>
      <c r="CC27" s="32">
        <f>SUBTOTAL(9,CC18:CC26)</f>
        <v>13714.255410000005</v>
      </c>
      <c r="CD27" s="32">
        <f t="shared" ref="CD27" si="169">SUBTOTAL(9,CD18:CD26)</f>
        <v>12406.318880000006</v>
      </c>
      <c r="CE27" s="32">
        <f t="shared" ref="CE27" si="170">SUBTOTAL(9,CE18:CE26)</f>
        <v>11681.761888464154</v>
      </c>
      <c r="CF27" s="32">
        <f t="shared" si="136"/>
        <v>1307.936529999999</v>
      </c>
      <c r="CG27" s="32">
        <f t="shared" si="137"/>
        <v>2032.493521535851</v>
      </c>
      <c r="CH27" s="33">
        <f t="shared" si="138"/>
        <v>0.10542502918480509</v>
      </c>
      <c r="CI27" s="33">
        <f t="shared" si="139"/>
        <v>0.17398861070289035</v>
      </c>
      <c r="CJ27" s="17"/>
      <c r="CK27" s="32">
        <f>SUBTOTAL(9,CK18:CK26)</f>
        <v>-4371.1564900000012</v>
      </c>
      <c r="CL27" s="32">
        <f t="shared" ref="CL27" si="171">SUBTOTAL(9,CL18:CL26)</f>
        <v>-3792.73459</v>
      </c>
      <c r="CM27" s="32">
        <f t="shared" ref="CM27" si="172">SUBTOTAL(9,CM18:CM26)</f>
        <v>-3974.2023799999997</v>
      </c>
      <c r="CN27" s="32">
        <f t="shared" si="140"/>
        <v>-578.42190000000119</v>
      </c>
      <c r="CO27" s="32">
        <f t="shared" si="141"/>
        <v>-396.95411000000149</v>
      </c>
      <c r="CP27" s="33">
        <f t="shared" si="142"/>
        <v>-0.15250787690894058</v>
      </c>
      <c r="CQ27" s="33">
        <f t="shared" si="143"/>
        <v>-9.9882711559344778E-2</v>
      </c>
      <c r="CR27" s="17"/>
      <c r="CS27" s="32">
        <f>SUBTOTAL(9,CS18:CS26)</f>
        <v>9343.098920000004</v>
      </c>
      <c r="CT27" s="32">
        <f t="shared" ref="CT27" si="173">SUBTOTAL(9,CT18:CT26)</f>
        <v>8613.5842900000061</v>
      </c>
      <c r="CU27" s="32">
        <f t="shared" ref="CU27" si="174">SUBTOTAL(9,CU18:CU26)</f>
        <v>7707.5595084641554</v>
      </c>
      <c r="CV27" s="32">
        <f t="shared" ref="CV27" si="175">CS27-CT27</f>
        <v>729.51462999999785</v>
      </c>
      <c r="CW27" s="32">
        <f t="shared" ref="CW27" si="176">CS27-CU27</f>
        <v>1635.5394115358486</v>
      </c>
      <c r="CX27" s="33">
        <f t="shared" si="144"/>
        <v>8.4693503359215092E-2</v>
      </c>
      <c r="CY27" s="33">
        <f t="shared" si="145"/>
        <v>0.21219938811237979</v>
      </c>
    </row>
    <row r="28" spans="2:103" outlineLevel="2" x14ac:dyDescent="0.85">
      <c r="B28" s="1" t="s">
        <v>74</v>
      </c>
      <c r="C28" s="1" t="s">
        <v>74</v>
      </c>
      <c r="D28" s="2">
        <v>701</v>
      </c>
      <c r="E28" s="1" t="s">
        <v>39</v>
      </c>
      <c r="F28" s="2" t="s">
        <v>13</v>
      </c>
      <c r="G28" s="1" t="s">
        <v>64</v>
      </c>
      <c r="I28" s="3">
        <f>SUMIFS('P&amp;L Data'!$N:$N,'P&amp;L Data'!$B:$B,$D28,'P&amp;L Data'!$C:$C,$I$4)</f>
        <v>14170.92791</v>
      </c>
      <c r="J28" s="3">
        <f>SUMIFS('P&amp;L Data'!$P:$P,'P&amp;L Data'!$B:$B,$D28,'P&amp;L Data'!$C:$C,$I$4)</f>
        <v>19805.616730000002</v>
      </c>
      <c r="K28" s="3">
        <f>SUMIFS('P&amp;L Data'!$T:$T,'P&amp;L Data'!$B:$B,$D28,'P&amp;L Data'!$C:$C,$I$4)</f>
        <v>17945.083049999997</v>
      </c>
      <c r="L28" s="3">
        <f t="shared" si="100"/>
        <v>-5634.6888200000012</v>
      </c>
      <c r="M28" s="3">
        <f t="shared" si="101"/>
        <v>-3774.1551399999971</v>
      </c>
      <c r="N28" s="8">
        <f t="shared" si="102"/>
        <v>-0.28449953853065402</v>
      </c>
      <c r="O28" s="8">
        <f t="shared" si="103"/>
        <v>-0.21031695030243941</v>
      </c>
      <c r="P28" s="24"/>
      <c r="Q28" s="3">
        <f>SUMIFS('P&amp;L Data'!$N:$N,'P&amp;L Data'!$B:$B,$D28,'P&amp;L Data'!$C:$C,$Q$4)</f>
        <v>596.6158100000016</v>
      </c>
      <c r="R28" s="3">
        <f>SUMIFS('P&amp;L Data'!$P:$P,'P&amp;L Data'!$B:$B,$D28,'P&amp;L Data'!$C:$C,$Q$4)</f>
        <v>1072.3037699999998</v>
      </c>
      <c r="S28" s="3">
        <f>SUMIFS('P&amp;L Data'!$T:$T,'P&amp;L Data'!$B:$B,$D28,'P&amp;L Data'!$C:$C,$Q$4)</f>
        <v>822.51949890476988</v>
      </c>
      <c r="T28" s="3">
        <f t="shared" si="104"/>
        <v>-475.68795999999816</v>
      </c>
      <c r="U28" s="3">
        <f t="shared" si="105"/>
        <v>-225.90368890476827</v>
      </c>
      <c r="V28" s="8">
        <f t="shared" si="106"/>
        <v>-0.4436130631154997</v>
      </c>
      <c r="W28" s="8">
        <f t="shared" si="107"/>
        <v>-0.27464842986162824</v>
      </c>
      <c r="X28" s="24"/>
      <c r="Y28" s="3">
        <f>SUMIFS('P&amp;L Data'!$N:$N,'P&amp;L Data'!$B:$B,$D28,'P&amp;L Data'!$C:$C,$Y$4)</f>
        <v>3472.9324400000032</v>
      </c>
      <c r="Z28" s="3">
        <f>SUMIFS('P&amp;L Data'!$P:$P,'P&amp;L Data'!$B:$B,$D28,'P&amp;L Data'!$C:$C,$Y$4)</f>
        <v>4954.6698500000011</v>
      </c>
      <c r="AA28" s="3">
        <f>SUMIFS('P&amp;L Data'!$T:$T,'P&amp;L Data'!$B:$B,$D28,'P&amp;L Data'!$C:$C,$Y$4)</f>
        <v>4163.4163789047616</v>
      </c>
      <c r="AB28" s="3">
        <f t="shared" si="108"/>
        <v>-1481.7374099999979</v>
      </c>
      <c r="AC28" s="3">
        <f t="shared" si="109"/>
        <v>-690.48393890475836</v>
      </c>
      <c r="AD28" s="8">
        <f t="shared" si="110"/>
        <v>-0.29905875766878748</v>
      </c>
      <c r="AE28" s="8">
        <f t="shared" si="111"/>
        <v>-0.16584551629361624</v>
      </c>
      <c r="AF28" s="24"/>
      <c r="AG28" s="3">
        <f>SUMIFS('P&amp;L Data'!$N:$N,'P&amp;L Data'!$B:$B,$D28,'P&amp;L Data'!$C:$C,$AG$4)</f>
        <v>-76.134690000000006</v>
      </c>
      <c r="AH28" s="3">
        <f>SUMIFS('P&amp;L Data'!$P:$P,'P&amp;L Data'!$B:$B,$D28,'P&amp;L Data'!$C:$C,$AG$4)</f>
        <v>-126.13234000000001</v>
      </c>
      <c r="AI28" s="3">
        <f>SUMIFS('P&amp;L Data'!$T:$T,'P&amp;L Data'!$B:$B,$D28,'P&amp;L Data'!$C:$C,$AG$4)</f>
        <v>-89.896839999999997</v>
      </c>
      <c r="AJ28" s="3">
        <f t="shared" si="112"/>
        <v>49.997650000000007</v>
      </c>
      <c r="AK28" s="3">
        <f t="shared" si="113"/>
        <v>13.762149999999991</v>
      </c>
      <c r="AL28" s="8">
        <f t="shared" si="114"/>
        <v>0.39639041026274469</v>
      </c>
      <c r="AM28" s="8">
        <f t="shared" si="115"/>
        <v>0.15308825093295816</v>
      </c>
      <c r="AN28" s="24"/>
      <c r="AO28" s="3">
        <f>SUMIFS('P&amp;L Data'!$N:$N,'P&amp;L Data'!$B:$B,$D28,'P&amp;L Data'!$C:$C,$AO$4)</f>
        <v>-237.96594999999999</v>
      </c>
      <c r="AP28" s="3">
        <f>SUMIFS('P&amp;L Data'!$P:$P,'P&amp;L Data'!$B:$B,$D28,'P&amp;L Data'!$C:$C,$AO$4)</f>
        <v>-352.91377</v>
      </c>
      <c r="AQ28" s="3">
        <f>SUMIFS('P&amp;L Data'!$T:$T,'P&amp;L Data'!$B:$B,$D28,'P&amp;L Data'!$C:$C,$AO$4)</f>
        <v>-282.56409000000002</v>
      </c>
      <c r="AR28" s="3">
        <f t="shared" si="116"/>
        <v>114.94782000000001</v>
      </c>
      <c r="AS28" s="3">
        <f t="shared" si="117"/>
        <v>44.598140000000029</v>
      </c>
      <c r="AT28" s="8">
        <f t="shared" si="118"/>
        <v>0.32571078198507247</v>
      </c>
      <c r="AU28" s="8">
        <f t="shared" si="119"/>
        <v>0.15783371482200736</v>
      </c>
      <c r="AW28" s="3">
        <f>SUMIFS('P&amp;L Data'!$N:$N,'P&amp;L Data'!$B:$B,$D28,'P&amp;L Data'!$C:$C,$AW$4)</f>
        <v>3158.8318000000036</v>
      </c>
      <c r="AX28" s="3">
        <f>SUMIFS('P&amp;L Data'!$P:$P,'P&amp;L Data'!$B:$B,$D28,'P&amp;L Data'!$C:$C,$AW$4)</f>
        <v>4475.6237400000009</v>
      </c>
      <c r="AY28" s="3">
        <f>SUMIFS('P&amp;L Data'!$T:$T,'P&amp;L Data'!$B:$B,$D28,'P&amp;L Data'!$C:$C,$AW$4)</f>
        <v>3790.9554489047619</v>
      </c>
      <c r="AZ28" s="3">
        <f t="shared" si="120"/>
        <v>-1316.7919399999973</v>
      </c>
      <c r="BA28" s="3">
        <f t="shared" si="121"/>
        <v>-632.12364890475828</v>
      </c>
      <c r="BB28" s="8">
        <f t="shared" si="122"/>
        <v>-0.29421417359806862</v>
      </c>
      <c r="BC28" s="8">
        <f t="shared" si="123"/>
        <v>-0.16674520643269072</v>
      </c>
      <c r="BE28" s="3">
        <f>SUMIFS('P&amp;L Data'!$N:$N,'P&amp;L Data'!$B:$B,$D28,'P&amp;L Data'!$C:$C,$BE$4)</f>
        <v>-1075.12797</v>
      </c>
      <c r="BF28" s="3">
        <f>SUMIFS('P&amp;L Data'!$P:$P,'P&amp;L Data'!$B:$B,$D28,'P&amp;L Data'!$C:$C,$BE$4)</f>
        <v>-1238.4524999999999</v>
      </c>
      <c r="BG28" s="3">
        <f>SUMIFS('P&amp;L Data'!$T:$T,'P&amp;L Data'!$B:$B,$D28,'P&amp;L Data'!$C:$C,$BE$4)</f>
        <v>-1133.7306599999999</v>
      </c>
      <c r="BH28" s="3">
        <f t="shared" si="124"/>
        <v>163.32452999999987</v>
      </c>
      <c r="BI28" s="3">
        <f t="shared" si="125"/>
        <v>58.602689999999939</v>
      </c>
      <c r="BJ28" s="8">
        <f t="shared" si="126"/>
        <v>0.13187791215246436</v>
      </c>
      <c r="BK28" s="8">
        <f t="shared" si="127"/>
        <v>5.1690134233469472E-2</v>
      </c>
      <c r="BM28" s="3">
        <f>SUMIFS('P&amp;L Data'!$N:$N,'P&amp;L Data'!$B:$B,$D28,'P&amp;L Data'!$C:$C,$BM$4)</f>
        <v>-388.63345999999996</v>
      </c>
      <c r="BN28" s="3">
        <f>SUMIFS('P&amp;L Data'!$P:$P,'P&amp;L Data'!$B:$B,$D28,'P&amp;L Data'!$C:$C,$BM$4)</f>
        <v>-546.80583999999999</v>
      </c>
      <c r="BO28" s="3">
        <f>SUMIFS('P&amp;L Data'!$T:$T,'P&amp;L Data'!$B:$B,$D28,'P&amp;L Data'!$C:$C,$BM$4)</f>
        <v>-479.22044999999991</v>
      </c>
      <c r="BP28" s="3">
        <f t="shared" si="128"/>
        <v>158.17238000000003</v>
      </c>
      <c r="BQ28" s="3">
        <f t="shared" si="129"/>
        <v>90.586989999999957</v>
      </c>
      <c r="BR28" s="8">
        <f t="shared" si="130"/>
        <v>0.28926607660225434</v>
      </c>
      <c r="BS28" s="8">
        <f t="shared" si="131"/>
        <v>0.18902989219262237</v>
      </c>
      <c r="BU28" s="3">
        <f>SUMIFS('P&amp;L Data'!$N:$N,'P&amp;L Data'!$B:$B,$D28,'P&amp;L Data'!$C:$C,$BU$4)</f>
        <v>-564.59519999999998</v>
      </c>
      <c r="BV28" s="3">
        <f>SUMIFS('P&amp;L Data'!$P:$P,'P&amp;L Data'!$B:$B,$D28,'P&amp;L Data'!$C:$C,$BU$4)</f>
        <v>-560.00519999999995</v>
      </c>
      <c r="BW28" s="3">
        <f>SUMIFS('P&amp;L Data'!$T:$T,'P&amp;L Data'!$B:$B,$D28,'P&amp;L Data'!$C:$C,$BU$4)</f>
        <v>-379.86</v>
      </c>
      <c r="BX28" s="3">
        <f t="shared" si="132"/>
        <v>-4.5900000000000318</v>
      </c>
      <c r="BY28" s="3">
        <f t="shared" si="133"/>
        <v>-184.73519999999996</v>
      </c>
      <c r="BZ28" s="8">
        <f t="shared" si="134"/>
        <v>-8.196352462441478E-3</v>
      </c>
      <c r="CA28" s="8">
        <f t="shared" si="135"/>
        <v>-0.48632443531827502</v>
      </c>
      <c r="CC28" s="3">
        <f>SUMIFS('P&amp;L Data'!$N:$N,'P&amp;L Data'!$B:$B,$D28,'P&amp;L Data'!$C:$C,$CC$4)</f>
        <v>1130.4751700000036</v>
      </c>
      <c r="CD28" s="3">
        <f>SUMIFS('P&amp;L Data'!$P:$P,'P&amp;L Data'!$B:$B,$D28,'P&amp;L Data'!$C:$C,$CC$4)</f>
        <v>2130.360200000001</v>
      </c>
      <c r="CE28" s="3">
        <f>SUMIFS('P&amp;L Data'!$T:$T,'P&amp;L Data'!$B:$B,$D28,'P&amp;L Data'!$C:$C,$CC$4)</f>
        <v>1798.1443389047618</v>
      </c>
      <c r="CF28" s="3">
        <f t="shared" si="136"/>
        <v>-999.88502999999741</v>
      </c>
      <c r="CG28" s="3">
        <f t="shared" si="137"/>
        <v>-667.66916890475818</v>
      </c>
      <c r="CH28" s="8">
        <f t="shared" si="138"/>
        <v>-0.46935022068098953</v>
      </c>
      <c r="CI28" s="8">
        <f t="shared" si="139"/>
        <v>-0.37131010812593124</v>
      </c>
      <c r="CK28" s="3">
        <f>SUMIFS('P&amp;L Data'!$N:$N,'P&amp;L Data'!$B:$B,$D28,'P&amp;L Data'!$C:$C,$CK$4)</f>
        <v>-327.24142999999998</v>
      </c>
      <c r="CL28" s="3">
        <f>SUMIFS('P&amp;L Data'!$P:$P,'P&amp;L Data'!$B:$B,$D28,'P&amp;L Data'!$C:$C,$CK$4)</f>
        <v>-650.14727000000005</v>
      </c>
      <c r="CM28" s="3">
        <f>SUMIFS('P&amp;L Data'!$T:$T,'P&amp;L Data'!$B:$B,$D28,'P&amp;L Data'!$C:$C,$CK$4)</f>
        <v>-205.16298000000003</v>
      </c>
      <c r="CN28" s="3">
        <f t="shared" si="140"/>
        <v>322.90584000000007</v>
      </c>
      <c r="CO28" s="3">
        <f t="shared" si="141"/>
        <v>-122.07844999999995</v>
      </c>
      <c r="CP28" s="8">
        <f t="shared" si="142"/>
        <v>0.49666568622213864</v>
      </c>
      <c r="CQ28" s="8">
        <f t="shared" si="143"/>
        <v>-0.59503156953559522</v>
      </c>
      <c r="CS28" s="3">
        <f>SUMIFS('P&amp;L Data'!$N:$N,'P&amp;L Data'!$B:$B,$D28,'P&amp;L Data'!$C:$C,$CS$4)</f>
        <v>803.23374000000354</v>
      </c>
      <c r="CT28" s="3">
        <f>SUMIFS('P&amp;L Data'!$P:$P,'P&amp;L Data'!$B:$B,$D28,'P&amp;L Data'!$C:$C,$CS$4)</f>
        <v>1480.2129300000011</v>
      </c>
      <c r="CU28" s="3">
        <f>SUMIFS('P&amp;L Data'!$T:$T,'P&amp;L Data'!$B:$B,$D28,'P&amp;L Data'!$C:$C,$CS$4)</f>
        <v>1592.9813589047617</v>
      </c>
      <c r="CV28" s="3">
        <f t="shared" ref="CV28:CV29" si="177">CS28-CT28</f>
        <v>-676.97918999999752</v>
      </c>
      <c r="CW28" s="3">
        <f t="shared" ref="CW28:CW29" si="178">CS28-CU28</f>
        <v>-789.74761890475816</v>
      </c>
      <c r="CX28" s="8">
        <f t="shared" si="144"/>
        <v>-0.45735257156549569</v>
      </c>
      <c r="CY28" s="8">
        <f t="shared" si="145"/>
        <v>-0.49576701854674632</v>
      </c>
    </row>
    <row r="29" spans="2:103" outlineLevel="2" x14ac:dyDescent="0.85">
      <c r="B29" s="1" t="s">
        <v>74</v>
      </c>
      <c r="C29" s="1" t="s">
        <v>74</v>
      </c>
      <c r="D29" s="2">
        <v>70001</v>
      </c>
      <c r="E29" s="1" t="s">
        <v>38</v>
      </c>
      <c r="F29" s="2" t="s">
        <v>15</v>
      </c>
      <c r="G29" s="1" t="s">
        <v>64</v>
      </c>
      <c r="I29" s="3">
        <f>SUMIFS('P&amp;L Data'!$N:$N,'P&amp;L Data'!$B:$B,$D29,'P&amp;L Data'!$C:$C,$I$4)</f>
        <v>34834.616839999995</v>
      </c>
      <c r="J29" s="3">
        <f>SUMIFS('P&amp;L Data'!$P:$P,'P&amp;L Data'!$B:$B,$D29,'P&amp;L Data'!$C:$C,$I$4)</f>
        <v>33972.844259999998</v>
      </c>
      <c r="K29" s="3">
        <f>SUMIFS('P&amp;L Data'!$T:$T,'P&amp;L Data'!$B:$B,$D29,'P&amp;L Data'!$C:$C,$I$4)</f>
        <v>33600.444799999997</v>
      </c>
      <c r="L29" s="3">
        <f t="shared" si="100"/>
        <v>861.77257999999711</v>
      </c>
      <c r="M29" s="3">
        <f t="shared" si="101"/>
        <v>1234.1720399999977</v>
      </c>
      <c r="N29" s="8">
        <f t="shared" si="102"/>
        <v>2.5366512541743751E-2</v>
      </c>
      <c r="O29" s="8">
        <f t="shared" si="103"/>
        <v>3.6730824468133166E-2</v>
      </c>
      <c r="P29" s="24"/>
      <c r="Q29" s="3">
        <f>SUMIFS('P&amp;L Data'!$N:$N,'P&amp;L Data'!$B:$B,$D29,'P&amp;L Data'!$C:$C,$Q$4)</f>
        <v>685.96074000000124</v>
      </c>
      <c r="R29" s="3">
        <f>SUMIFS('P&amp;L Data'!$P:$P,'P&amp;L Data'!$B:$B,$D29,'P&amp;L Data'!$C:$C,$Q$4)</f>
        <v>1368.9914799999995</v>
      </c>
      <c r="S29" s="3">
        <f>SUMIFS('P&amp;L Data'!$T:$T,'P&amp;L Data'!$B:$B,$D29,'P&amp;L Data'!$C:$C,$Q$4)</f>
        <v>1708.6027368896134</v>
      </c>
      <c r="T29" s="3">
        <f t="shared" si="104"/>
        <v>-683.03073999999822</v>
      </c>
      <c r="U29" s="3">
        <f t="shared" si="105"/>
        <v>-1022.6419968896122</v>
      </c>
      <c r="V29" s="8">
        <f t="shared" si="106"/>
        <v>-0.49892986916178506</v>
      </c>
      <c r="W29" s="8">
        <f t="shared" si="107"/>
        <v>-0.59852531826752031</v>
      </c>
      <c r="X29" s="24"/>
      <c r="Y29" s="3">
        <f>SUMIFS('P&amp;L Data'!$N:$N,'P&amp;L Data'!$B:$B,$D29,'P&amp;L Data'!$C:$C,$Y$4)</f>
        <v>7914.8957499999988</v>
      </c>
      <c r="Z29" s="3">
        <f>SUMIFS('P&amp;L Data'!$P:$P,'P&amp;L Data'!$B:$B,$D29,'P&amp;L Data'!$C:$C,$Y$4)</f>
        <v>8256.5650299999979</v>
      </c>
      <c r="AA29" s="3">
        <f>SUMIFS('P&amp;L Data'!$T:$T,'P&amp;L Data'!$B:$B,$D29,'P&amp;L Data'!$C:$C,$Y$4)</f>
        <v>8209.6329368896186</v>
      </c>
      <c r="AB29" s="3">
        <f t="shared" si="108"/>
        <v>-341.66927999999916</v>
      </c>
      <c r="AC29" s="3">
        <f t="shared" si="109"/>
        <v>-294.73718688961981</v>
      </c>
      <c r="AD29" s="8">
        <f t="shared" si="110"/>
        <v>-4.1381528366645617E-2</v>
      </c>
      <c r="AE29" s="8">
        <f t="shared" si="111"/>
        <v>-3.5901384282996558E-2</v>
      </c>
      <c r="AF29" s="24"/>
      <c r="AG29" s="3">
        <f>SUMIFS('P&amp;L Data'!$N:$N,'P&amp;L Data'!$B:$B,$D29,'P&amp;L Data'!$C:$C,$AG$4)</f>
        <v>-106.51909000000001</v>
      </c>
      <c r="AH29" s="3">
        <f>SUMIFS('P&amp;L Data'!$P:$P,'P&amp;L Data'!$B:$B,$D29,'P&amp;L Data'!$C:$C,$AG$4)</f>
        <v>-223.78102999999999</v>
      </c>
      <c r="AI29" s="3">
        <f>SUMIFS('P&amp;L Data'!$T:$T,'P&amp;L Data'!$B:$B,$D29,'P&amp;L Data'!$C:$C,$AG$4)</f>
        <v>-186.46278000000001</v>
      </c>
      <c r="AJ29" s="3">
        <f t="shared" si="112"/>
        <v>117.26193999999998</v>
      </c>
      <c r="AK29" s="3">
        <f t="shared" si="113"/>
        <v>79.943690000000004</v>
      </c>
      <c r="AL29" s="8">
        <f t="shared" si="114"/>
        <v>0.52400303993595876</v>
      </c>
      <c r="AM29" s="8">
        <f t="shared" si="115"/>
        <v>0.42873805699990097</v>
      </c>
      <c r="AN29" s="24"/>
      <c r="AO29" s="3">
        <f>SUMIFS('P&amp;L Data'!$N:$N,'P&amp;L Data'!$B:$B,$D29,'P&amp;L Data'!$C:$C,$AO$4)</f>
        <v>-553.34641999999997</v>
      </c>
      <c r="AP29" s="3">
        <f>SUMIFS('P&amp;L Data'!$P:$P,'P&amp;L Data'!$B:$B,$D29,'P&amp;L Data'!$C:$C,$AO$4)</f>
        <v>-600.40494000000012</v>
      </c>
      <c r="AQ29" s="3">
        <f>SUMIFS('P&amp;L Data'!$T:$T,'P&amp;L Data'!$B:$B,$D29,'P&amp;L Data'!$C:$C,$AO$4)</f>
        <v>-546.5751600000001</v>
      </c>
      <c r="AR29" s="3">
        <f t="shared" si="116"/>
        <v>47.058520000000158</v>
      </c>
      <c r="AS29" s="3">
        <f t="shared" si="117"/>
        <v>-6.7712599999998702</v>
      </c>
      <c r="AT29" s="8">
        <f t="shared" si="118"/>
        <v>7.8377969375135637E-2</v>
      </c>
      <c r="AU29" s="8">
        <f t="shared" si="119"/>
        <v>-1.2388524937722873E-2</v>
      </c>
      <c r="AW29" s="3">
        <f>SUMIFS('P&amp;L Data'!$N:$N,'P&amp;L Data'!$B:$B,$D29,'P&amp;L Data'!$C:$C,$AW$4)</f>
        <v>7255.0302399999991</v>
      </c>
      <c r="AX29" s="3">
        <f>SUMIFS('P&amp;L Data'!$P:$P,'P&amp;L Data'!$B:$B,$D29,'P&amp;L Data'!$C:$C,$AW$4)</f>
        <v>7432.3790599999975</v>
      </c>
      <c r="AY29" s="3">
        <f>SUMIFS('P&amp;L Data'!$T:$T,'P&amp;L Data'!$B:$B,$D29,'P&amp;L Data'!$C:$C,$AW$4)</f>
        <v>7476.5949968896175</v>
      </c>
      <c r="AZ29" s="3">
        <f t="shared" si="120"/>
        <v>-177.34881999999834</v>
      </c>
      <c r="BA29" s="3">
        <f t="shared" si="121"/>
        <v>-221.56475688961837</v>
      </c>
      <c r="BB29" s="8">
        <f t="shared" si="122"/>
        <v>-2.386164895093475E-2</v>
      </c>
      <c r="BC29" s="8">
        <f t="shared" si="123"/>
        <v>-2.9634446827973539E-2</v>
      </c>
      <c r="BE29" s="3">
        <f>SUMIFS('P&amp;L Data'!$N:$N,'P&amp;L Data'!$B:$B,$D29,'P&amp;L Data'!$C:$C,$BE$4)</f>
        <v>-1696.0322700000006</v>
      </c>
      <c r="BF29" s="3">
        <f>SUMIFS('P&amp;L Data'!$P:$P,'P&amp;L Data'!$B:$B,$D29,'P&amp;L Data'!$C:$C,$BE$4)</f>
        <v>-1775.7627900000002</v>
      </c>
      <c r="BG29" s="3">
        <f>SUMIFS('P&amp;L Data'!$T:$T,'P&amp;L Data'!$B:$B,$D29,'P&amp;L Data'!$C:$C,$BE$4)</f>
        <v>-1744.7104700000002</v>
      </c>
      <c r="BH29" s="3">
        <f t="shared" si="124"/>
        <v>79.730519999999615</v>
      </c>
      <c r="BI29" s="3">
        <f t="shared" si="125"/>
        <v>48.678199999999606</v>
      </c>
      <c r="BJ29" s="8">
        <f t="shared" si="126"/>
        <v>4.4899307750445434E-2</v>
      </c>
      <c r="BK29" s="8">
        <f t="shared" si="127"/>
        <v>2.7900445854491605E-2</v>
      </c>
      <c r="BM29" s="3">
        <f>SUMIFS('P&amp;L Data'!$N:$N,'P&amp;L Data'!$B:$B,$D29,'P&amp;L Data'!$C:$C,$BM$4)</f>
        <v>-617.72527000000002</v>
      </c>
      <c r="BN29" s="3">
        <f>SUMIFS('P&amp;L Data'!$P:$P,'P&amp;L Data'!$B:$B,$D29,'P&amp;L Data'!$C:$C,$BM$4)</f>
        <v>-571.97031000000027</v>
      </c>
      <c r="BO29" s="3">
        <f>SUMIFS('P&amp;L Data'!$T:$T,'P&amp;L Data'!$B:$B,$D29,'P&amp;L Data'!$C:$C,$BM$4)</f>
        <v>-275.45605999999992</v>
      </c>
      <c r="BP29" s="3">
        <f t="shared" si="128"/>
        <v>-45.754959999999755</v>
      </c>
      <c r="BQ29" s="3">
        <f t="shared" si="129"/>
        <v>-342.2692100000001</v>
      </c>
      <c r="BR29" s="8">
        <f t="shared" si="130"/>
        <v>-7.999534101691351E-2</v>
      </c>
      <c r="BS29" s="8">
        <f t="shared" si="131"/>
        <v>-1.2425546564486554</v>
      </c>
      <c r="BU29" s="3">
        <f>SUMIFS('P&amp;L Data'!$N:$N,'P&amp;L Data'!$B:$B,$D29,'P&amp;L Data'!$C:$C,$BU$4)</f>
        <v>-910.39049</v>
      </c>
      <c r="BV29" s="3">
        <f>SUMIFS('P&amp;L Data'!$P:$P,'P&amp;L Data'!$B:$B,$D29,'P&amp;L Data'!$C:$C,$BU$4)</f>
        <v>-887.47046999999998</v>
      </c>
      <c r="BW29" s="3">
        <f>SUMIFS('P&amp;L Data'!$T:$T,'P&amp;L Data'!$B:$B,$D29,'P&amp;L Data'!$C:$C,$BU$4)</f>
        <v>-855.96045000000004</v>
      </c>
      <c r="BX29" s="3">
        <f t="shared" si="132"/>
        <v>-22.920020000000022</v>
      </c>
      <c r="BY29" s="3">
        <f t="shared" si="133"/>
        <v>-54.430039999999963</v>
      </c>
      <c r="BZ29" s="8">
        <f t="shared" si="134"/>
        <v>-2.5826233970353992E-2</v>
      </c>
      <c r="CA29" s="8">
        <f t="shared" si="135"/>
        <v>-6.3589433366927128E-2</v>
      </c>
      <c r="CC29" s="3">
        <f>SUMIFS('P&amp;L Data'!$N:$N,'P&amp;L Data'!$B:$B,$D29,'P&amp;L Data'!$C:$C,$CC$4)</f>
        <v>4030.8822099999988</v>
      </c>
      <c r="CD29" s="3">
        <f>SUMIFS('P&amp;L Data'!$P:$P,'P&amp;L Data'!$B:$B,$D29,'P&amp;L Data'!$C:$C,$CC$4)</f>
        <v>4197.1754899999969</v>
      </c>
      <c r="CE29" s="3">
        <f>SUMIFS('P&amp;L Data'!$T:$T,'P&amp;L Data'!$B:$B,$D29,'P&amp;L Data'!$C:$C,$CC$4)</f>
        <v>4600.4680168896175</v>
      </c>
      <c r="CF29" s="3">
        <f t="shared" si="136"/>
        <v>-166.29327999999805</v>
      </c>
      <c r="CG29" s="3">
        <f t="shared" si="137"/>
        <v>-569.58580688961865</v>
      </c>
      <c r="CH29" s="8">
        <f t="shared" si="138"/>
        <v>-3.9620282829774693E-2</v>
      </c>
      <c r="CI29" s="8">
        <f t="shared" si="139"/>
        <v>-0.12381040468024303</v>
      </c>
      <c r="CK29" s="3">
        <f>SUMIFS('P&amp;L Data'!$N:$N,'P&amp;L Data'!$B:$B,$D29,'P&amp;L Data'!$C:$C,$CK$4)</f>
        <v>-267.48011000000002</v>
      </c>
      <c r="CL29" s="3">
        <f>SUMIFS('P&amp;L Data'!$P:$P,'P&amp;L Data'!$B:$B,$D29,'P&amp;L Data'!$C:$C,$CK$4)</f>
        <v>-331.81886000000009</v>
      </c>
      <c r="CM29" s="3">
        <f>SUMIFS('P&amp;L Data'!$T:$T,'P&amp;L Data'!$B:$B,$D29,'P&amp;L Data'!$C:$C,$CK$4)</f>
        <v>-295.98121999999995</v>
      </c>
      <c r="CN29" s="3">
        <f t="shared" si="140"/>
        <v>64.338750000000061</v>
      </c>
      <c r="CO29" s="3">
        <f t="shared" si="141"/>
        <v>28.501109999999926</v>
      </c>
      <c r="CP29" s="8">
        <f t="shared" si="142"/>
        <v>0.19389720644570971</v>
      </c>
      <c r="CQ29" s="8">
        <f t="shared" si="143"/>
        <v>9.6293643225066547E-2</v>
      </c>
      <c r="CS29" s="3">
        <f>SUMIFS('P&amp;L Data'!$N:$N,'P&amp;L Data'!$B:$B,$D29,'P&amp;L Data'!$C:$C,$CS$4)</f>
        <v>3763.4020999999989</v>
      </c>
      <c r="CT29" s="3">
        <f>SUMIFS('P&amp;L Data'!$P:$P,'P&amp;L Data'!$B:$B,$D29,'P&amp;L Data'!$C:$C,$CS$4)</f>
        <v>3865.3566299999966</v>
      </c>
      <c r="CU29" s="3">
        <f>SUMIFS('P&amp;L Data'!$T:$T,'P&amp;L Data'!$B:$B,$D29,'P&amp;L Data'!$C:$C,$CS$4)</f>
        <v>4304.4867968896178</v>
      </c>
      <c r="CV29" s="3">
        <f t="shared" si="177"/>
        <v>-101.9545299999977</v>
      </c>
      <c r="CW29" s="3">
        <f t="shared" si="178"/>
        <v>-541.08469688961895</v>
      </c>
      <c r="CX29" s="8">
        <f t="shared" si="144"/>
        <v>-2.6376487284175326E-2</v>
      </c>
      <c r="CY29" s="8">
        <f t="shared" si="145"/>
        <v>-0.12570248729316622</v>
      </c>
    </row>
    <row r="30" spans="2:103" outlineLevel="1" x14ac:dyDescent="0.85">
      <c r="B30" s="25" t="s">
        <v>74</v>
      </c>
      <c r="C30" s="25" t="s">
        <v>75</v>
      </c>
      <c r="D30" s="26"/>
      <c r="E30" s="26"/>
      <c r="F30" s="26"/>
      <c r="G30" s="25"/>
      <c r="H30" s="16"/>
      <c r="I30" s="27">
        <f>SUBTOTAL(9,I28:I29)</f>
        <v>49005.544749999994</v>
      </c>
      <c r="J30" s="27">
        <f>SUBTOTAL(9,J28:J29)</f>
        <v>53778.46099</v>
      </c>
      <c r="K30" s="27">
        <f>SUBTOTAL(9,K28:K29)</f>
        <v>51545.527849999999</v>
      </c>
      <c r="L30" s="27">
        <f t="shared" si="100"/>
        <v>-4772.9162400000059</v>
      </c>
      <c r="M30" s="27">
        <f t="shared" si="101"/>
        <v>-2539.9831000000049</v>
      </c>
      <c r="N30" s="28">
        <f t="shared" si="102"/>
        <v>-8.8751447180452414E-2</v>
      </c>
      <c r="O30" s="28">
        <f t="shared" si="103"/>
        <v>-4.9276497999816392E-2</v>
      </c>
      <c r="P30" s="29"/>
      <c r="Q30" s="27">
        <f>SUBTOTAL(9,Q28:Q29)</f>
        <v>1282.576550000003</v>
      </c>
      <c r="R30" s="27">
        <f>SUBTOTAL(9,R28:R29)</f>
        <v>2441.2952499999992</v>
      </c>
      <c r="S30" s="27">
        <f>SUBTOTAL(9,S28:S29)</f>
        <v>2531.1222357943834</v>
      </c>
      <c r="T30" s="27">
        <f t="shared" si="104"/>
        <v>-1158.7186999999963</v>
      </c>
      <c r="U30" s="27">
        <f t="shared" si="105"/>
        <v>-1248.5456857943805</v>
      </c>
      <c r="V30" s="28">
        <f t="shared" si="106"/>
        <v>-0.47463275898316543</v>
      </c>
      <c r="W30" s="28">
        <f t="shared" si="107"/>
        <v>-0.4932775146683222</v>
      </c>
      <c r="X30" s="29"/>
      <c r="Y30" s="27">
        <f>SUBTOTAL(9,Y28:Y29)</f>
        <v>11387.828190000002</v>
      </c>
      <c r="Z30" s="27">
        <f>SUBTOTAL(9,Z28:Z29)</f>
        <v>13211.23488</v>
      </c>
      <c r="AA30" s="27">
        <f>SUBTOTAL(9,AA28:AA29)</f>
        <v>12373.04931579438</v>
      </c>
      <c r="AB30" s="27">
        <f t="shared" si="108"/>
        <v>-1823.406689999998</v>
      </c>
      <c r="AC30" s="27">
        <f t="shared" si="109"/>
        <v>-985.22112579437817</v>
      </c>
      <c r="AD30" s="28">
        <f t="shared" si="110"/>
        <v>-0.13801939838041832</v>
      </c>
      <c r="AE30" s="28">
        <f t="shared" si="111"/>
        <v>-7.9626379936652225E-2</v>
      </c>
      <c r="AF30" s="29"/>
      <c r="AG30" s="27">
        <f>SUBTOTAL(9,AG28:AG29)</f>
        <v>-182.65378000000001</v>
      </c>
      <c r="AH30" s="27">
        <f>SUBTOTAL(9,AH28:AH29)</f>
        <v>-349.91336999999999</v>
      </c>
      <c r="AI30" s="27">
        <f>SUBTOTAL(9,AI28:AI29)</f>
        <v>-276.35962000000001</v>
      </c>
      <c r="AJ30" s="27">
        <f t="shared" si="112"/>
        <v>167.25958999999997</v>
      </c>
      <c r="AK30" s="27">
        <f t="shared" si="113"/>
        <v>93.705839999999995</v>
      </c>
      <c r="AL30" s="28">
        <f t="shared" si="114"/>
        <v>0.47800285539246468</v>
      </c>
      <c r="AM30" s="28">
        <f t="shared" si="115"/>
        <v>0.33907211190983688</v>
      </c>
      <c r="AN30" s="29"/>
      <c r="AO30" s="27">
        <f>SUBTOTAL(9,AO28:AO29)</f>
        <v>-791.31236999999999</v>
      </c>
      <c r="AP30" s="27">
        <f>SUBTOTAL(9,AP28:AP29)</f>
        <v>-953.31871000000012</v>
      </c>
      <c r="AQ30" s="27">
        <f>SUBTOTAL(9,AQ28:AQ29)</f>
        <v>-829.13925000000017</v>
      </c>
      <c r="AR30" s="27">
        <f t="shared" si="116"/>
        <v>162.00634000000014</v>
      </c>
      <c r="AS30" s="27">
        <f t="shared" si="117"/>
        <v>37.826880000000187</v>
      </c>
      <c r="AT30" s="28">
        <f t="shared" si="118"/>
        <v>0.16993932700639025</v>
      </c>
      <c r="AU30" s="28">
        <f t="shared" si="119"/>
        <v>4.5621866290855462E-2</v>
      </c>
      <c r="AV30" s="17"/>
      <c r="AW30" s="27">
        <f>SUBTOTAL(9,AW28:AW29)</f>
        <v>10413.862040000004</v>
      </c>
      <c r="AX30" s="27">
        <f>SUBTOTAL(9,AX28:AX29)</f>
        <v>11908.002799999998</v>
      </c>
      <c r="AY30" s="27">
        <f>SUBTOTAL(9,AY28:AY29)</f>
        <v>11267.550445794379</v>
      </c>
      <c r="AZ30" s="27">
        <f t="shared" si="120"/>
        <v>-1494.1407599999948</v>
      </c>
      <c r="BA30" s="27">
        <f t="shared" si="121"/>
        <v>-853.68840579437529</v>
      </c>
      <c r="BB30" s="28">
        <f t="shared" si="122"/>
        <v>-0.12547366549157973</v>
      </c>
      <c r="BC30" s="28">
        <f t="shared" si="123"/>
        <v>-7.5765217107416197E-2</v>
      </c>
      <c r="BD30" s="17"/>
      <c r="BE30" s="27">
        <f>SUBTOTAL(9,BE28:BE29)</f>
        <v>-2771.1602400000006</v>
      </c>
      <c r="BF30" s="27">
        <f>SUBTOTAL(9,BF28:BF29)</f>
        <v>-3014.2152900000001</v>
      </c>
      <c r="BG30" s="27">
        <f>SUBTOTAL(9,BG28:BG29)</f>
        <v>-2878.4411300000002</v>
      </c>
      <c r="BH30" s="27">
        <f t="shared" si="124"/>
        <v>243.05504999999948</v>
      </c>
      <c r="BI30" s="27">
        <f t="shared" si="125"/>
        <v>107.28088999999954</v>
      </c>
      <c r="BJ30" s="28">
        <f t="shared" si="126"/>
        <v>8.0636260723101663E-2</v>
      </c>
      <c r="BK30" s="28">
        <f t="shared" si="127"/>
        <v>3.7270482582355102E-2</v>
      </c>
      <c r="BL30" s="17"/>
      <c r="BM30" s="27">
        <f>SUBTOTAL(9,BM28:BM29)</f>
        <v>-1006.3587299999999</v>
      </c>
      <c r="BN30" s="27">
        <f>SUBTOTAL(9,BN28:BN29)</f>
        <v>-1118.7761500000001</v>
      </c>
      <c r="BO30" s="27">
        <f>SUBTOTAL(9,BO28:BO29)</f>
        <v>-754.67650999999978</v>
      </c>
      <c r="BP30" s="27">
        <f t="shared" si="128"/>
        <v>112.41742000000022</v>
      </c>
      <c r="BQ30" s="27">
        <f t="shared" si="129"/>
        <v>-251.68222000000014</v>
      </c>
      <c r="BR30" s="28">
        <f t="shared" si="130"/>
        <v>0.10048249598456331</v>
      </c>
      <c r="BS30" s="28">
        <f t="shared" si="131"/>
        <v>-0.33349682501711919</v>
      </c>
      <c r="BT30" s="17"/>
      <c r="BU30" s="27">
        <f>SUBTOTAL(9,BU28:BU29)</f>
        <v>-1474.98569</v>
      </c>
      <c r="BV30" s="27">
        <f>SUBTOTAL(9,BV28:BV29)</f>
        <v>-1447.4756699999998</v>
      </c>
      <c r="BW30" s="27">
        <f>SUBTOTAL(9,BW28:BW29)</f>
        <v>-1235.8204500000002</v>
      </c>
      <c r="BX30" s="27">
        <f t="shared" si="132"/>
        <v>-27.510020000000168</v>
      </c>
      <c r="BY30" s="27">
        <f t="shared" si="133"/>
        <v>-239.16523999999981</v>
      </c>
      <c r="BZ30" s="28">
        <f t="shared" si="134"/>
        <v>-1.9005514614280301E-2</v>
      </c>
      <c r="CA30" s="28">
        <f t="shared" si="135"/>
        <v>-0.19352749827048077</v>
      </c>
      <c r="CB30" s="17"/>
      <c r="CC30" s="27">
        <f>SUBTOTAL(9,CC28:CC29)</f>
        <v>5161.3573800000022</v>
      </c>
      <c r="CD30" s="27">
        <f>SUBTOTAL(9,CD28:CD29)</f>
        <v>6327.5356899999979</v>
      </c>
      <c r="CE30" s="27">
        <f>SUBTOTAL(9,CE28:CE29)</f>
        <v>6398.6123557943793</v>
      </c>
      <c r="CF30" s="27">
        <f t="shared" si="136"/>
        <v>-1166.1783099999957</v>
      </c>
      <c r="CG30" s="27">
        <f t="shared" si="137"/>
        <v>-1237.2549757943771</v>
      </c>
      <c r="CH30" s="28">
        <f t="shared" si="138"/>
        <v>-0.18430213073993679</v>
      </c>
      <c r="CI30" s="28">
        <f t="shared" si="139"/>
        <v>-0.19336301482210566</v>
      </c>
      <c r="CJ30" s="17"/>
      <c r="CK30" s="27">
        <f>SUBTOTAL(9,CK28:CK29)</f>
        <v>-594.72154</v>
      </c>
      <c r="CL30" s="27">
        <f>SUBTOTAL(9,CL28:CL29)</f>
        <v>-981.96613000000013</v>
      </c>
      <c r="CM30" s="27">
        <f>SUBTOTAL(9,CM28:CM29)</f>
        <v>-501.14419999999996</v>
      </c>
      <c r="CN30" s="27">
        <f t="shared" si="140"/>
        <v>387.24459000000013</v>
      </c>
      <c r="CO30" s="27">
        <f t="shared" si="141"/>
        <v>-93.577340000000049</v>
      </c>
      <c r="CP30" s="28">
        <f t="shared" si="142"/>
        <v>0.39435636135433721</v>
      </c>
      <c r="CQ30" s="28">
        <f t="shared" si="143"/>
        <v>-0.18672737307944512</v>
      </c>
      <c r="CR30" s="17"/>
      <c r="CS30" s="27">
        <f>SUBTOTAL(9,CS28:CS29)</f>
        <v>4566.6358400000026</v>
      </c>
      <c r="CT30" s="27">
        <f>SUBTOTAL(9,CT28:CT29)</f>
        <v>5345.5695599999981</v>
      </c>
      <c r="CU30" s="27">
        <f>SUBTOTAL(9,CU28:CU29)</f>
        <v>5897.4681557943795</v>
      </c>
      <c r="CV30" s="27">
        <f>SUBTOTAL(9,CV28:CV29)</f>
        <v>-778.93371999999522</v>
      </c>
      <c r="CW30" s="27">
        <f>SUBTOTAL(9,CW28:CW29)</f>
        <v>-1330.8323157943771</v>
      </c>
      <c r="CX30" s="28">
        <f t="shared" si="144"/>
        <v>-0.14571575792944985</v>
      </c>
      <c r="CY30" s="28">
        <f t="shared" si="145"/>
        <v>-0.22566163659346047</v>
      </c>
    </row>
    <row r="31" spans="2:103" x14ac:dyDescent="0.85">
      <c r="B31" s="30" t="s">
        <v>75</v>
      </c>
      <c r="C31" s="30"/>
      <c r="D31" s="31"/>
      <c r="E31" s="31"/>
      <c r="F31" s="31"/>
      <c r="G31" s="30"/>
      <c r="H31" s="16"/>
      <c r="I31" s="32">
        <f>SUBTOTAL(9,I28:I30)</f>
        <v>49005.544749999994</v>
      </c>
      <c r="J31" s="32">
        <f t="shared" ref="J31:K31" si="179">SUBTOTAL(9,J28:J30)</f>
        <v>53778.46099</v>
      </c>
      <c r="K31" s="32">
        <f t="shared" si="179"/>
        <v>51545.527849999999</v>
      </c>
      <c r="L31" s="32">
        <f t="shared" ref="L31:L43" si="180">I31-J31</f>
        <v>-4772.9162400000059</v>
      </c>
      <c r="M31" s="32">
        <f t="shared" ref="M31:M43" si="181">I31-K31</f>
        <v>-2539.9831000000049</v>
      </c>
      <c r="N31" s="33">
        <f t="shared" ref="N31:N43" si="182">IFERROR((I31-J31)/ABS(J31),0)</f>
        <v>-8.8751447180452414E-2</v>
      </c>
      <c r="O31" s="33">
        <f t="shared" ref="O31:O43" si="183">IFERROR((I31-K31)/ABS(K31),0)</f>
        <v>-4.9276497999816392E-2</v>
      </c>
      <c r="P31" s="16"/>
      <c r="Q31" s="32">
        <f t="shared" ref="Q31" si="184">SUBTOTAL(9,Q28:Q30)</f>
        <v>1282.576550000003</v>
      </c>
      <c r="R31" s="32">
        <f t="shared" ref="R31" si="185">SUBTOTAL(9,R28:R30)</f>
        <v>2441.2952499999992</v>
      </c>
      <c r="S31" s="32">
        <f t="shared" ref="S31" si="186">SUBTOTAL(9,S28:S30)</f>
        <v>2531.1222357943834</v>
      </c>
      <c r="T31" s="32">
        <f t="shared" si="104"/>
        <v>-1158.7186999999963</v>
      </c>
      <c r="U31" s="32">
        <f t="shared" si="105"/>
        <v>-1248.5456857943805</v>
      </c>
      <c r="V31" s="33">
        <f t="shared" si="106"/>
        <v>-0.47463275898316543</v>
      </c>
      <c r="W31" s="33">
        <f t="shared" si="107"/>
        <v>-0.4932775146683222</v>
      </c>
      <c r="X31" s="16"/>
      <c r="Y31" s="32">
        <f t="shared" ref="Y31" si="187">SUBTOTAL(9,Y28:Y30)</f>
        <v>11387.828190000002</v>
      </c>
      <c r="Z31" s="32">
        <f t="shared" ref="Z31" si="188">SUBTOTAL(9,Z28:Z30)</f>
        <v>13211.23488</v>
      </c>
      <c r="AA31" s="32">
        <f t="shared" ref="AA31" si="189">SUBTOTAL(9,AA28:AA30)</f>
        <v>12373.04931579438</v>
      </c>
      <c r="AB31" s="32">
        <f t="shared" si="108"/>
        <v>-1823.406689999998</v>
      </c>
      <c r="AC31" s="32">
        <f t="shared" si="109"/>
        <v>-985.22112579437817</v>
      </c>
      <c r="AD31" s="33">
        <f t="shared" si="110"/>
        <v>-0.13801939838041832</v>
      </c>
      <c r="AE31" s="33">
        <f t="shared" si="111"/>
        <v>-7.9626379936652225E-2</v>
      </c>
      <c r="AF31" s="16"/>
      <c r="AG31" s="32">
        <f t="shared" ref="AG31" si="190">SUBTOTAL(9,AG28:AG30)</f>
        <v>-182.65378000000001</v>
      </c>
      <c r="AH31" s="32">
        <f t="shared" ref="AH31" si="191">SUBTOTAL(9,AH28:AH30)</f>
        <v>-349.91336999999999</v>
      </c>
      <c r="AI31" s="32">
        <f t="shared" ref="AI31" si="192">SUBTOTAL(9,AI28:AI30)</f>
        <v>-276.35962000000001</v>
      </c>
      <c r="AJ31" s="32">
        <f t="shared" si="112"/>
        <v>167.25958999999997</v>
      </c>
      <c r="AK31" s="32">
        <f t="shared" si="113"/>
        <v>93.705839999999995</v>
      </c>
      <c r="AL31" s="33">
        <f t="shared" si="114"/>
        <v>0.47800285539246468</v>
      </c>
      <c r="AM31" s="33">
        <f t="shared" si="115"/>
        <v>0.33907211190983688</v>
      </c>
      <c r="AN31" s="16"/>
      <c r="AO31" s="32">
        <f t="shared" ref="AO31" si="193">SUBTOTAL(9,AO28:AO30)</f>
        <v>-791.31236999999999</v>
      </c>
      <c r="AP31" s="32">
        <f t="shared" ref="AP31" si="194">SUBTOTAL(9,AP28:AP30)</f>
        <v>-953.31871000000012</v>
      </c>
      <c r="AQ31" s="32">
        <f t="shared" ref="AQ31" si="195">SUBTOTAL(9,AQ28:AQ30)</f>
        <v>-829.13925000000017</v>
      </c>
      <c r="AR31" s="32">
        <f t="shared" si="116"/>
        <v>162.00634000000014</v>
      </c>
      <c r="AS31" s="32">
        <f t="shared" si="117"/>
        <v>37.826880000000187</v>
      </c>
      <c r="AT31" s="33">
        <f t="shared" si="118"/>
        <v>0.16993932700639025</v>
      </c>
      <c r="AU31" s="33">
        <f t="shared" si="119"/>
        <v>4.5621866290855462E-2</v>
      </c>
      <c r="AV31" s="16"/>
      <c r="AW31" s="32">
        <f t="shared" ref="AW31" si="196">SUBTOTAL(9,AW28:AW30)</f>
        <v>10413.862040000004</v>
      </c>
      <c r="AX31" s="32">
        <f t="shared" ref="AX31" si="197">SUBTOTAL(9,AX28:AX30)</f>
        <v>11908.002799999998</v>
      </c>
      <c r="AY31" s="32">
        <f t="shared" ref="AY31" si="198">SUBTOTAL(9,AY28:AY30)</f>
        <v>11267.550445794379</v>
      </c>
      <c r="AZ31" s="32">
        <f t="shared" si="120"/>
        <v>-1494.1407599999948</v>
      </c>
      <c r="BA31" s="32">
        <f t="shared" si="121"/>
        <v>-853.68840579437529</v>
      </c>
      <c r="BB31" s="33">
        <f t="shared" si="122"/>
        <v>-0.12547366549157973</v>
      </c>
      <c r="BC31" s="33">
        <f t="shared" si="123"/>
        <v>-7.5765217107416197E-2</v>
      </c>
      <c r="BD31" s="16"/>
      <c r="BE31" s="32">
        <f t="shared" ref="BE31" si="199">SUBTOTAL(9,BE28:BE30)</f>
        <v>-2771.1602400000006</v>
      </c>
      <c r="BF31" s="32">
        <f t="shared" ref="BF31" si="200">SUBTOTAL(9,BF28:BF30)</f>
        <v>-3014.2152900000001</v>
      </c>
      <c r="BG31" s="32">
        <f t="shared" ref="BG31" si="201">SUBTOTAL(9,BG28:BG30)</f>
        <v>-2878.4411300000002</v>
      </c>
      <c r="BH31" s="32">
        <f t="shared" si="124"/>
        <v>243.05504999999948</v>
      </c>
      <c r="BI31" s="32">
        <f t="shared" si="125"/>
        <v>107.28088999999954</v>
      </c>
      <c r="BJ31" s="33">
        <f t="shared" si="126"/>
        <v>8.0636260723101663E-2</v>
      </c>
      <c r="BK31" s="33">
        <f t="shared" si="127"/>
        <v>3.7270482582355102E-2</v>
      </c>
      <c r="BL31" s="16"/>
      <c r="BM31" s="32">
        <f t="shared" ref="BM31" si="202">SUBTOTAL(9,BM28:BM30)</f>
        <v>-1006.3587299999999</v>
      </c>
      <c r="BN31" s="32">
        <f t="shared" ref="BN31" si="203">SUBTOTAL(9,BN28:BN30)</f>
        <v>-1118.7761500000001</v>
      </c>
      <c r="BO31" s="32">
        <f t="shared" ref="BO31" si="204">SUBTOTAL(9,BO28:BO30)</f>
        <v>-754.67650999999978</v>
      </c>
      <c r="BP31" s="32">
        <f t="shared" si="128"/>
        <v>112.41742000000022</v>
      </c>
      <c r="BQ31" s="32">
        <f t="shared" si="129"/>
        <v>-251.68222000000014</v>
      </c>
      <c r="BR31" s="33">
        <f t="shared" si="130"/>
        <v>0.10048249598456331</v>
      </c>
      <c r="BS31" s="33">
        <f t="shared" si="131"/>
        <v>-0.33349682501711919</v>
      </c>
      <c r="BT31" s="16"/>
      <c r="BU31" s="32">
        <f t="shared" ref="BU31" si="205">SUBTOTAL(9,BU28:BU30)</f>
        <v>-1474.98569</v>
      </c>
      <c r="BV31" s="32">
        <f t="shared" ref="BV31" si="206">SUBTOTAL(9,BV28:BV30)</f>
        <v>-1447.4756699999998</v>
      </c>
      <c r="BW31" s="32">
        <f t="shared" ref="BW31" si="207">SUBTOTAL(9,BW28:BW30)</f>
        <v>-1235.8204500000002</v>
      </c>
      <c r="BX31" s="32">
        <f t="shared" si="132"/>
        <v>-27.510020000000168</v>
      </c>
      <c r="BY31" s="32">
        <f t="shared" si="133"/>
        <v>-239.16523999999981</v>
      </c>
      <c r="BZ31" s="33">
        <f t="shared" si="134"/>
        <v>-1.9005514614280301E-2</v>
      </c>
      <c r="CA31" s="33">
        <f t="shared" si="135"/>
        <v>-0.19352749827048077</v>
      </c>
      <c r="CB31" s="16"/>
      <c r="CC31" s="32">
        <f t="shared" ref="CC31" si="208">SUBTOTAL(9,CC28:CC30)</f>
        <v>5161.3573800000022</v>
      </c>
      <c r="CD31" s="32">
        <f t="shared" ref="CD31" si="209">SUBTOTAL(9,CD28:CD30)</f>
        <v>6327.5356899999979</v>
      </c>
      <c r="CE31" s="32">
        <f t="shared" ref="CE31" si="210">SUBTOTAL(9,CE28:CE30)</f>
        <v>6398.6123557943793</v>
      </c>
      <c r="CF31" s="32">
        <f t="shared" si="136"/>
        <v>-1166.1783099999957</v>
      </c>
      <c r="CG31" s="32">
        <f t="shared" si="137"/>
        <v>-1237.2549757943771</v>
      </c>
      <c r="CH31" s="33">
        <f t="shared" si="138"/>
        <v>-0.18430213073993679</v>
      </c>
      <c r="CI31" s="33">
        <f t="shared" si="139"/>
        <v>-0.19336301482210566</v>
      </c>
      <c r="CJ31" s="16"/>
      <c r="CK31" s="32">
        <f t="shared" ref="CK31" si="211">SUBTOTAL(9,CK28:CK30)</f>
        <v>-594.72154</v>
      </c>
      <c r="CL31" s="32">
        <f t="shared" ref="CL31" si="212">SUBTOTAL(9,CL28:CL30)</f>
        <v>-981.96613000000013</v>
      </c>
      <c r="CM31" s="32">
        <f t="shared" ref="CM31" si="213">SUBTOTAL(9,CM28:CM30)</f>
        <v>-501.14419999999996</v>
      </c>
      <c r="CN31" s="32">
        <f t="shared" si="140"/>
        <v>387.24459000000013</v>
      </c>
      <c r="CO31" s="32">
        <f t="shared" si="141"/>
        <v>-93.577340000000049</v>
      </c>
      <c r="CP31" s="33">
        <f t="shared" si="142"/>
        <v>0.39435636135433721</v>
      </c>
      <c r="CQ31" s="33">
        <f t="shared" si="143"/>
        <v>-0.18672737307944512</v>
      </c>
      <c r="CR31" s="16"/>
      <c r="CS31" s="32">
        <f t="shared" ref="CS31" si="214">SUBTOTAL(9,CS28:CS30)</f>
        <v>4566.6358400000026</v>
      </c>
      <c r="CT31" s="32">
        <f t="shared" ref="CT31" si="215">SUBTOTAL(9,CT28:CT30)</f>
        <v>5345.5695599999981</v>
      </c>
      <c r="CU31" s="32">
        <f t="shared" ref="CU31" si="216">SUBTOTAL(9,CU28:CU30)</f>
        <v>5897.4681557943795</v>
      </c>
      <c r="CV31" s="32">
        <f t="shared" ref="CV31" si="217">CS31-CT31</f>
        <v>-778.93371999999545</v>
      </c>
      <c r="CW31" s="32">
        <f t="shared" ref="CW31" si="218">CS31-CU31</f>
        <v>-1330.8323157943769</v>
      </c>
      <c r="CX31" s="33">
        <f t="shared" si="144"/>
        <v>-0.14571575792944985</v>
      </c>
      <c r="CY31" s="33">
        <f t="shared" si="145"/>
        <v>-0.22566163659346047</v>
      </c>
    </row>
    <row r="32" spans="2:103" outlineLevel="2" x14ac:dyDescent="0.85">
      <c r="B32" s="1" t="s">
        <v>95</v>
      </c>
      <c r="C32" s="1" t="s">
        <v>76</v>
      </c>
      <c r="D32" s="2">
        <v>236</v>
      </c>
      <c r="E32" s="1" t="s">
        <v>34</v>
      </c>
      <c r="F32" s="2" t="s">
        <v>13</v>
      </c>
      <c r="G32" s="1" t="s">
        <v>64</v>
      </c>
      <c r="I32" s="3">
        <f>SUMIFS('P&amp;L Data'!$N:$N,'P&amp;L Data'!$B:$B,$D32,'P&amp;L Data'!$C:$C,$I$4)</f>
        <v>26973.040709999997</v>
      </c>
      <c r="J32" s="3">
        <f>SUMIFS('P&amp;L Data'!$P:$P,'P&amp;L Data'!$B:$B,$D32,'P&amp;L Data'!$C:$C,$I$4)</f>
        <v>28094.919819999999</v>
      </c>
      <c r="K32" s="3">
        <f>SUMIFS('P&amp;L Data'!$T:$T,'P&amp;L Data'!$B:$B,$D32,'P&amp;L Data'!$C:$C,$I$4)</f>
        <v>29323.443519999997</v>
      </c>
      <c r="L32" s="3">
        <f t="shared" si="180"/>
        <v>-1121.8791100000017</v>
      </c>
      <c r="M32" s="3">
        <f t="shared" si="181"/>
        <v>-2350.4028099999996</v>
      </c>
      <c r="N32" s="8">
        <f t="shared" si="182"/>
        <v>-3.9931742720310838E-2</v>
      </c>
      <c r="O32" s="8">
        <f t="shared" si="183"/>
        <v>-8.0154392794860946E-2</v>
      </c>
      <c r="P32" s="24"/>
      <c r="Q32" s="3">
        <f>SUMIFS('P&amp;L Data'!$N:$N,'P&amp;L Data'!$B:$B,$D32,'P&amp;L Data'!$C:$C,$Q$4)</f>
        <v>2042.6262099999997</v>
      </c>
      <c r="R32" s="3">
        <f>SUMIFS('P&amp;L Data'!$P:$P,'P&amp;L Data'!$B:$B,$D32,'P&amp;L Data'!$C:$C,$Q$4)</f>
        <v>1964.2786500000018</v>
      </c>
      <c r="S32" s="3">
        <f>SUMIFS('P&amp;L Data'!$T:$T,'P&amp;L Data'!$B:$B,$D32,'P&amp;L Data'!$C:$C,$Q$4)</f>
        <v>2458.4744773847269</v>
      </c>
      <c r="T32" s="3">
        <f t="shared" ref="T32:T43" si="219">Q32-R32</f>
        <v>78.347559999997884</v>
      </c>
      <c r="U32" s="3">
        <f t="shared" ref="U32:U43" si="220">Q32-S32</f>
        <v>-415.84826738472725</v>
      </c>
      <c r="V32" s="8">
        <f t="shared" ref="V32:V45" si="221">IFERROR((Q32-R32)/ABS(R32),0)</f>
        <v>3.9886173990639165E-2</v>
      </c>
      <c r="W32" s="8">
        <f t="shared" ref="W32:W45" si="222">IFERROR((Q32-S32)/ABS(S32),0)</f>
        <v>-0.16914890563643264</v>
      </c>
      <c r="X32" s="24"/>
      <c r="Y32" s="3">
        <f>SUMIFS('P&amp;L Data'!$N:$N,'P&amp;L Data'!$B:$B,$D32,'P&amp;L Data'!$C:$C,$Y$4)</f>
        <v>7298.6394699999973</v>
      </c>
      <c r="Z32" s="3">
        <f>SUMIFS('P&amp;L Data'!$P:$P,'P&amp;L Data'!$B:$B,$D32,'P&amp;L Data'!$C:$C,$Y$4)</f>
        <v>7049.7738100000006</v>
      </c>
      <c r="AA32" s="3">
        <f>SUMIFS('P&amp;L Data'!$T:$T,'P&amp;L Data'!$B:$B,$D32,'P&amp;L Data'!$C:$C,$Y$4)</f>
        <v>7215.7536573847301</v>
      </c>
      <c r="AB32" s="3">
        <f t="shared" ref="AB32:AB43" si="223">Y32-Z32</f>
        <v>248.86565999999675</v>
      </c>
      <c r="AC32" s="3">
        <f t="shared" ref="AC32:AC43" si="224">Y32-AA32</f>
        <v>82.885812615267241</v>
      </c>
      <c r="AD32" s="8">
        <f t="shared" ref="AD32:AD45" si="225">IFERROR((Y32-Z32)/ABS(Z32),0)</f>
        <v>3.5301226210546564E-2</v>
      </c>
      <c r="AE32" s="8">
        <f t="shared" ref="AE32:AE45" si="226">IFERROR((Y32-AA32)/ABS(AA32),0)</f>
        <v>1.1486785241128684E-2</v>
      </c>
      <c r="AF32" s="24"/>
      <c r="AG32" s="3">
        <f>SUMIFS('P&amp;L Data'!$N:$N,'P&amp;L Data'!$B:$B,$D32,'P&amp;L Data'!$C:$C,$AG$4)</f>
        <v>-61.754870000000011</v>
      </c>
      <c r="AH32" s="3">
        <f>SUMIFS('P&amp;L Data'!$P:$P,'P&amp;L Data'!$B:$B,$D32,'P&amp;L Data'!$C:$C,$AG$4)</f>
        <v>-150.73826</v>
      </c>
      <c r="AI32" s="3">
        <f>SUMIFS('P&amp;L Data'!$T:$T,'P&amp;L Data'!$B:$B,$D32,'P&amp;L Data'!$C:$C,$AG$4)</f>
        <v>-96.288629999999998</v>
      </c>
      <c r="AJ32" s="3">
        <f t="shared" ref="AJ32:AJ43" si="227">AG32-AH32</f>
        <v>88.983389999999986</v>
      </c>
      <c r="AK32" s="3">
        <f t="shared" ref="AK32:AK43" si="228">AG32-AI32</f>
        <v>34.533759999999987</v>
      </c>
      <c r="AL32" s="8">
        <f t="shared" ref="AL32:AL45" si="229">IFERROR((AG32-AH32)/ABS(AH32),0)</f>
        <v>0.59031721608037657</v>
      </c>
      <c r="AM32" s="8">
        <f t="shared" ref="AM32:AM45" si="230">IFERROR((AG32-AI32)/ABS(AI32),0)</f>
        <v>0.35864836793295313</v>
      </c>
      <c r="AN32" s="24"/>
      <c r="AO32" s="3">
        <f>SUMIFS('P&amp;L Data'!$N:$N,'P&amp;L Data'!$B:$B,$D32,'P&amp;L Data'!$C:$C,$AO$4)</f>
        <v>-461.23880000000003</v>
      </c>
      <c r="AP32" s="3">
        <f>SUMIFS('P&amp;L Data'!$P:$P,'P&amp;L Data'!$B:$B,$D32,'P&amp;L Data'!$C:$C,$AO$4)</f>
        <v>-500.83229999999998</v>
      </c>
      <c r="AQ32" s="3">
        <f>SUMIFS('P&amp;L Data'!$T:$T,'P&amp;L Data'!$B:$B,$D32,'P&amp;L Data'!$C:$C,$AO$4)</f>
        <v>-438.00631000000004</v>
      </c>
      <c r="AR32" s="3">
        <f t="shared" ref="AR32:AR43" si="231">AO32-AP32</f>
        <v>39.593499999999949</v>
      </c>
      <c r="AS32" s="3">
        <f t="shared" ref="AS32:AS43" si="232">AO32-AQ32</f>
        <v>-23.232489999999984</v>
      </c>
      <c r="AT32" s="8">
        <f t="shared" ref="AT32:AT45" si="233">IFERROR((AO32-AP32)/ABS(AP32),0)</f>
        <v>7.9055404373879146E-2</v>
      </c>
      <c r="AU32" s="8">
        <f t="shared" ref="AU32:AU45" si="234">IFERROR((AO32-AQ32)/ABS(AQ32),0)</f>
        <v>-5.3041450475907484E-2</v>
      </c>
      <c r="AW32" s="3">
        <f>SUMIFS('P&amp;L Data'!$N:$N,'P&amp;L Data'!$B:$B,$D32,'P&amp;L Data'!$C:$C,$AW$4)</f>
        <v>6775.6457999999966</v>
      </c>
      <c r="AX32" s="3">
        <f>SUMIFS('P&amp;L Data'!$P:$P,'P&amp;L Data'!$B:$B,$D32,'P&amp;L Data'!$C:$C,$AW$4)</f>
        <v>6398.2032500000005</v>
      </c>
      <c r="AY32" s="3">
        <f>SUMIFS('P&amp;L Data'!$T:$T,'P&amp;L Data'!$B:$B,$D32,'P&amp;L Data'!$C:$C,$AW$4)</f>
        <v>6681.4587173847312</v>
      </c>
      <c r="AZ32" s="3">
        <f t="shared" ref="AZ32:AZ43" si="235">AW32-AX32</f>
        <v>377.44254999999612</v>
      </c>
      <c r="BA32" s="3">
        <f t="shared" ref="BA32:BA43" si="236">AW32-AY32</f>
        <v>94.187082615265354</v>
      </c>
      <c r="BB32" s="8">
        <f t="shared" ref="BB32:BB45" si="237">IFERROR((AW32-AX32)/ABS(AX32),0)</f>
        <v>5.899195996938611E-2</v>
      </c>
      <c r="BC32" s="8">
        <f t="shared" ref="BC32:BC45" si="238">IFERROR((AW32-AY32)/ABS(AY32),0)</f>
        <v>1.4096784339952075E-2</v>
      </c>
      <c r="BE32" s="3">
        <f>SUMIFS('P&amp;L Data'!$N:$N,'P&amp;L Data'!$B:$B,$D32,'P&amp;L Data'!$C:$C,$BE$4)</f>
        <v>-1800.8677299999999</v>
      </c>
      <c r="BF32" s="3">
        <f>SUMIFS('P&amp;L Data'!$P:$P,'P&amp;L Data'!$B:$B,$D32,'P&amp;L Data'!$C:$C,$BE$4)</f>
        <v>-1877.4739799999998</v>
      </c>
      <c r="BG32" s="3">
        <f>SUMIFS('P&amp;L Data'!$T:$T,'P&amp;L Data'!$B:$B,$D32,'P&amp;L Data'!$C:$C,$BE$4)</f>
        <v>-1748.7122499999996</v>
      </c>
      <c r="BH32" s="3">
        <f t="shared" ref="BH32:BH43" si="239">BE32-BF32</f>
        <v>76.606249999999818</v>
      </c>
      <c r="BI32" s="3">
        <f t="shared" ref="BI32:BI43" si="240">BE32-BG32</f>
        <v>-52.155480000000352</v>
      </c>
      <c r="BJ32" s="8">
        <f t="shared" ref="BJ32:BJ45" si="241">IFERROR((BE32-BF32)/ABS(BF32),0)</f>
        <v>4.0802829128955401E-2</v>
      </c>
      <c r="BK32" s="8">
        <f t="shared" ref="BK32:BK45" si="242">IFERROR((BE32-BG32)/ABS(BG32),0)</f>
        <v>-2.9825078425567364E-2</v>
      </c>
      <c r="BM32" s="3">
        <f>SUMIFS('P&amp;L Data'!$N:$N,'P&amp;L Data'!$B:$B,$D32,'P&amp;L Data'!$C:$C,$BM$4)</f>
        <v>-625.73430999999994</v>
      </c>
      <c r="BN32" s="3">
        <f>SUMIFS('P&amp;L Data'!$P:$P,'P&amp;L Data'!$B:$B,$D32,'P&amp;L Data'!$C:$C,$BM$4)</f>
        <v>-687.46318000000008</v>
      </c>
      <c r="BO32" s="3">
        <f>SUMIFS('P&amp;L Data'!$T:$T,'P&amp;L Data'!$B:$B,$D32,'P&amp;L Data'!$C:$C,$BM$4)</f>
        <v>-699.79595000000006</v>
      </c>
      <c r="BP32" s="3">
        <f t="shared" ref="BP32:BP43" si="243">BM32-BN32</f>
        <v>61.728870000000143</v>
      </c>
      <c r="BQ32" s="3">
        <f t="shared" ref="BQ32:BQ43" si="244">BM32-BO32</f>
        <v>74.061640000000125</v>
      </c>
      <c r="BR32" s="8">
        <f t="shared" ref="BR32:BR45" si="245">IFERROR((BM32-BN32)/ABS(BN32),0)</f>
        <v>8.979225621945329E-2</v>
      </c>
      <c r="BS32" s="8">
        <f t="shared" ref="BS32:BS45" si="246">IFERROR((BM32-BO32)/ABS(BO32),0)</f>
        <v>0.10583319323297044</v>
      </c>
      <c r="BU32" s="3">
        <f>SUMIFS('P&amp;L Data'!$N:$N,'P&amp;L Data'!$B:$B,$D32,'P&amp;L Data'!$C:$C,$BU$4)</f>
        <v>0</v>
      </c>
      <c r="BV32" s="3">
        <f>SUMIFS('P&amp;L Data'!$P:$P,'P&amp;L Data'!$B:$B,$D32,'P&amp;L Data'!$C:$C,$BU$4)</f>
        <v>0</v>
      </c>
      <c r="BW32" s="3">
        <f>SUMIFS('P&amp;L Data'!$T:$T,'P&amp;L Data'!$B:$B,$D32,'P&amp;L Data'!$C:$C,$BU$4)</f>
        <v>0</v>
      </c>
      <c r="BX32" s="3">
        <f t="shared" ref="BX32:BX43" si="247">BU32-BV32</f>
        <v>0</v>
      </c>
      <c r="BY32" s="3">
        <f t="shared" ref="BY32:BY43" si="248">BU32-BW32</f>
        <v>0</v>
      </c>
      <c r="BZ32" s="8">
        <f t="shared" ref="BZ32:BZ45" si="249">IFERROR((BU32-BV32)/ABS(BV32),0)</f>
        <v>0</v>
      </c>
      <c r="CA32" s="8">
        <f t="shared" ref="CA32:CA45" si="250">IFERROR((BU32-BW32)/ABS(BW32),0)</f>
        <v>0</v>
      </c>
      <c r="CC32" s="3">
        <f>SUMIFS('P&amp;L Data'!$N:$N,'P&amp;L Data'!$B:$B,$D32,'P&amp;L Data'!$C:$C,$CC$4)</f>
        <v>4349.0437599999968</v>
      </c>
      <c r="CD32" s="3">
        <f>SUMIFS('P&amp;L Data'!$P:$P,'P&amp;L Data'!$B:$B,$D32,'P&amp;L Data'!$C:$C,$CC$4)</f>
        <v>3833.2660900000005</v>
      </c>
      <c r="CE32" s="3">
        <f>SUMIFS('P&amp;L Data'!$T:$T,'P&amp;L Data'!$B:$B,$D32,'P&amp;L Data'!$C:$C,$CC$4)</f>
        <v>4232.9505173847319</v>
      </c>
      <c r="CF32" s="3">
        <f t="shared" ref="CF32:CF43" si="251">CC32-CD32</f>
        <v>515.77766999999631</v>
      </c>
      <c r="CG32" s="3">
        <f t="shared" ref="CG32:CG43" si="252">CC32-CE32</f>
        <v>116.0932426152649</v>
      </c>
      <c r="CH32" s="8">
        <f t="shared" ref="CH32:CH45" si="253">IFERROR((CC32-CD32)/ABS(CD32),0)</f>
        <v>0.13455305681636001</v>
      </c>
      <c r="CI32" s="8">
        <f t="shared" ref="CI32:CI45" si="254">IFERROR((CC32-CE32)/ABS(CE32),0)</f>
        <v>2.742608072985258E-2</v>
      </c>
      <c r="CK32" s="3">
        <f>SUMIFS('P&amp;L Data'!$N:$N,'P&amp;L Data'!$B:$B,$D32,'P&amp;L Data'!$C:$C,$CK$4)</f>
        <v>-587.85175000000004</v>
      </c>
      <c r="CL32" s="3">
        <f>SUMIFS('P&amp;L Data'!$P:$P,'P&amp;L Data'!$B:$B,$D32,'P&amp;L Data'!$C:$C,$CK$4)</f>
        <v>-612.99999000000003</v>
      </c>
      <c r="CM32" s="3">
        <f>SUMIFS('P&amp;L Data'!$T:$T,'P&amp;L Data'!$B:$B,$D32,'P&amp;L Data'!$C:$C,$CK$4)</f>
        <v>-601.09996000000001</v>
      </c>
      <c r="CN32" s="3">
        <f t="shared" ref="CN32:CN43" si="255">CK32-CL32</f>
        <v>25.148239999999987</v>
      </c>
      <c r="CO32" s="3">
        <f t="shared" ref="CO32:CO43" si="256">CK32-CM32</f>
        <v>13.248209999999972</v>
      </c>
      <c r="CP32" s="8">
        <f t="shared" ref="CP32:CP45" si="257">IFERROR((CK32-CL32)/ABS(CL32),0)</f>
        <v>4.102486200693084E-2</v>
      </c>
      <c r="CQ32" s="8">
        <f t="shared" ref="CQ32:CQ45" si="258">IFERROR((CK32-CM32)/ABS(CM32),0)</f>
        <v>2.2039944903672878E-2</v>
      </c>
      <c r="CS32" s="3">
        <f>SUMIFS('P&amp;L Data'!$N:$N,'P&amp;L Data'!$B:$B,$D32,'P&amp;L Data'!$C:$C,$CS$4)</f>
        <v>3761.192009999997</v>
      </c>
      <c r="CT32" s="3">
        <f>SUMIFS('P&amp;L Data'!$P:$P,'P&amp;L Data'!$B:$B,$D32,'P&amp;L Data'!$C:$C,$CS$4)</f>
        <v>3220.2661000000007</v>
      </c>
      <c r="CU32" s="3">
        <f>SUMIFS('P&amp;L Data'!$T:$T,'P&amp;L Data'!$B:$B,$D32,'P&amp;L Data'!$C:$C,$CS$4)</f>
        <v>3631.8505573847319</v>
      </c>
      <c r="CV32" s="3">
        <f t="shared" ref="CV32:CV33" si="259">CS32-CT32</f>
        <v>540.92590999999629</v>
      </c>
      <c r="CW32" s="3">
        <f t="shared" ref="CW32:CW33" si="260">CS32-CU32</f>
        <v>129.3414526152651</v>
      </c>
      <c r="CX32" s="8">
        <f t="shared" ref="CX32:CX45" si="261">IFERROR((CS32-CT32)/ABS(CT32),0)</f>
        <v>0.16797553158727974</v>
      </c>
      <c r="CY32" s="8">
        <f t="shared" ref="CY32:CY45" si="262">IFERROR((CS32-CU32)/ABS(CU32),0)</f>
        <v>3.561309876924091E-2</v>
      </c>
    </row>
    <row r="33" spans="2:103" outlineLevel="2" x14ac:dyDescent="0.85">
      <c r="B33" s="1" t="s">
        <v>95</v>
      </c>
      <c r="C33" s="1" t="s">
        <v>76</v>
      </c>
      <c r="D33" s="2">
        <v>20006</v>
      </c>
      <c r="E33" s="1" t="s">
        <v>35</v>
      </c>
      <c r="F33" s="2" t="s">
        <v>15</v>
      </c>
      <c r="G33" s="1" t="s">
        <v>64</v>
      </c>
      <c r="I33" s="3">
        <f>SUMIFS('P&amp;L Data'!$N:$N,'P&amp;L Data'!$B:$B,$D33,'P&amp;L Data'!$C:$C,$I$4)</f>
        <v>69869.523690000002</v>
      </c>
      <c r="J33" s="3">
        <f>SUMIFS('P&amp;L Data'!$P:$P,'P&amp;L Data'!$B:$B,$D33,'P&amp;L Data'!$C:$C,$I$4)</f>
        <v>74065.994779999994</v>
      </c>
      <c r="K33" s="3">
        <f>SUMIFS('P&amp;L Data'!$T:$T,'P&amp;L Data'!$B:$B,$D33,'P&amp;L Data'!$C:$C,$I$4)</f>
        <v>76543.81495</v>
      </c>
      <c r="L33" s="3">
        <f t="shared" si="180"/>
        <v>-4196.4710899999918</v>
      </c>
      <c r="M33" s="3">
        <f t="shared" si="181"/>
        <v>-6674.2912599999981</v>
      </c>
      <c r="N33" s="8">
        <f t="shared" si="182"/>
        <v>-5.6658539488531424E-2</v>
      </c>
      <c r="O33" s="8">
        <f t="shared" si="183"/>
        <v>-8.7195696534851097E-2</v>
      </c>
      <c r="P33" s="24"/>
      <c r="Q33" s="3">
        <f>SUMIFS('P&amp;L Data'!$N:$N,'P&amp;L Data'!$B:$B,$D33,'P&amp;L Data'!$C:$C,$Q$4)</f>
        <v>3942.0350500000045</v>
      </c>
      <c r="R33" s="3">
        <f>SUMIFS('P&amp;L Data'!$P:$P,'P&amp;L Data'!$B:$B,$D33,'P&amp;L Data'!$C:$C,$Q$4)</f>
        <v>4477.1319699999976</v>
      </c>
      <c r="S33" s="3">
        <f>SUMIFS('P&amp;L Data'!$T:$T,'P&amp;L Data'!$B:$B,$D33,'P&amp;L Data'!$C:$C,$Q$4)</f>
        <v>4991.1494454449921</v>
      </c>
      <c r="T33" s="3">
        <f t="shared" si="219"/>
        <v>-535.09691999999313</v>
      </c>
      <c r="U33" s="3">
        <f t="shared" si="220"/>
        <v>-1049.1143954449876</v>
      </c>
      <c r="V33" s="8">
        <f t="shared" si="221"/>
        <v>-0.11951779031431888</v>
      </c>
      <c r="W33" s="8">
        <f t="shared" si="222"/>
        <v>-0.21019494745893197</v>
      </c>
      <c r="X33" s="24"/>
      <c r="Y33" s="3">
        <f>SUMIFS('P&amp;L Data'!$N:$N,'P&amp;L Data'!$B:$B,$D33,'P&amp;L Data'!$C:$C,$Y$4)</f>
        <v>17583.837470000002</v>
      </c>
      <c r="Z33" s="3">
        <f>SUMIFS('P&amp;L Data'!$P:$P,'P&amp;L Data'!$B:$B,$D33,'P&amp;L Data'!$C:$C,$Y$4)</f>
        <v>18475.438959999992</v>
      </c>
      <c r="AA33" s="3">
        <f>SUMIFS('P&amp;L Data'!$T:$T,'P&amp;L Data'!$B:$B,$D33,'P&amp;L Data'!$C:$C,$Y$4)</f>
        <v>18666.987145800831</v>
      </c>
      <c r="AB33" s="3">
        <f t="shared" si="223"/>
        <v>-891.60148999999001</v>
      </c>
      <c r="AC33" s="3">
        <f t="shared" si="224"/>
        <v>-1083.1496758008288</v>
      </c>
      <c r="AD33" s="8">
        <f t="shared" si="225"/>
        <v>-4.8258744592230805E-2</v>
      </c>
      <c r="AE33" s="8">
        <f t="shared" si="226"/>
        <v>-5.8024879287736857E-2</v>
      </c>
      <c r="AF33" s="24"/>
      <c r="AG33" s="3">
        <f>SUMIFS('P&amp;L Data'!$N:$N,'P&amp;L Data'!$B:$B,$D33,'P&amp;L Data'!$C:$C,$AG$4)</f>
        <v>-296.56065999999998</v>
      </c>
      <c r="AH33" s="3">
        <f>SUMIFS('P&amp;L Data'!$P:$P,'P&amp;L Data'!$B:$B,$D33,'P&amp;L Data'!$C:$C,$AG$4)</f>
        <v>-428.80983000000003</v>
      </c>
      <c r="AI33" s="3">
        <f>SUMIFS('P&amp;L Data'!$T:$T,'P&amp;L Data'!$B:$B,$D33,'P&amp;L Data'!$C:$C,$AG$4)</f>
        <v>-232.80258000000001</v>
      </c>
      <c r="AJ33" s="3">
        <f t="shared" si="227"/>
        <v>132.24917000000005</v>
      </c>
      <c r="AK33" s="3">
        <f t="shared" si="228"/>
        <v>-63.758079999999978</v>
      </c>
      <c r="AL33" s="8">
        <f t="shared" si="229"/>
        <v>0.30840983752634599</v>
      </c>
      <c r="AM33" s="8">
        <f t="shared" si="230"/>
        <v>-0.27387187891130749</v>
      </c>
      <c r="AN33" s="24"/>
      <c r="AO33" s="3">
        <f>SUMIFS('P&amp;L Data'!$N:$N,'P&amp;L Data'!$B:$B,$D33,'P&amp;L Data'!$C:$C,$AO$4)</f>
        <v>-1214.0949599999999</v>
      </c>
      <c r="AP33" s="3">
        <f>SUMIFS('P&amp;L Data'!$P:$P,'P&amp;L Data'!$B:$B,$D33,'P&amp;L Data'!$C:$C,$AO$4)</f>
        <v>-1362.98308</v>
      </c>
      <c r="AQ33" s="3">
        <f>SUMIFS('P&amp;L Data'!$T:$T,'P&amp;L Data'!$B:$B,$D33,'P&amp;L Data'!$C:$C,$AO$4)</f>
        <v>-1218.9676102879071</v>
      </c>
      <c r="AR33" s="3">
        <f t="shared" si="231"/>
        <v>148.88812000000007</v>
      </c>
      <c r="AS33" s="3">
        <f t="shared" si="232"/>
        <v>4.8726502879071631</v>
      </c>
      <c r="AT33" s="8">
        <f t="shared" si="233"/>
        <v>0.10923695399065414</v>
      </c>
      <c r="AU33" s="8">
        <f t="shared" si="234"/>
        <v>3.9973582946607545E-3</v>
      </c>
      <c r="AW33" s="3">
        <f>SUMIFS('P&amp;L Data'!$N:$N,'P&amp;L Data'!$B:$B,$D33,'P&amp;L Data'!$C:$C,$AW$4)</f>
        <v>16073.181850000004</v>
      </c>
      <c r="AX33" s="3">
        <f>SUMIFS('P&amp;L Data'!$P:$P,'P&amp;L Data'!$B:$B,$D33,'P&amp;L Data'!$C:$C,$AW$4)</f>
        <v>16683.646049999996</v>
      </c>
      <c r="AY33" s="3">
        <f>SUMIFS('P&amp;L Data'!$T:$T,'P&amp;L Data'!$B:$B,$D33,'P&amp;L Data'!$C:$C,$AW$4)</f>
        <v>17215.216955512926</v>
      </c>
      <c r="AZ33" s="3">
        <f t="shared" si="235"/>
        <v>-610.46419999999125</v>
      </c>
      <c r="BA33" s="3">
        <f t="shared" si="236"/>
        <v>-1142.0351055129213</v>
      </c>
      <c r="BB33" s="8">
        <f t="shared" si="237"/>
        <v>-3.6590574876166918E-2</v>
      </c>
      <c r="BC33" s="8">
        <f t="shared" si="238"/>
        <v>-6.6338699562377632E-2</v>
      </c>
      <c r="BE33" s="3">
        <f>SUMIFS('P&amp;L Data'!$N:$N,'P&amp;L Data'!$B:$B,$D33,'P&amp;L Data'!$C:$C,$BE$4)</f>
        <v>-5061.1580599999998</v>
      </c>
      <c r="BF33" s="3">
        <f>SUMIFS('P&amp;L Data'!$P:$P,'P&amp;L Data'!$B:$B,$D33,'P&amp;L Data'!$C:$C,$BE$4)</f>
        <v>-4886.3318299999992</v>
      </c>
      <c r="BG33" s="3">
        <f>SUMIFS('P&amp;L Data'!$T:$T,'P&amp;L Data'!$B:$B,$D33,'P&amp;L Data'!$C:$C,$BE$4)</f>
        <v>-4635.0322299999998</v>
      </c>
      <c r="BH33" s="3">
        <f t="shared" si="239"/>
        <v>-174.82623000000058</v>
      </c>
      <c r="BI33" s="3">
        <f t="shared" si="240"/>
        <v>-426.12582999999995</v>
      </c>
      <c r="BJ33" s="8">
        <f t="shared" si="241"/>
        <v>-3.5778624146367198E-2</v>
      </c>
      <c r="BK33" s="8">
        <f t="shared" si="242"/>
        <v>-9.1935893615134573E-2</v>
      </c>
      <c r="BM33" s="3">
        <f>SUMIFS('P&amp;L Data'!$N:$N,'P&amp;L Data'!$B:$B,$D33,'P&amp;L Data'!$C:$C,$BM$4)</f>
        <v>-1702.81574</v>
      </c>
      <c r="BN33" s="3">
        <f>SUMIFS('P&amp;L Data'!$P:$P,'P&amp;L Data'!$B:$B,$D33,'P&amp;L Data'!$C:$C,$BM$4)</f>
        <v>-1653.1563799999997</v>
      </c>
      <c r="BO33" s="3">
        <f>SUMIFS('P&amp;L Data'!$T:$T,'P&amp;L Data'!$B:$B,$D33,'P&amp;L Data'!$C:$C,$BM$4)</f>
        <v>-1708.1346400000004</v>
      </c>
      <c r="BP33" s="3">
        <f t="shared" si="243"/>
        <v>-49.659360000000333</v>
      </c>
      <c r="BQ33" s="3">
        <f t="shared" si="244"/>
        <v>5.3189000000004398</v>
      </c>
      <c r="BR33" s="8">
        <f t="shared" si="245"/>
        <v>-3.0039118259338745E-2</v>
      </c>
      <c r="BS33" s="8">
        <f t="shared" si="246"/>
        <v>3.1138646073007679E-3</v>
      </c>
      <c r="BU33" s="3">
        <f>SUMIFS('P&amp;L Data'!$N:$N,'P&amp;L Data'!$B:$B,$D33,'P&amp;L Data'!$C:$C,$BU$4)</f>
        <v>-3754.2943599999999</v>
      </c>
      <c r="BV33" s="3">
        <f>SUMIFS('P&amp;L Data'!$P:$P,'P&amp;L Data'!$B:$B,$D33,'P&amp;L Data'!$C:$C,$BU$4)</f>
        <v>-3754.2943599999999</v>
      </c>
      <c r="BW33" s="3">
        <f>SUMIFS('P&amp;L Data'!$T:$T,'P&amp;L Data'!$B:$B,$D33,'P&amp;L Data'!$C:$C,$BU$4)</f>
        <v>-3754.2943599999999</v>
      </c>
      <c r="BX33" s="3">
        <f t="shared" si="247"/>
        <v>0</v>
      </c>
      <c r="BY33" s="3">
        <f t="shared" si="248"/>
        <v>0</v>
      </c>
      <c r="BZ33" s="8">
        <f t="shared" si="249"/>
        <v>0</v>
      </c>
      <c r="CA33" s="8">
        <f t="shared" si="250"/>
        <v>0</v>
      </c>
      <c r="CC33" s="3">
        <f>SUMIFS('P&amp;L Data'!$N:$N,'P&amp;L Data'!$B:$B,$D33,'P&amp;L Data'!$C:$C,$CC$4)</f>
        <v>5554.9136900000049</v>
      </c>
      <c r="CD33" s="3">
        <f>SUMIFS('P&amp;L Data'!$P:$P,'P&amp;L Data'!$B:$B,$D33,'P&amp;L Data'!$C:$C,$CC$4)</f>
        <v>6389.8634799999963</v>
      </c>
      <c r="CE33" s="3">
        <f>SUMIFS('P&amp;L Data'!$T:$T,'P&amp;L Data'!$B:$B,$D33,'P&amp;L Data'!$C:$C,$CC$4)</f>
        <v>7117.755725512925</v>
      </c>
      <c r="CF33" s="3">
        <f t="shared" si="251"/>
        <v>-834.94978999999148</v>
      </c>
      <c r="CG33" s="3">
        <f t="shared" si="252"/>
        <v>-1562.8420355129201</v>
      </c>
      <c r="CH33" s="8">
        <f t="shared" si="253"/>
        <v>-0.13066786052837423</v>
      </c>
      <c r="CI33" s="8">
        <f t="shared" si="254"/>
        <v>-0.21956949574864729</v>
      </c>
      <c r="CK33" s="3">
        <f>SUMIFS('P&amp;L Data'!$N:$N,'P&amp;L Data'!$B:$B,$D33,'P&amp;L Data'!$C:$C,$CK$4)</f>
        <v>-1929.5990299999999</v>
      </c>
      <c r="CL33" s="3">
        <f>SUMIFS('P&amp;L Data'!$P:$P,'P&amp;L Data'!$B:$B,$D33,'P&amp;L Data'!$C:$C,$CK$4)</f>
        <v>-1709.6988900000001</v>
      </c>
      <c r="CM33" s="3">
        <f>SUMIFS('P&amp;L Data'!$T:$T,'P&amp;L Data'!$B:$B,$D33,'P&amp;L Data'!$C:$C,$CK$4)</f>
        <v>-1583.3424299999999</v>
      </c>
      <c r="CN33" s="3">
        <f t="shared" si="255"/>
        <v>-219.90013999999974</v>
      </c>
      <c r="CO33" s="3">
        <f t="shared" si="256"/>
        <v>-346.25659999999993</v>
      </c>
      <c r="CP33" s="8">
        <f t="shared" si="257"/>
        <v>-0.12861922136476309</v>
      </c>
      <c r="CQ33" s="8">
        <f t="shared" si="258"/>
        <v>-0.21868712253230019</v>
      </c>
      <c r="CS33" s="3">
        <f>SUMIFS('P&amp;L Data'!$N:$N,'P&amp;L Data'!$B:$B,$D33,'P&amp;L Data'!$C:$C,$CS$4)</f>
        <v>3625.314660000005</v>
      </c>
      <c r="CT33" s="3">
        <f>SUMIFS('P&amp;L Data'!$P:$P,'P&amp;L Data'!$B:$B,$D33,'P&amp;L Data'!$C:$C,$CS$4)</f>
        <v>4680.1645899999967</v>
      </c>
      <c r="CU33" s="3">
        <f>SUMIFS('P&amp;L Data'!$T:$T,'P&amp;L Data'!$B:$B,$D33,'P&amp;L Data'!$C:$C,$CS$4)</f>
        <v>5534.4132955129253</v>
      </c>
      <c r="CV33" s="3">
        <f t="shared" si="259"/>
        <v>-1054.8499299999917</v>
      </c>
      <c r="CW33" s="3">
        <f t="shared" si="260"/>
        <v>-1909.0986355129203</v>
      </c>
      <c r="CX33" s="8">
        <f t="shared" si="261"/>
        <v>-0.2253873575843606</v>
      </c>
      <c r="CY33" s="8">
        <f t="shared" si="262"/>
        <v>-0.34495050036482439</v>
      </c>
    </row>
    <row r="34" spans="2:103" outlineLevel="1" x14ac:dyDescent="0.85">
      <c r="B34" s="25" t="s">
        <v>95</v>
      </c>
      <c r="C34" s="25" t="s">
        <v>77</v>
      </c>
      <c r="D34" s="26"/>
      <c r="E34" s="26"/>
      <c r="F34" s="26"/>
      <c r="G34" s="25"/>
      <c r="H34" s="16"/>
      <c r="I34" s="27">
        <f>SUBTOTAL(9,I32:I33)</f>
        <v>96842.564400000003</v>
      </c>
      <c r="J34" s="27">
        <f>SUBTOTAL(9,J32:J33)</f>
        <v>102160.91459999999</v>
      </c>
      <c r="K34" s="27">
        <f>SUBTOTAL(9,K32:K33)</f>
        <v>105867.25847</v>
      </c>
      <c r="L34" s="27">
        <f t="shared" si="180"/>
        <v>-5318.3501999999862</v>
      </c>
      <c r="M34" s="27">
        <f t="shared" si="181"/>
        <v>-9024.6940699999977</v>
      </c>
      <c r="N34" s="28">
        <f t="shared" si="182"/>
        <v>-5.2058560955757012E-2</v>
      </c>
      <c r="O34" s="28">
        <f t="shared" si="183"/>
        <v>-8.5245374258532999E-2</v>
      </c>
      <c r="P34" s="29"/>
      <c r="Q34" s="27">
        <f>SUBTOTAL(9,Q32:Q33)</f>
        <v>5984.6612600000044</v>
      </c>
      <c r="R34" s="27">
        <f>SUBTOTAL(9,R32:R33)</f>
        <v>6441.4106199999997</v>
      </c>
      <c r="S34" s="27">
        <f>SUBTOTAL(9,S32:S33)</f>
        <v>7449.623922829719</v>
      </c>
      <c r="T34" s="27">
        <f t="shared" si="219"/>
        <v>-456.74935999999525</v>
      </c>
      <c r="U34" s="27">
        <f t="shared" si="220"/>
        <v>-1464.9626628297146</v>
      </c>
      <c r="V34" s="28">
        <f t="shared" si="221"/>
        <v>-7.0908281888105329E-2</v>
      </c>
      <c r="W34" s="28">
        <f t="shared" si="222"/>
        <v>-0.19664921048433981</v>
      </c>
      <c r="X34" s="29"/>
      <c r="Y34" s="27">
        <f>SUBTOTAL(9,Y32:Y33)</f>
        <v>24882.47694</v>
      </c>
      <c r="Z34" s="27">
        <f>SUBTOTAL(9,Z32:Z33)</f>
        <v>25525.212769999991</v>
      </c>
      <c r="AA34" s="27">
        <f>SUBTOTAL(9,AA32:AA33)</f>
        <v>25882.740803185559</v>
      </c>
      <c r="AB34" s="27">
        <f t="shared" si="223"/>
        <v>-642.73582999999053</v>
      </c>
      <c r="AC34" s="27">
        <f t="shared" si="224"/>
        <v>-1000.2638631855589</v>
      </c>
      <c r="AD34" s="28">
        <f t="shared" si="225"/>
        <v>-2.5180429867186205E-2</v>
      </c>
      <c r="AE34" s="28">
        <f t="shared" si="226"/>
        <v>-3.8645979218029716E-2</v>
      </c>
      <c r="AF34" s="29"/>
      <c r="AG34" s="27">
        <f>SUBTOTAL(9,AG32:AG33)</f>
        <v>-358.31552999999997</v>
      </c>
      <c r="AH34" s="27">
        <f>SUBTOTAL(9,AH32:AH33)</f>
        <v>-579.54809</v>
      </c>
      <c r="AI34" s="27">
        <f>SUBTOTAL(9,AI32:AI33)</f>
        <v>-329.09120999999999</v>
      </c>
      <c r="AJ34" s="27">
        <f t="shared" si="227"/>
        <v>221.23256000000003</v>
      </c>
      <c r="AK34" s="27">
        <f t="shared" si="228"/>
        <v>-29.224319999999977</v>
      </c>
      <c r="AL34" s="28">
        <f t="shared" si="229"/>
        <v>0.38173287742178569</v>
      </c>
      <c r="AM34" s="28">
        <f t="shared" si="230"/>
        <v>-8.8803101122026259E-2</v>
      </c>
      <c r="AN34" s="29"/>
      <c r="AO34" s="27">
        <f>SUBTOTAL(9,AO32:AO33)</f>
        <v>-1675.33376</v>
      </c>
      <c r="AP34" s="27">
        <f>SUBTOTAL(9,AP32:AP33)</f>
        <v>-1863.81538</v>
      </c>
      <c r="AQ34" s="27">
        <f>SUBTOTAL(9,AQ32:AQ33)</f>
        <v>-1656.973920287907</v>
      </c>
      <c r="AR34" s="27">
        <f t="shared" si="231"/>
        <v>188.48162000000002</v>
      </c>
      <c r="AS34" s="27">
        <f t="shared" si="232"/>
        <v>-18.359839712092935</v>
      </c>
      <c r="AT34" s="28">
        <f t="shared" si="233"/>
        <v>0.10112676503399173</v>
      </c>
      <c r="AU34" s="28">
        <f t="shared" si="234"/>
        <v>-1.1080343201118595E-2</v>
      </c>
      <c r="AV34" s="17"/>
      <c r="AW34" s="27">
        <f>SUBTOTAL(9,AW32:AW33)</f>
        <v>22848.827649999999</v>
      </c>
      <c r="AX34" s="27">
        <f>SUBTOTAL(9,AX32:AX33)</f>
        <v>23081.849299999994</v>
      </c>
      <c r="AY34" s="27">
        <f>SUBTOTAL(9,AY32:AY33)</f>
        <v>23896.675672897658</v>
      </c>
      <c r="AZ34" s="27">
        <f t="shared" si="235"/>
        <v>-233.02164999999513</v>
      </c>
      <c r="BA34" s="27">
        <f t="shared" si="236"/>
        <v>-1047.8480228976587</v>
      </c>
      <c r="BB34" s="28">
        <f t="shared" si="237"/>
        <v>-1.0095449761037786E-2</v>
      </c>
      <c r="BC34" s="28">
        <f t="shared" si="238"/>
        <v>-4.3849112623061307E-2</v>
      </c>
      <c r="BD34" s="17"/>
      <c r="BE34" s="27">
        <f>SUBTOTAL(9,BE32:BE33)</f>
        <v>-6862.0257899999997</v>
      </c>
      <c r="BF34" s="27">
        <f>SUBTOTAL(9,BF32:BF33)</f>
        <v>-6763.8058099999989</v>
      </c>
      <c r="BG34" s="27">
        <f>SUBTOTAL(9,BG32:BG33)</f>
        <v>-6383.7444799999994</v>
      </c>
      <c r="BH34" s="27">
        <f t="shared" si="239"/>
        <v>-98.21998000000076</v>
      </c>
      <c r="BI34" s="27">
        <f t="shared" si="240"/>
        <v>-478.2813100000003</v>
      </c>
      <c r="BJ34" s="28">
        <f t="shared" si="241"/>
        <v>-1.4521407438218687E-2</v>
      </c>
      <c r="BK34" s="28">
        <f t="shared" si="242"/>
        <v>-7.4921750314166771E-2</v>
      </c>
      <c r="BL34" s="17"/>
      <c r="BM34" s="27">
        <f>SUBTOTAL(9,BM32:BM33)</f>
        <v>-2328.5500499999998</v>
      </c>
      <c r="BN34" s="27">
        <f>SUBTOTAL(9,BN32:BN33)</f>
        <v>-2340.6195599999996</v>
      </c>
      <c r="BO34" s="27">
        <f>SUBTOTAL(9,BO32:BO33)</f>
        <v>-2407.9305900000004</v>
      </c>
      <c r="BP34" s="27">
        <f t="shared" si="243"/>
        <v>12.069509999999809</v>
      </c>
      <c r="BQ34" s="27">
        <f t="shared" si="244"/>
        <v>79.380540000000565</v>
      </c>
      <c r="BR34" s="28">
        <f t="shared" si="245"/>
        <v>5.156544961967169E-3</v>
      </c>
      <c r="BS34" s="28">
        <f t="shared" si="246"/>
        <v>3.296629077667914E-2</v>
      </c>
      <c r="BT34" s="17"/>
      <c r="BU34" s="27">
        <f>SUBTOTAL(9,BU32:BU33)</f>
        <v>-3754.2943599999999</v>
      </c>
      <c r="BV34" s="27">
        <f>SUBTOTAL(9,BV32:BV33)</f>
        <v>-3754.2943599999999</v>
      </c>
      <c r="BW34" s="27">
        <f>SUBTOTAL(9,BW32:BW33)</f>
        <v>-3754.2943599999999</v>
      </c>
      <c r="BX34" s="27">
        <f t="shared" si="247"/>
        <v>0</v>
      </c>
      <c r="BY34" s="27">
        <f t="shared" si="248"/>
        <v>0</v>
      </c>
      <c r="BZ34" s="28">
        <f t="shared" si="249"/>
        <v>0</v>
      </c>
      <c r="CA34" s="28">
        <f t="shared" si="250"/>
        <v>0</v>
      </c>
      <c r="CB34" s="17"/>
      <c r="CC34" s="27">
        <f>SUBTOTAL(9,CC32:CC33)</f>
        <v>9903.9574500000017</v>
      </c>
      <c r="CD34" s="27">
        <f>SUBTOTAL(9,CD32:CD33)</f>
        <v>10223.129569999997</v>
      </c>
      <c r="CE34" s="27">
        <f>SUBTOTAL(9,CE32:CE33)</f>
        <v>11350.706242897657</v>
      </c>
      <c r="CF34" s="27">
        <f t="shared" si="251"/>
        <v>-319.17211999999563</v>
      </c>
      <c r="CG34" s="27">
        <f t="shared" si="252"/>
        <v>-1446.7487928976552</v>
      </c>
      <c r="CH34" s="28">
        <f t="shared" si="253"/>
        <v>-3.1220588354530239E-2</v>
      </c>
      <c r="CI34" s="28">
        <f t="shared" si="254"/>
        <v>-0.12745892299018066</v>
      </c>
      <c r="CJ34" s="17"/>
      <c r="CK34" s="27">
        <f>SUBTOTAL(9,CK32:CK33)</f>
        <v>-2517.4507800000001</v>
      </c>
      <c r="CL34" s="27">
        <f>SUBTOTAL(9,CL32:CL33)</f>
        <v>-2322.6988799999999</v>
      </c>
      <c r="CM34" s="27">
        <f>SUBTOTAL(9,CM32:CM33)</f>
        <v>-2184.4423900000002</v>
      </c>
      <c r="CN34" s="27">
        <f t="shared" si="255"/>
        <v>-194.75190000000021</v>
      </c>
      <c r="CO34" s="27">
        <f t="shared" si="256"/>
        <v>-333.00838999999996</v>
      </c>
      <c r="CP34" s="28">
        <f t="shared" si="257"/>
        <v>-8.3847244116292949E-2</v>
      </c>
      <c r="CQ34" s="28">
        <f t="shared" si="258"/>
        <v>-0.15244548976180597</v>
      </c>
      <c r="CR34" s="17"/>
      <c r="CS34" s="27">
        <f>SUBTOTAL(9,CS32:CS33)</f>
        <v>7386.5066700000025</v>
      </c>
      <c r="CT34" s="27">
        <f>SUBTOTAL(9,CT32:CT33)</f>
        <v>7900.4306899999974</v>
      </c>
      <c r="CU34" s="27">
        <f>SUBTOTAL(9,CU32:CU33)</f>
        <v>9166.2638528976568</v>
      </c>
      <c r="CV34" s="27">
        <f>SUBTOTAL(9,CV32:CV33)</f>
        <v>-513.92401999999538</v>
      </c>
      <c r="CW34" s="27">
        <f>SUBTOTAL(9,CW32:CW33)</f>
        <v>-1779.7571828976552</v>
      </c>
      <c r="CX34" s="28">
        <f t="shared" si="261"/>
        <v>-6.5050127033010538E-2</v>
      </c>
      <c r="CY34" s="28">
        <f t="shared" si="262"/>
        <v>-0.19416386124811735</v>
      </c>
    </row>
    <row r="35" spans="2:103" outlineLevel="2" x14ac:dyDescent="0.85">
      <c r="B35" s="1" t="s">
        <v>95</v>
      </c>
      <c r="C35" s="1" t="s">
        <v>78</v>
      </c>
      <c r="D35" s="2">
        <v>201</v>
      </c>
      <c r="E35" s="1" t="s">
        <v>32</v>
      </c>
      <c r="F35" s="2" t="s">
        <v>15</v>
      </c>
      <c r="G35" s="1" t="s">
        <v>64</v>
      </c>
      <c r="I35" s="3">
        <f>SUMIFS('P&amp;L Data'!$N:$N,'P&amp;L Data'!$B:$B,$D35,'P&amp;L Data'!$C:$C,$I$4)</f>
        <v>39927.804550000001</v>
      </c>
      <c r="J35" s="3">
        <f>SUMIFS('P&amp;L Data'!$P:$P,'P&amp;L Data'!$B:$B,$D35,'P&amp;L Data'!$C:$C,$I$4)</f>
        <v>39886.821509999987</v>
      </c>
      <c r="K35" s="3">
        <f>SUMIFS('P&amp;L Data'!$T:$T,'P&amp;L Data'!$B:$B,$D35,'P&amp;L Data'!$C:$C,$I$4)</f>
        <v>44368.74336</v>
      </c>
      <c r="L35" s="3">
        <f t="shared" si="180"/>
        <v>40.983040000013716</v>
      </c>
      <c r="M35" s="3">
        <f t="shared" si="181"/>
        <v>-4440.9388099999996</v>
      </c>
      <c r="N35" s="8">
        <f t="shared" si="182"/>
        <v>1.0274832249979832E-3</v>
      </c>
      <c r="O35" s="8">
        <f t="shared" si="183"/>
        <v>-0.10009160669634073</v>
      </c>
      <c r="P35" s="24"/>
      <c r="Q35" s="3">
        <f>SUMIFS('P&amp;L Data'!$N:$N,'P&amp;L Data'!$B:$B,$D35,'P&amp;L Data'!$C:$C,$Q$4)</f>
        <v>501.69015999999834</v>
      </c>
      <c r="R35" s="3">
        <f>SUMIFS('P&amp;L Data'!$P:$P,'P&amp;L Data'!$B:$B,$D35,'P&amp;L Data'!$C:$C,$Q$4)</f>
        <v>1539.2643099999962</v>
      </c>
      <c r="S35" s="3">
        <f>SUMIFS('P&amp;L Data'!$T:$T,'P&amp;L Data'!$B:$B,$D35,'P&amp;L Data'!$C:$C,$Q$4)</f>
        <v>1275.2753712518765</v>
      </c>
      <c r="T35" s="3">
        <f t="shared" si="219"/>
        <v>-1037.5741499999979</v>
      </c>
      <c r="U35" s="3">
        <f t="shared" si="220"/>
        <v>-773.58521125187826</v>
      </c>
      <c r="V35" s="8">
        <f t="shared" si="221"/>
        <v>-0.67407146599793533</v>
      </c>
      <c r="W35" s="8">
        <f t="shared" si="222"/>
        <v>-0.60660248656138227</v>
      </c>
      <c r="X35" s="24"/>
      <c r="Y35" s="3">
        <f>SUMIFS('P&amp;L Data'!$N:$N,'P&amp;L Data'!$B:$B,$D35,'P&amp;L Data'!$C:$C,$Y$4)</f>
        <v>8440.9289300000019</v>
      </c>
      <c r="Z35" s="3">
        <f>SUMIFS('P&amp;L Data'!$P:$P,'P&amp;L Data'!$B:$B,$D35,'P&amp;L Data'!$C:$C,$Y$4)</f>
        <v>9204.1570399999928</v>
      </c>
      <c r="AA35" s="3">
        <f>SUMIFS('P&amp;L Data'!$T:$T,'P&amp;L Data'!$B:$B,$D35,'P&amp;L Data'!$C:$C,$Y$4)</f>
        <v>9235.9684262646115</v>
      </c>
      <c r="AB35" s="3">
        <f t="shared" si="223"/>
        <v>-763.22810999999092</v>
      </c>
      <c r="AC35" s="3">
        <f t="shared" si="224"/>
        <v>-795.03949626460962</v>
      </c>
      <c r="AD35" s="8">
        <f t="shared" si="225"/>
        <v>-8.2922108638858197E-2</v>
      </c>
      <c r="AE35" s="8">
        <f t="shared" si="226"/>
        <v>-8.6080794083675194E-2</v>
      </c>
      <c r="AF35" s="24"/>
      <c r="AG35" s="3">
        <f>SUMIFS('P&amp;L Data'!$N:$N,'P&amp;L Data'!$B:$B,$D35,'P&amp;L Data'!$C:$C,$AG$4)</f>
        <v>-93.336120000000008</v>
      </c>
      <c r="AH35" s="3">
        <f>SUMIFS('P&amp;L Data'!$P:$P,'P&amp;L Data'!$B:$B,$D35,'P&amp;L Data'!$C:$C,$AG$4)</f>
        <v>-235.35553000000004</v>
      </c>
      <c r="AI35" s="3">
        <f>SUMIFS('P&amp;L Data'!$T:$T,'P&amp;L Data'!$B:$B,$D35,'P&amp;L Data'!$C:$C,$AG$4)</f>
        <v>-226.24707000000001</v>
      </c>
      <c r="AJ35" s="3">
        <f t="shared" si="227"/>
        <v>142.01941000000005</v>
      </c>
      <c r="AK35" s="3">
        <f t="shared" si="228"/>
        <v>132.91095000000001</v>
      </c>
      <c r="AL35" s="8">
        <f t="shared" si="229"/>
        <v>0.60342499706720309</v>
      </c>
      <c r="AM35" s="8">
        <f t="shared" si="230"/>
        <v>0.58745932046766403</v>
      </c>
      <c r="AN35" s="24"/>
      <c r="AO35" s="3">
        <f>SUMIFS('P&amp;L Data'!$N:$N,'P&amp;L Data'!$B:$B,$D35,'P&amp;L Data'!$C:$C,$AO$4)</f>
        <v>-692.23964999999987</v>
      </c>
      <c r="AP35" s="3">
        <f>SUMIFS('P&amp;L Data'!$P:$P,'P&amp;L Data'!$B:$B,$D35,'P&amp;L Data'!$C:$C,$AO$4)</f>
        <v>-750.77171999999996</v>
      </c>
      <c r="AQ35" s="3">
        <f>SUMIFS('P&amp;L Data'!$T:$T,'P&amp;L Data'!$B:$B,$D35,'P&amp;L Data'!$C:$C,$AO$4)</f>
        <v>-754.89077332127124</v>
      </c>
      <c r="AR35" s="3">
        <f t="shared" si="231"/>
        <v>58.53207000000009</v>
      </c>
      <c r="AS35" s="3">
        <f t="shared" si="232"/>
        <v>62.651123321271371</v>
      </c>
      <c r="AT35" s="8">
        <f t="shared" si="233"/>
        <v>7.7962539665186237E-2</v>
      </c>
      <c r="AU35" s="8">
        <f t="shared" si="234"/>
        <v>8.2993627072201481E-2</v>
      </c>
      <c r="AW35" s="3">
        <f>SUMIFS('P&amp;L Data'!$N:$N,'P&amp;L Data'!$B:$B,$D35,'P&amp;L Data'!$C:$C,$AW$4)</f>
        <v>7655.3531600000015</v>
      </c>
      <c r="AX35" s="3">
        <f>SUMIFS('P&amp;L Data'!$P:$P,'P&amp;L Data'!$B:$B,$D35,'P&amp;L Data'!$C:$C,$AW$4)</f>
        <v>8218.0297899999932</v>
      </c>
      <c r="AY35" s="3">
        <f>SUMIFS('P&amp;L Data'!$T:$T,'P&amp;L Data'!$B:$B,$D35,'P&amp;L Data'!$C:$C,$AW$4)</f>
        <v>8254.8305829433393</v>
      </c>
      <c r="AZ35" s="3">
        <f t="shared" si="235"/>
        <v>-562.67662999999175</v>
      </c>
      <c r="BA35" s="3">
        <f t="shared" si="236"/>
        <v>-599.47742294333784</v>
      </c>
      <c r="BB35" s="8">
        <f t="shared" si="237"/>
        <v>-6.8468555648785526E-2</v>
      </c>
      <c r="BC35" s="8">
        <f t="shared" si="238"/>
        <v>-7.262140838868536E-2</v>
      </c>
      <c r="BE35" s="3">
        <f>SUMIFS('P&amp;L Data'!$N:$N,'P&amp;L Data'!$B:$B,$D35,'P&amp;L Data'!$C:$C,$BE$4)</f>
        <v>-2492.6230400000004</v>
      </c>
      <c r="BF35" s="3">
        <f>SUMIFS('P&amp;L Data'!$P:$P,'P&amp;L Data'!$B:$B,$D35,'P&amp;L Data'!$C:$C,$BE$4)</f>
        <v>-2593.2813999999998</v>
      </c>
      <c r="BG35" s="3">
        <f>SUMIFS('P&amp;L Data'!$T:$T,'P&amp;L Data'!$B:$B,$D35,'P&amp;L Data'!$C:$C,$BE$4)</f>
        <v>-2736.259250000001</v>
      </c>
      <c r="BH35" s="3">
        <f t="shared" si="239"/>
        <v>100.65835999999945</v>
      </c>
      <c r="BI35" s="3">
        <f t="shared" si="240"/>
        <v>243.63621000000057</v>
      </c>
      <c r="BJ35" s="8">
        <f t="shared" si="241"/>
        <v>3.8815054933876228E-2</v>
      </c>
      <c r="BK35" s="8">
        <f t="shared" si="242"/>
        <v>8.903988538366768E-2</v>
      </c>
      <c r="BM35" s="3">
        <f>SUMIFS('P&amp;L Data'!$N:$N,'P&amp;L Data'!$B:$B,$D35,'P&amp;L Data'!$C:$C,$BM$4)</f>
        <v>-980.46323999999993</v>
      </c>
      <c r="BN35" s="3">
        <f>SUMIFS('P&amp;L Data'!$P:$P,'P&amp;L Data'!$B:$B,$D35,'P&amp;L Data'!$C:$C,$BM$4)</f>
        <v>-880.76605999999992</v>
      </c>
      <c r="BO35" s="3">
        <f>SUMIFS('P&amp;L Data'!$T:$T,'P&amp;L Data'!$B:$B,$D35,'P&amp;L Data'!$C:$C,$BM$4)</f>
        <v>-1043.5678400000002</v>
      </c>
      <c r="BP35" s="3">
        <f t="shared" si="243"/>
        <v>-99.697180000000003</v>
      </c>
      <c r="BQ35" s="3">
        <f t="shared" si="244"/>
        <v>63.104600000000232</v>
      </c>
      <c r="BR35" s="8">
        <f t="shared" si="245"/>
        <v>-0.11319371230085774</v>
      </c>
      <c r="BS35" s="8">
        <f t="shared" si="246"/>
        <v>6.0470050514397057E-2</v>
      </c>
      <c r="BU35" s="3">
        <f>SUMIFS('P&amp;L Data'!$N:$N,'P&amp;L Data'!$B:$B,$D35,'P&amp;L Data'!$C:$C,$BU$4)</f>
        <v>-2189.0709200000001</v>
      </c>
      <c r="BV35" s="3">
        <f>SUMIFS('P&amp;L Data'!$P:$P,'P&amp;L Data'!$B:$B,$D35,'P&amp;L Data'!$C:$C,$BU$4)</f>
        <v>-2189.0709200000001</v>
      </c>
      <c r="BW35" s="3">
        <f>SUMIFS('P&amp;L Data'!$T:$T,'P&amp;L Data'!$B:$B,$D35,'P&amp;L Data'!$C:$C,$BU$4)</f>
        <v>-2189.0709200000001</v>
      </c>
      <c r="BX35" s="3">
        <f t="shared" si="247"/>
        <v>0</v>
      </c>
      <c r="BY35" s="3">
        <f t="shared" si="248"/>
        <v>0</v>
      </c>
      <c r="BZ35" s="8">
        <f t="shared" si="249"/>
        <v>0</v>
      </c>
      <c r="CA35" s="8">
        <f t="shared" si="250"/>
        <v>0</v>
      </c>
      <c r="CC35" s="3">
        <f>SUMIFS('P&amp;L Data'!$N:$N,'P&amp;L Data'!$B:$B,$D35,'P&amp;L Data'!$C:$C,$CC$4)</f>
        <v>1993.1959600000009</v>
      </c>
      <c r="CD35" s="3">
        <f>SUMIFS('P&amp;L Data'!$P:$P,'P&amp;L Data'!$B:$B,$D35,'P&amp;L Data'!$C:$C,$CC$4)</f>
        <v>2554.9114099999933</v>
      </c>
      <c r="CE35" s="3">
        <f>SUMIFS('P&amp;L Data'!$T:$T,'P&amp;L Data'!$B:$B,$D35,'P&amp;L Data'!$C:$C,$CC$4)</f>
        <v>2285.9325729433385</v>
      </c>
      <c r="CF35" s="3">
        <f t="shared" si="251"/>
        <v>-561.71544999999242</v>
      </c>
      <c r="CG35" s="3">
        <f t="shared" si="252"/>
        <v>-292.7366129433376</v>
      </c>
      <c r="CH35" s="8">
        <f t="shared" si="253"/>
        <v>-0.21985711434119506</v>
      </c>
      <c r="CI35" s="8">
        <f t="shared" si="254"/>
        <v>-0.12806003834418159</v>
      </c>
      <c r="CK35" s="3">
        <f>SUMIFS('P&amp;L Data'!$N:$N,'P&amp;L Data'!$B:$B,$D35,'P&amp;L Data'!$C:$C,$CK$4)</f>
        <v>-452.26668000000001</v>
      </c>
      <c r="CL35" s="3">
        <f>SUMIFS('P&amp;L Data'!$P:$P,'P&amp;L Data'!$B:$B,$D35,'P&amp;L Data'!$C:$C,$CK$4)</f>
        <v>-449.80250999999998</v>
      </c>
      <c r="CM35" s="3">
        <f>SUMIFS('P&amp;L Data'!$T:$T,'P&amp;L Data'!$B:$B,$D35,'P&amp;L Data'!$C:$C,$CK$4)</f>
        <v>-486.20245999999997</v>
      </c>
      <c r="CN35" s="3">
        <f t="shared" si="255"/>
        <v>-2.4641700000000242</v>
      </c>
      <c r="CO35" s="3">
        <f t="shared" si="256"/>
        <v>33.935779999999966</v>
      </c>
      <c r="CP35" s="8">
        <f t="shared" si="257"/>
        <v>-5.4783375930917422E-3</v>
      </c>
      <c r="CQ35" s="8">
        <f t="shared" si="258"/>
        <v>6.9797631217250453E-2</v>
      </c>
      <c r="CS35" s="3">
        <f>SUMIFS('P&amp;L Data'!$N:$N,'P&amp;L Data'!$B:$B,$D35,'P&amp;L Data'!$C:$C,$CS$4)</f>
        <v>1540.929280000001</v>
      </c>
      <c r="CT35" s="3">
        <f>SUMIFS('P&amp;L Data'!$P:$P,'P&amp;L Data'!$B:$B,$D35,'P&amp;L Data'!$C:$C,$CS$4)</f>
        <v>2105.1088999999934</v>
      </c>
      <c r="CU35" s="3">
        <f>SUMIFS('P&amp;L Data'!$T:$T,'P&amp;L Data'!$B:$B,$D35,'P&amp;L Data'!$C:$C,$CS$4)</f>
        <v>1799.7301129433386</v>
      </c>
      <c r="CV35" s="3">
        <f t="shared" ref="CV35:CV36" si="263">CS35-CT35</f>
        <v>-564.17961999999238</v>
      </c>
      <c r="CW35" s="3">
        <f t="shared" ref="CW35:CW36" si="264">CS35-CU35</f>
        <v>-258.80083294333758</v>
      </c>
      <c r="CX35" s="8">
        <f t="shared" si="261"/>
        <v>-0.2680049568932012</v>
      </c>
      <c r="CY35" s="8">
        <f t="shared" si="262"/>
        <v>-0.14379980147139176</v>
      </c>
    </row>
    <row r="36" spans="2:103" outlineLevel="2" x14ac:dyDescent="0.85">
      <c r="B36" s="1" t="s">
        <v>95</v>
      </c>
      <c r="C36" s="1" t="s">
        <v>78</v>
      </c>
      <c r="D36" s="2">
        <v>20001</v>
      </c>
      <c r="E36" s="1" t="s">
        <v>33</v>
      </c>
      <c r="F36" s="2" t="s">
        <v>15</v>
      </c>
      <c r="G36" s="1" t="s">
        <v>64</v>
      </c>
      <c r="I36" s="3">
        <f>SUMIFS('P&amp;L Data'!$N:$N,'P&amp;L Data'!$B:$B,$D36,'P&amp;L Data'!$C:$C,$I$4)</f>
        <v>13815.637299999999</v>
      </c>
      <c r="J36" s="3">
        <f>SUMIFS('P&amp;L Data'!$P:$P,'P&amp;L Data'!$B:$B,$D36,'P&amp;L Data'!$C:$C,$I$4)</f>
        <v>21158.5687</v>
      </c>
      <c r="K36" s="3">
        <f>SUMIFS('P&amp;L Data'!$T:$T,'P&amp;L Data'!$B:$B,$D36,'P&amp;L Data'!$C:$C,$I$4)</f>
        <v>25577.631929999992</v>
      </c>
      <c r="L36" s="3">
        <f t="shared" si="180"/>
        <v>-7342.9314000000013</v>
      </c>
      <c r="M36" s="3">
        <f t="shared" si="181"/>
        <v>-11761.994629999994</v>
      </c>
      <c r="N36" s="8">
        <f t="shared" si="182"/>
        <v>-0.3470429169436211</v>
      </c>
      <c r="O36" s="8">
        <f t="shared" si="183"/>
        <v>-0.45985471454862697</v>
      </c>
      <c r="P36" s="24"/>
      <c r="Q36" s="3">
        <f>SUMIFS('P&amp;L Data'!$N:$N,'P&amp;L Data'!$B:$B,$D36,'P&amp;L Data'!$C:$C,$Q$4)</f>
        <v>544.57519999999965</v>
      </c>
      <c r="R36" s="3">
        <f>SUMIFS('P&amp;L Data'!$P:$P,'P&amp;L Data'!$B:$B,$D36,'P&amp;L Data'!$C:$C,$Q$4)</f>
        <v>1304.2885200000003</v>
      </c>
      <c r="S36" s="3">
        <f>SUMIFS('P&amp;L Data'!$T:$T,'P&amp;L Data'!$B:$B,$D36,'P&amp;L Data'!$C:$C,$Q$4)</f>
        <v>1849.6343906171353</v>
      </c>
      <c r="T36" s="3">
        <f t="shared" si="219"/>
        <v>-759.71332000000064</v>
      </c>
      <c r="U36" s="3">
        <f t="shared" si="220"/>
        <v>-1305.0591906171358</v>
      </c>
      <c r="V36" s="8">
        <f t="shared" si="221"/>
        <v>-0.58247336256551618</v>
      </c>
      <c r="W36" s="8">
        <f t="shared" si="222"/>
        <v>-0.70557684115167185</v>
      </c>
      <c r="X36" s="24"/>
      <c r="Y36" s="3">
        <f>SUMIFS('P&amp;L Data'!$N:$N,'P&amp;L Data'!$B:$B,$D36,'P&amp;L Data'!$C:$C,$Y$4)</f>
        <v>3275.3144699999998</v>
      </c>
      <c r="Z36" s="3">
        <f>SUMIFS('P&amp;L Data'!$P:$P,'P&amp;L Data'!$B:$B,$D36,'P&amp;L Data'!$C:$C,$Y$4)</f>
        <v>5523.8340899999985</v>
      </c>
      <c r="AA36" s="3">
        <f>SUMIFS('P&amp;L Data'!$T:$T,'P&amp;L Data'!$B:$B,$D36,'P&amp;L Data'!$C:$C,$Y$4)</f>
        <v>6622.9174571893818</v>
      </c>
      <c r="AB36" s="3">
        <f t="shared" si="223"/>
        <v>-2248.5196199999987</v>
      </c>
      <c r="AC36" s="3">
        <f t="shared" si="224"/>
        <v>-3347.602987189382</v>
      </c>
      <c r="AD36" s="8">
        <f t="shared" si="225"/>
        <v>-0.40705777606003357</v>
      </c>
      <c r="AE36" s="8">
        <f t="shared" si="226"/>
        <v>-0.50545745267524889</v>
      </c>
      <c r="AF36" s="24"/>
      <c r="AG36" s="3">
        <f>SUMIFS('P&amp;L Data'!$N:$N,'P&amp;L Data'!$B:$B,$D36,'P&amp;L Data'!$C:$C,$AG$4)</f>
        <v>-119.9676</v>
      </c>
      <c r="AH36" s="3">
        <f>SUMIFS('P&amp;L Data'!$P:$P,'P&amp;L Data'!$B:$B,$D36,'P&amp;L Data'!$C:$C,$AG$4)</f>
        <v>-125.25092999999998</v>
      </c>
      <c r="AI36" s="3">
        <f>SUMIFS('P&amp;L Data'!$T:$T,'P&amp;L Data'!$B:$B,$D36,'P&amp;L Data'!$C:$C,$AG$4)</f>
        <v>-265.73012</v>
      </c>
      <c r="AJ36" s="3">
        <f t="shared" si="227"/>
        <v>5.2833299999999781</v>
      </c>
      <c r="AK36" s="3">
        <f t="shared" si="228"/>
        <v>145.76251999999999</v>
      </c>
      <c r="AL36" s="8">
        <f t="shared" si="229"/>
        <v>4.2181962241717316E-2</v>
      </c>
      <c r="AM36" s="8">
        <f t="shared" si="230"/>
        <v>0.54853593563273895</v>
      </c>
      <c r="AN36" s="24"/>
      <c r="AO36" s="3">
        <f>SUMIFS('P&amp;L Data'!$N:$N,'P&amp;L Data'!$B:$B,$D36,'P&amp;L Data'!$C:$C,$AO$4)</f>
        <v>-248.35932</v>
      </c>
      <c r="AP36" s="3">
        <f>SUMIFS('P&amp;L Data'!$P:$P,'P&amp;L Data'!$B:$B,$D36,'P&amp;L Data'!$C:$C,$AO$4)</f>
        <v>-403.42999999999995</v>
      </c>
      <c r="AQ36" s="3">
        <f>SUMIFS('P&amp;L Data'!$T:$T,'P&amp;L Data'!$B:$B,$D36,'P&amp;L Data'!$C:$C,$AO$4)</f>
        <v>-429.76413633588885</v>
      </c>
      <c r="AR36" s="3">
        <f t="shared" si="231"/>
        <v>155.07067999999995</v>
      </c>
      <c r="AS36" s="3">
        <f t="shared" si="232"/>
        <v>181.40481633588885</v>
      </c>
      <c r="AT36" s="8">
        <f t="shared" si="233"/>
        <v>0.38438063604590628</v>
      </c>
      <c r="AU36" s="8">
        <f t="shared" si="234"/>
        <v>0.42210319800652024</v>
      </c>
      <c r="AW36" s="3">
        <f>SUMIFS('P&amp;L Data'!$N:$N,'P&amp;L Data'!$B:$B,$D36,'P&amp;L Data'!$C:$C,$AW$4)</f>
        <v>2906.9875499999994</v>
      </c>
      <c r="AX36" s="3">
        <f>SUMIFS('P&amp;L Data'!$P:$P,'P&amp;L Data'!$B:$B,$D36,'P&amp;L Data'!$C:$C,$AW$4)</f>
        <v>4995.1531599999989</v>
      </c>
      <c r="AY36" s="3">
        <f>SUMIFS('P&amp;L Data'!$T:$T,'P&amp;L Data'!$B:$B,$D36,'P&amp;L Data'!$C:$C,$AW$4)</f>
        <v>5927.4232008534927</v>
      </c>
      <c r="AZ36" s="3">
        <f t="shared" si="235"/>
        <v>-2088.1656099999996</v>
      </c>
      <c r="BA36" s="3">
        <f t="shared" si="236"/>
        <v>-3020.4356508534934</v>
      </c>
      <c r="BB36" s="8">
        <f t="shared" si="237"/>
        <v>-0.41803835500411363</v>
      </c>
      <c r="BC36" s="8">
        <f t="shared" si="238"/>
        <v>-0.50956976556331923</v>
      </c>
      <c r="BE36" s="3">
        <f>SUMIFS('P&amp;L Data'!$N:$N,'P&amp;L Data'!$B:$B,$D36,'P&amp;L Data'!$C:$C,$BE$4)</f>
        <v>-1969.5582300000005</v>
      </c>
      <c r="BF36" s="3">
        <f>SUMIFS('P&amp;L Data'!$P:$P,'P&amp;L Data'!$B:$B,$D36,'P&amp;L Data'!$C:$C,$BE$4)</f>
        <v>-2000.5936399999996</v>
      </c>
      <c r="BG36" s="3">
        <f>SUMIFS('P&amp;L Data'!$T:$T,'P&amp;L Data'!$B:$B,$D36,'P&amp;L Data'!$C:$C,$BE$4)</f>
        <v>-2462.1775900000007</v>
      </c>
      <c r="BH36" s="3">
        <f t="shared" si="239"/>
        <v>31.035409999999047</v>
      </c>
      <c r="BI36" s="3">
        <f t="shared" si="240"/>
        <v>492.61936000000014</v>
      </c>
      <c r="BJ36" s="8">
        <f t="shared" si="241"/>
        <v>1.5513100401538343E-2</v>
      </c>
      <c r="BK36" s="8">
        <f t="shared" si="242"/>
        <v>0.2000746664256659</v>
      </c>
      <c r="BM36" s="3">
        <f>SUMIFS('P&amp;L Data'!$N:$N,'P&amp;L Data'!$B:$B,$D36,'P&amp;L Data'!$C:$C,$BM$4)</f>
        <v>-799.56904000000009</v>
      </c>
      <c r="BN36" s="3">
        <f>SUMIFS('P&amp;L Data'!$P:$P,'P&amp;L Data'!$B:$B,$D36,'P&amp;L Data'!$C:$C,$BM$4)</f>
        <v>-1064.9780700000001</v>
      </c>
      <c r="BO36" s="3">
        <f>SUMIFS('P&amp;L Data'!$T:$T,'P&amp;L Data'!$B:$B,$D36,'P&amp;L Data'!$C:$C,$BM$4)</f>
        <v>-1351.5988</v>
      </c>
      <c r="BP36" s="3">
        <f t="shared" si="243"/>
        <v>265.40903000000003</v>
      </c>
      <c r="BQ36" s="3">
        <f t="shared" si="244"/>
        <v>552.0297599999999</v>
      </c>
      <c r="BR36" s="8">
        <f t="shared" si="245"/>
        <v>0.2492154885405293</v>
      </c>
      <c r="BS36" s="8">
        <f t="shared" si="246"/>
        <v>0.40842723447224127</v>
      </c>
      <c r="BU36" s="3">
        <f>SUMIFS('P&amp;L Data'!$N:$N,'P&amp;L Data'!$B:$B,$D36,'P&amp;L Data'!$C:$C,$BU$4)</f>
        <v>-1166.66668</v>
      </c>
      <c r="BV36" s="3">
        <f>SUMIFS('P&amp;L Data'!$P:$P,'P&amp;L Data'!$B:$B,$D36,'P&amp;L Data'!$C:$C,$BU$4)</f>
        <v>-1166.66668</v>
      </c>
      <c r="BW36" s="3">
        <f>SUMIFS('P&amp;L Data'!$T:$T,'P&amp;L Data'!$B:$B,$D36,'P&amp;L Data'!$C:$C,$BU$4)</f>
        <v>-1166.66668</v>
      </c>
      <c r="BX36" s="3">
        <f t="shared" si="247"/>
        <v>0</v>
      </c>
      <c r="BY36" s="3">
        <f t="shared" si="248"/>
        <v>0</v>
      </c>
      <c r="BZ36" s="8">
        <f t="shared" si="249"/>
        <v>0</v>
      </c>
      <c r="CA36" s="8">
        <f t="shared" si="250"/>
        <v>0</v>
      </c>
      <c r="CC36" s="3">
        <f>SUMIFS('P&amp;L Data'!$N:$N,'P&amp;L Data'!$B:$B,$D36,'P&amp;L Data'!$C:$C,$CC$4)</f>
        <v>-1028.8064000000018</v>
      </c>
      <c r="CD36" s="3">
        <f>SUMIFS('P&amp;L Data'!$P:$P,'P&amp;L Data'!$B:$B,$D36,'P&amp;L Data'!$C:$C,$CC$4)</f>
        <v>762.91476999999941</v>
      </c>
      <c r="CE36" s="3">
        <f>SUMIFS('P&amp;L Data'!$T:$T,'P&amp;L Data'!$B:$B,$D36,'P&amp;L Data'!$C:$C,$CC$4)</f>
        <v>946.98013085349157</v>
      </c>
      <c r="CF36" s="3">
        <f t="shared" si="251"/>
        <v>-1791.7211700000012</v>
      </c>
      <c r="CG36" s="3">
        <f t="shared" si="252"/>
        <v>-1975.7865308534933</v>
      </c>
      <c r="CH36" s="8">
        <f t="shared" si="253"/>
        <v>-2.3485207528489749</v>
      </c>
      <c r="CI36" s="8">
        <f t="shared" si="254"/>
        <v>-2.0864075881642439</v>
      </c>
      <c r="CK36" s="3">
        <f>SUMIFS('P&amp;L Data'!$N:$N,'P&amp;L Data'!$B:$B,$D36,'P&amp;L Data'!$C:$C,$CK$4)</f>
        <v>-413.17757999999998</v>
      </c>
      <c r="CL36" s="3">
        <f>SUMIFS('P&amp;L Data'!$P:$P,'P&amp;L Data'!$B:$B,$D36,'P&amp;L Data'!$C:$C,$CK$4)</f>
        <v>-842.7406000000002</v>
      </c>
      <c r="CM36" s="3">
        <f>SUMIFS('P&amp;L Data'!$T:$T,'P&amp;L Data'!$B:$B,$D36,'P&amp;L Data'!$C:$C,$CK$4)</f>
        <v>-291.83531999999997</v>
      </c>
      <c r="CN36" s="3">
        <f t="shared" si="255"/>
        <v>429.56302000000022</v>
      </c>
      <c r="CO36" s="3">
        <f t="shared" si="256"/>
        <v>-121.34226000000001</v>
      </c>
      <c r="CP36" s="8">
        <f t="shared" si="257"/>
        <v>0.50972152047735697</v>
      </c>
      <c r="CQ36" s="8">
        <f t="shared" si="258"/>
        <v>-0.41579017920106459</v>
      </c>
      <c r="CS36" s="3">
        <f>SUMIFS('P&amp;L Data'!$N:$N,'P&amp;L Data'!$B:$B,$D36,'P&amp;L Data'!$C:$C,$CS$4)</f>
        <v>-1441.9839800000018</v>
      </c>
      <c r="CT36" s="3">
        <f>SUMIFS('P&amp;L Data'!$P:$P,'P&amp;L Data'!$B:$B,$D36,'P&amp;L Data'!$C:$C,$CS$4)</f>
        <v>-79.825830000000792</v>
      </c>
      <c r="CU36" s="3">
        <f>SUMIFS('P&amp;L Data'!$T:$T,'P&amp;L Data'!$B:$B,$D36,'P&amp;L Data'!$C:$C,$CS$4)</f>
        <v>655.14481085349166</v>
      </c>
      <c r="CV36" s="3">
        <f t="shared" si="263"/>
        <v>-1362.1581500000011</v>
      </c>
      <c r="CW36" s="3">
        <f t="shared" si="264"/>
        <v>-2097.1287908534932</v>
      </c>
      <c r="CX36" s="8">
        <f t="shared" si="261"/>
        <v>-17.064127613831108</v>
      </c>
      <c r="CY36" s="8">
        <f t="shared" si="262"/>
        <v>-3.2010156473977913</v>
      </c>
    </row>
    <row r="37" spans="2:103" outlineLevel="1" x14ac:dyDescent="0.85">
      <c r="B37" s="25" t="s">
        <v>95</v>
      </c>
      <c r="C37" s="25" t="s">
        <v>79</v>
      </c>
      <c r="D37" s="26"/>
      <c r="E37" s="26"/>
      <c r="F37" s="26"/>
      <c r="G37" s="25"/>
      <c r="H37" s="16"/>
      <c r="I37" s="27">
        <f>SUBTOTAL(9,I35:I36)</f>
        <v>53743.441850000003</v>
      </c>
      <c r="J37" s="27">
        <f>SUBTOTAL(9,J35:J36)</f>
        <v>61045.390209999983</v>
      </c>
      <c r="K37" s="27">
        <f>SUBTOTAL(9,K35:K36)</f>
        <v>69946.375289999996</v>
      </c>
      <c r="L37" s="27">
        <f t="shared" si="180"/>
        <v>-7301.9483599999803</v>
      </c>
      <c r="M37" s="27">
        <f t="shared" si="181"/>
        <v>-16202.933439999993</v>
      </c>
      <c r="N37" s="28">
        <f t="shared" si="182"/>
        <v>-0.11961506568933082</v>
      </c>
      <c r="O37" s="28">
        <f t="shared" si="183"/>
        <v>-0.23164793561956704</v>
      </c>
      <c r="P37" s="29"/>
      <c r="Q37" s="27">
        <f>SUBTOTAL(9,Q35:Q36)</f>
        <v>1046.2653599999981</v>
      </c>
      <c r="R37" s="27">
        <f>SUBTOTAL(9,R35:R36)</f>
        <v>2843.5528299999964</v>
      </c>
      <c r="S37" s="27">
        <f>SUBTOTAL(9,S35:S36)</f>
        <v>3124.9097618690121</v>
      </c>
      <c r="T37" s="27">
        <f t="shared" si="219"/>
        <v>-1797.2874699999984</v>
      </c>
      <c r="U37" s="27">
        <f t="shared" si="220"/>
        <v>-2078.644401869014</v>
      </c>
      <c r="V37" s="28">
        <f t="shared" si="221"/>
        <v>-0.63205699962324968</v>
      </c>
      <c r="W37" s="28">
        <f t="shared" si="222"/>
        <v>-0.66518541662648667</v>
      </c>
      <c r="X37" s="29"/>
      <c r="Y37" s="27">
        <f>SUBTOTAL(9,Y35:Y36)</f>
        <v>11716.243400000001</v>
      </c>
      <c r="Z37" s="27">
        <f>SUBTOTAL(9,Z35:Z36)</f>
        <v>14727.991129999991</v>
      </c>
      <c r="AA37" s="27">
        <f>SUBTOTAL(9,AA35:AA36)</f>
        <v>15858.885883453993</v>
      </c>
      <c r="AB37" s="27">
        <f t="shared" si="223"/>
        <v>-3011.74772999999</v>
      </c>
      <c r="AC37" s="27">
        <f t="shared" si="224"/>
        <v>-4142.6424834539921</v>
      </c>
      <c r="AD37" s="28">
        <f t="shared" si="225"/>
        <v>-0.20449141389454326</v>
      </c>
      <c r="AE37" s="28">
        <f t="shared" si="226"/>
        <v>-0.26121901083708055</v>
      </c>
      <c r="AF37" s="29"/>
      <c r="AG37" s="27">
        <f>SUBTOTAL(9,AG35:AG36)</f>
        <v>-213.30372</v>
      </c>
      <c r="AH37" s="27">
        <f>SUBTOTAL(9,AH35:AH36)</f>
        <v>-360.60646000000003</v>
      </c>
      <c r="AI37" s="27">
        <f>SUBTOTAL(9,AI35:AI36)</f>
        <v>-491.97719000000001</v>
      </c>
      <c r="AJ37" s="27">
        <f t="shared" si="227"/>
        <v>147.30274000000003</v>
      </c>
      <c r="AK37" s="27">
        <f t="shared" si="228"/>
        <v>278.67347000000001</v>
      </c>
      <c r="AL37" s="28">
        <f t="shared" si="229"/>
        <v>0.40848613749182422</v>
      </c>
      <c r="AM37" s="28">
        <f t="shared" si="230"/>
        <v>0.56643575284455772</v>
      </c>
      <c r="AN37" s="29"/>
      <c r="AO37" s="27">
        <f>SUBTOTAL(9,AO35:AO36)</f>
        <v>-940.59896999999989</v>
      </c>
      <c r="AP37" s="27">
        <f>SUBTOTAL(9,AP35:AP36)</f>
        <v>-1154.20172</v>
      </c>
      <c r="AQ37" s="27">
        <f>SUBTOTAL(9,AQ35:AQ36)</f>
        <v>-1184.65490965716</v>
      </c>
      <c r="AR37" s="27">
        <f t="shared" si="231"/>
        <v>213.60275000000013</v>
      </c>
      <c r="AS37" s="27">
        <f t="shared" si="232"/>
        <v>244.05593965716014</v>
      </c>
      <c r="AT37" s="28">
        <f t="shared" si="233"/>
        <v>0.1850653540873255</v>
      </c>
      <c r="AU37" s="28">
        <f t="shared" si="234"/>
        <v>0.20601437403217288</v>
      </c>
      <c r="AV37" s="17"/>
      <c r="AW37" s="27">
        <f>SUBTOTAL(9,AW35:AW36)</f>
        <v>10562.34071</v>
      </c>
      <c r="AX37" s="27">
        <f>SUBTOTAL(9,AX35:AX36)</f>
        <v>13213.182949999991</v>
      </c>
      <c r="AY37" s="27">
        <f>SUBTOTAL(9,AY35:AY36)</f>
        <v>14182.253783796832</v>
      </c>
      <c r="AZ37" s="27">
        <f t="shared" si="235"/>
        <v>-2650.8422399999909</v>
      </c>
      <c r="BA37" s="27">
        <f t="shared" si="236"/>
        <v>-3619.9130737968317</v>
      </c>
      <c r="BB37" s="28">
        <f t="shared" si="237"/>
        <v>-0.2006210199337316</v>
      </c>
      <c r="BC37" s="28">
        <f t="shared" si="238"/>
        <v>-0.25524244093929327</v>
      </c>
      <c r="BD37" s="17"/>
      <c r="BE37" s="27">
        <f>SUBTOTAL(9,BE35:BE36)</f>
        <v>-4462.1812700000009</v>
      </c>
      <c r="BF37" s="27">
        <f>SUBTOTAL(9,BF35:BF36)</f>
        <v>-4593.875039999999</v>
      </c>
      <c r="BG37" s="27">
        <f>SUBTOTAL(9,BG35:BG36)</f>
        <v>-5198.4368400000021</v>
      </c>
      <c r="BH37" s="27">
        <f t="shared" si="239"/>
        <v>131.69376999999804</v>
      </c>
      <c r="BI37" s="27">
        <f t="shared" si="240"/>
        <v>736.25557000000117</v>
      </c>
      <c r="BJ37" s="28">
        <f t="shared" si="241"/>
        <v>2.8667251253747222E-2</v>
      </c>
      <c r="BK37" s="28">
        <f t="shared" si="242"/>
        <v>0.1416301847383801</v>
      </c>
      <c r="BL37" s="17"/>
      <c r="BM37" s="27">
        <f>SUBTOTAL(9,BM35:BM36)</f>
        <v>-1780.0322799999999</v>
      </c>
      <c r="BN37" s="27">
        <f>SUBTOTAL(9,BN35:BN36)</f>
        <v>-1945.74413</v>
      </c>
      <c r="BO37" s="27">
        <f>SUBTOTAL(9,BO35:BO36)</f>
        <v>-2395.1666400000004</v>
      </c>
      <c r="BP37" s="27">
        <f t="shared" si="243"/>
        <v>165.71185000000014</v>
      </c>
      <c r="BQ37" s="27">
        <f t="shared" si="244"/>
        <v>615.13436000000047</v>
      </c>
      <c r="BR37" s="28">
        <f t="shared" si="245"/>
        <v>8.5166311153152569E-2</v>
      </c>
      <c r="BS37" s="28">
        <f t="shared" si="246"/>
        <v>0.25682319957495747</v>
      </c>
      <c r="BT37" s="17"/>
      <c r="BU37" s="27">
        <f>SUBTOTAL(9,BU35:BU36)</f>
        <v>-3355.7376000000004</v>
      </c>
      <c r="BV37" s="27">
        <f>SUBTOTAL(9,BV35:BV36)</f>
        <v>-3355.7376000000004</v>
      </c>
      <c r="BW37" s="27">
        <f>SUBTOTAL(9,BW35:BW36)</f>
        <v>-3355.7376000000004</v>
      </c>
      <c r="BX37" s="27">
        <f t="shared" si="247"/>
        <v>0</v>
      </c>
      <c r="BY37" s="27">
        <f t="shared" si="248"/>
        <v>0</v>
      </c>
      <c r="BZ37" s="28">
        <f t="shared" si="249"/>
        <v>0</v>
      </c>
      <c r="CA37" s="28">
        <f t="shared" si="250"/>
        <v>0</v>
      </c>
      <c r="CB37" s="17"/>
      <c r="CC37" s="27">
        <f>SUBTOTAL(9,CC35:CC36)</f>
        <v>964.38955999999916</v>
      </c>
      <c r="CD37" s="27">
        <f>SUBTOTAL(9,CD35:CD36)</f>
        <v>3317.8261799999927</v>
      </c>
      <c r="CE37" s="27">
        <f>SUBTOTAL(9,CE35:CE36)</f>
        <v>3232.9127037968301</v>
      </c>
      <c r="CF37" s="27">
        <f t="shared" si="251"/>
        <v>-2353.4366199999936</v>
      </c>
      <c r="CG37" s="27">
        <f t="shared" si="252"/>
        <v>-2268.5231437968309</v>
      </c>
      <c r="CH37" s="28">
        <f t="shared" si="253"/>
        <v>-0.70933089689466455</v>
      </c>
      <c r="CI37" s="28">
        <f t="shared" si="254"/>
        <v>-0.70169638083101005</v>
      </c>
      <c r="CJ37" s="17"/>
      <c r="CK37" s="27">
        <f>SUBTOTAL(9,CK35:CK36)</f>
        <v>-865.44425999999999</v>
      </c>
      <c r="CL37" s="27">
        <f>SUBTOTAL(9,CL35:CL36)</f>
        <v>-1292.5431100000001</v>
      </c>
      <c r="CM37" s="27">
        <f>SUBTOTAL(9,CM35:CM36)</f>
        <v>-778.03777999999988</v>
      </c>
      <c r="CN37" s="27">
        <f t="shared" si="255"/>
        <v>427.09885000000008</v>
      </c>
      <c r="CO37" s="27">
        <f t="shared" si="256"/>
        <v>-87.406480000000101</v>
      </c>
      <c r="CP37" s="28">
        <f t="shared" si="257"/>
        <v>0.33043296327655952</v>
      </c>
      <c r="CQ37" s="28">
        <f t="shared" si="258"/>
        <v>-0.1123422052846844</v>
      </c>
      <c r="CR37" s="17"/>
      <c r="CS37" s="27">
        <f>SUBTOTAL(9,CS35:CS36)</f>
        <v>98.945299999999179</v>
      </c>
      <c r="CT37" s="27">
        <f>SUBTOTAL(9,CT35:CT36)</f>
        <v>2025.2830699999927</v>
      </c>
      <c r="CU37" s="27">
        <f>SUBTOTAL(9,CU35:CU36)</f>
        <v>2454.8749237968304</v>
      </c>
      <c r="CV37" s="27">
        <f>SUBTOTAL(9,CV35:CV36)</f>
        <v>-1926.3377699999935</v>
      </c>
      <c r="CW37" s="27">
        <f>SUBTOTAL(9,CW35:CW36)</f>
        <v>-2355.929623796831</v>
      </c>
      <c r="CX37" s="28">
        <f t="shared" si="261"/>
        <v>-0.95114495278924172</v>
      </c>
      <c r="CY37" s="28">
        <f t="shared" si="262"/>
        <v>-0.95969436200563496</v>
      </c>
    </row>
    <row r="38" spans="2:103" outlineLevel="2" x14ac:dyDescent="0.85">
      <c r="B38" s="1" t="s">
        <v>95</v>
      </c>
      <c r="C38" s="1" t="s">
        <v>80</v>
      </c>
      <c r="D38" s="2">
        <v>204</v>
      </c>
      <c r="E38" s="1" t="s">
        <v>36</v>
      </c>
      <c r="F38" s="2" t="s">
        <v>13</v>
      </c>
      <c r="G38" s="1" t="s">
        <v>64</v>
      </c>
      <c r="I38" s="3">
        <f>SUMIFS('P&amp;L Data'!$N:$N,'P&amp;L Data'!$B:$B,$D38,'P&amp;L Data'!$C:$C,$I$4)</f>
        <v>35952.543960000003</v>
      </c>
      <c r="J38" s="3">
        <f>SUMIFS('P&amp;L Data'!$P:$P,'P&amp;L Data'!$B:$B,$D38,'P&amp;L Data'!$C:$C,$I$4)</f>
        <v>36985.304250000008</v>
      </c>
      <c r="K38" s="3">
        <f>SUMIFS('P&amp;L Data'!$T:$T,'P&amp;L Data'!$B:$B,$D38,'P&amp;L Data'!$C:$C,$I$4)</f>
        <v>37611.905700000003</v>
      </c>
      <c r="L38" s="3">
        <f t="shared" si="180"/>
        <v>-1032.7602900000056</v>
      </c>
      <c r="M38" s="3">
        <f t="shared" si="181"/>
        <v>-1659.3617400000003</v>
      </c>
      <c r="N38" s="8">
        <f t="shared" si="182"/>
        <v>-2.7923531006237574E-2</v>
      </c>
      <c r="O38" s="8">
        <f t="shared" si="183"/>
        <v>-4.4117991607109663E-2</v>
      </c>
      <c r="P38" s="24"/>
      <c r="Q38" s="3">
        <f>SUMIFS('P&amp;L Data'!$N:$N,'P&amp;L Data'!$B:$B,$D38,'P&amp;L Data'!$C:$C,$Q$4)</f>
        <v>238.42780000000363</v>
      </c>
      <c r="R38" s="3">
        <f>SUMIFS('P&amp;L Data'!$P:$P,'P&amp;L Data'!$B:$B,$D38,'P&amp;L Data'!$C:$C,$Q$4)</f>
        <v>1137.703320000001</v>
      </c>
      <c r="S38" s="3">
        <f>SUMIFS('P&amp;L Data'!$T:$T,'P&amp;L Data'!$B:$B,$D38,'P&amp;L Data'!$C:$C,$Q$4)</f>
        <v>358.94498708461117</v>
      </c>
      <c r="T38" s="3">
        <f t="shared" si="219"/>
        <v>-899.27551999999741</v>
      </c>
      <c r="U38" s="3">
        <f t="shared" si="220"/>
        <v>-120.51718708460754</v>
      </c>
      <c r="V38" s="8">
        <f t="shared" si="221"/>
        <v>-0.79043060189012782</v>
      </c>
      <c r="W38" s="8">
        <f t="shared" si="222"/>
        <v>-0.33575392168995249</v>
      </c>
      <c r="X38" s="24"/>
      <c r="Y38" s="3">
        <f>SUMIFS('P&amp;L Data'!$N:$N,'P&amp;L Data'!$B:$B,$D38,'P&amp;L Data'!$C:$C,$Y$4)</f>
        <v>7596.3156099999997</v>
      </c>
      <c r="Z38" s="3">
        <f>SUMIFS('P&amp;L Data'!$P:$P,'P&amp;L Data'!$B:$B,$D38,'P&amp;L Data'!$C:$C,$Y$4)</f>
        <v>8441.1115400000072</v>
      </c>
      <c r="AA38" s="3">
        <f>SUMIFS('P&amp;L Data'!$T:$T,'P&amp;L Data'!$B:$B,$D38,'P&amp;L Data'!$C:$C,$Y$4)</f>
        <v>7370.2393470846309</v>
      </c>
      <c r="AB38" s="3">
        <f t="shared" si="223"/>
        <v>-844.7959300000075</v>
      </c>
      <c r="AC38" s="3">
        <f t="shared" si="224"/>
        <v>226.07626291536872</v>
      </c>
      <c r="AD38" s="8">
        <f t="shared" si="225"/>
        <v>-0.10008112391321472</v>
      </c>
      <c r="AE38" s="8">
        <f t="shared" si="226"/>
        <v>3.067420910893421E-2</v>
      </c>
      <c r="AF38" s="24"/>
      <c r="AG38" s="3">
        <f>SUMIFS('P&amp;L Data'!$N:$N,'P&amp;L Data'!$B:$B,$D38,'P&amp;L Data'!$C:$C,$AG$4)</f>
        <v>-74.007199999999997</v>
      </c>
      <c r="AH38" s="3">
        <f>SUMIFS('P&amp;L Data'!$P:$P,'P&amp;L Data'!$B:$B,$D38,'P&amp;L Data'!$C:$C,$AG$4)</f>
        <v>-242.90847000000002</v>
      </c>
      <c r="AI38" s="3">
        <f>SUMIFS('P&amp;L Data'!$T:$T,'P&amp;L Data'!$B:$B,$D38,'P&amp;L Data'!$C:$C,$AG$4)</f>
        <v>-97.981380000000001</v>
      </c>
      <c r="AJ38" s="3">
        <f t="shared" si="227"/>
        <v>168.90127000000001</v>
      </c>
      <c r="AK38" s="3">
        <f t="shared" si="228"/>
        <v>23.974180000000004</v>
      </c>
      <c r="AL38" s="8">
        <f t="shared" si="229"/>
        <v>0.69532886193717325</v>
      </c>
      <c r="AM38" s="8">
        <f t="shared" si="230"/>
        <v>0.24468097918196297</v>
      </c>
      <c r="AN38" s="24"/>
      <c r="AO38" s="3">
        <f>SUMIFS('P&amp;L Data'!$N:$N,'P&amp;L Data'!$B:$B,$D38,'P&amp;L Data'!$C:$C,$AO$4)</f>
        <v>-633.83064000000002</v>
      </c>
      <c r="AP38" s="3">
        <f>SUMIFS('P&amp;L Data'!$P:$P,'P&amp;L Data'!$B:$B,$D38,'P&amp;L Data'!$C:$C,$AO$4)</f>
        <v>-671.68992000000003</v>
      </c>
      <c r="AQ38" s="3">
        <f>SUMIFS('P&amp;L Data'!$T:$T,'P&amp;L Data'!$B:$B,$D38,'P&amp;L Data'!$C:$C,$AO$4)</f>
        <v>-634.89064999999994</v>
      </c>
      <c r="AR38" s="3">
        <f t="shared" si="231"/>
        <v>37.859280000000012</v>
      </c>
      <c r="AS38" s="3">
        <f t="shared" si="232"/>
        <v>1.0600099999999202</v>
      </c>
      <c r="AT38" s="8">
        <f t="shared" si="233"/>
        <v>5.6364222348312169E-2</v>
      </c>
      <c r="AU38" s="8">
        <f t="shared" si="234"/>
        <v>1.669594598691791E-3</v>
      </c>
      <c r="AW38" s="3">
        <f>SUMIFS('P&amp;L Data'!$N:$N,'P&amp;L Data'!$B:$B,$D38,'P&amp;L Data'!$C:$C,$AW$4)</f>
        <v>6888.4777699999995</v>
      </c>
      <c r="AX38" s="3">
        <f>SUMIFS('P&amp;L Data'!$P:$P,'P&amp;L Data'!$B:$B,$D38,'P&amp;L Data'!$C:$C,$AW$4)</f>
        <v>7526.5131500000061</v>
      </c>
      <c r="AY38" s="3">
        <f>SUMIFS('P&amp;L Data'!$T:$T,'P&amp;L Data'!$B:$B,$D38,'P&amp;L Data'!$C:$C,$AW$4)</f>
        <v>6637.3673170846314</v>
      </c>
      <c r="AZ38" s="3">
        <f t="shared" si="235"/>
        <v>-638.03538000000663</v>
      </c>
      <c r="BA38" s="3">
        <f t="shared" si="236"/>
        <v>251.11045291536811</v>
      </c>
      <c r="BB38" s="8">
        <f t="shared" si="237"/>
        <v>-8.4771708662995701E-2</v>
      </c>
      <c r="BC38" s="8">
        <f t="shared" si="238"/>
        <v>3.7832839576168703E-2</v>
      </c>
      <c r="BE38" s="3">
        <f>SUMIFS('P&amp;L Data'!$N:$N,'P&amp;L Data'!$B:$B,$D38,'P&amp;L Data'!$C:$C,$BE$4)</f>
        <v>-2163.5315399999999</v>
      </c>
      <c r="BF38" s="3">
        <f>SUMIFS('P&amp;L Data'!$P:$P,'P&amp;L Data'!$B:$B,$D38,'P&amp;L Data'!$C:$C,$BE$4)</f>
        <v>-2331.3335200000001</v>
      </c>
      <c r="BG38" s="3">
        <f>SUMIFS('P&amp;L Data'!$T:$T,'P&amp;L Data'!$B:$B,$D38,'P&amp;L Data'!$C:$C,$BE$4)</f>
        <v>-2259.5549200000005</v>
      </c>
      <c r="BH38" s="3">
        <f t="shared" si="239"/>
        <v>167.80198000000019</v>
      </c>
      <c r="BI38" s="3">
        <f t="shared" si="240"/>
        <v>96.023380000000543</v>
      </c>
      <c r="BJ38" s="8">
        <f t="shared" si="241"/>
        <v>7.197682294723759E-2</v>
      </c>
      <c r="BK38" s="8">
        <f t="shared" si="242"/>
        <v>4.2496590434721773E-2</v>
      </c>
      <c r="BM38" s="3">
        <f>SUMIFS('P&amp;L Data'!$N:$N,'P&amp;L Data'!$B:$B,$D38,'P&amp;L Data'!$C:$C,$BM$4)</f>
        <v>-741.55259000000012</v>
      </c>
      <c r="BN38" s="3">
        <f>SUMIFS('P&amp;L Data'!$P:$P,'P&amp;L Data'!$B:$B,$D38,'P&amp;L Data'!$C:$C,$BM$4)</f>
        <v>-689.06020000000012</v>
      </c>
      <c r="BO38" s="3">
        <f>SUMIFS('P&amp;L Data'!$T:$T,'P&amp;L Data'!$B:$B,$D38,'P&amp;L Data'!$C:$C,$BM$4)</f>
        <v>-744.86756000000003</v>
      </c>
      <c r="BP38" s="3">
        <f t="shared" si="243"/>
        <v>-52.49239</v>
      </c>
      <c r="BQ38" s="3">
        <f t="shared" si="244"/>
        <v>3.3149699999999029</v>
      </c>
      <c r="BR38" s="8">
        <f t="shared" si="245"/>
        <v>-7.6179686477320832E-2</v>
      </c>
      <c r="BS38" s="8">
        <f t="shared" si="246"/>
        <v>4.4504153194695481E-3</v>
      </c>
      <c r="BU38" s="3">
        <f>SUMIFS('P&amp;L Data'!$N:$N,'P&amp;L Data'!$B:$B,$D38,'P&amp;L Data'!$C:$C,$BU$4)</f>
        <v>-500</v>
      </c>
      <c r="BV38" s="3">
        <f>SUMIFS('P&amp;L Data'!$P:$P,'P&amp;L Data'!$B:$B,$D38,'P&amp;L Data'!$C:$C,$BU$4)</f>
        <v>-500</v>
      </c>
      <c r="BW38" s="3">
        <f>SUMIFS('P&amp;L Data'!$T:$T,'P&amp;L Data'!$B:$B,$D38,'P&amp;L Data'!$C:$C,$BU$4)</f>
        <v>-500</v>
      </c>
      <c r="BX38" s="3">
        <f t="shared" si="247"/>
        <v>0</v>
      </c>
      <c r="BY38" s="3">
        <f t="shared" si="248"/>
        <v>0</v>
      </c>
      <c r="BZ38" s="8">
        <f t="shared" si="249"/>
        <v>0</v>
      </c>
      <c r="CA38" s="8">
        <f t="shared" si="250"/>
        <v>0</v>
      </c>
      <c r="CC38" s="3">
        <f>SUMIFS('P&amp;L Data'!$N:$N,'P&amp;L Data'!$B:$B,$D38,'P&amp;L Data'!$C:$C,$CC$4)</f>
        <v>3483.3936399999993</v>
      </c>
      <c r="CD38" s="3">
        <f>SUMIFS('P&amp;L Data'!$P:$P,'P&amp;L Data'!$B:$B,$D38,'P&amp;L Data'!$C:$C,$CC$4)</f>
        <v>4006.1194300000061</v>
      </c>
      <c r="CE38" s="3">
        <f>SUMIFS('P&amp;L Data'!$T:$T,'P&amp;L Data'!$B:$B,$D38,'P&amp;L Data'!$C:$C,$CC$4)</f>
        <v>3132.9448370846308</v>
      </c>
      <c r="CF38" s="3">
        <f t="shared" si="251"/>
        <v>-522.72579000000678</v>
      </c>
      <c r="CG38" s="3">
        <f t="shared" si="252"/>
        <v>350.44880291536856</v>
      </c>
      <c r="CH38" s="8">
        <f t="shared" si="253"/>
        <v>-0.13048182889545207</v>
      </c>
      <c r="CI38" s="8">
        <f t="shared" si="254"/>
        <v>0.11185923185340203</v>
      </c>
      <c r="CK38" s="3">
        <f>SUMIFS('P&amp;L Data'!$N:$N,'P&amp;L Data'!$B:$B,$D38,'P&amp;L Data'!$C:$C,$CK$4)</f>
        <v>-957.73336999999992</v>
      </c>
      <c r="CL38" s="3">
        <f>SUMIFS('P&amp;L Data'!$P:$P,'P&amp;L Data'!$B:$B,$D38,'P&amp;L Data'!$C:$C,$CK$4)</f>
        <v>-870.50151000000017</v>
      </c>
      <c r="CM38" s="3">
        <f>SUMIFS('P&amp;L Data'!$T:$T,'P&amp;L Data'!$B:$B,$D38,'P&amp;L Data'!$C:$C,$CK$4)</f>
        <v>-915.96396000000004</v>
      </c>
      <c r="CN38" s="3">
        <f t="shared" si="255"/>
        <v>-87.231859999999756</v>
      </c>
      <c r="CO38" s="3">
        <f t="shared" si="256"/>
        <v>-41.76940999999988</v>
      </c>
      <c r="CP38" s="8">
        <f t="shared" si="257"/>
        <v>-0.10020874059138592</v>
      </c>
      <c r="CQ38" s="8">
        <f t="shared" si="258"/>
        <v>-4.5601586769854874E-2</v>
      </c>
      <c r="CS38" s="3">
        <f>SUMIFS('P&amp;L Data'!$N:$N,'P&amp;L Data'!$B:$B,$D38,'P&amp;L Data'!$C:$C,$CS$4)</f>
        <v>2525.6602699999994</v>
      </c>
      <c r="CT38" s="3">
        <f>SUMIFS('P&amp;L Data'!$P:$P,'P&amp;L Data'!$B:$B,$D38,'P&amp;L Data'!$C:$C,$CS$4)</f>
        <v>3135.6179200000061</v>
      </c>
      <c r="CU38" s="3">
        <f>SUMIFS('P&amp;L Data'!$T:$T,'P&amp;L Data'!$B:$B,$D38,'P&amp;L Data'!$C:$C,$CS$4)</f>
        <v>2216.9808770846307</v>
      </c>
      <c r="CV38" s="3">
        <f t="shared" ref="CV38:CV39" si="265">CS38-CT38</f>
        <v>-609.95765000000665</v>
      </c>
      <c r="CW38" s="3">
        <f t="shared" ref="CW38:CW39" si="266">CS38-CU38</f>
        <v>308.67939291536868</v>
      </c>
      <c r="CX38" s="8">
        <f t="shared" si="261"/>
        <v>-0.19452550201014462</v>
      </c>
      <c r="CY38" s="8">
        <f t="shared" si="262"/>
        <v>0.13923412515911621</v>
      </c>
    </row>
    <row r="39" spans="2:103" outlineLevel="2" x14ac:dyDescent="0.85">
      <c r="B39" s="1" t="s">
        <v>95</v>
      </c>
      <c r="C39" s="1" t="s">
        <v>80</v>
      </c>
      <c r="D39" s="2">
        <v>20010</v>
      </c>
      <c r="E39" s="1" t="s">
        <v>37</v>
      </c>
      <c r="F39" s="2" t="s">
        <v>15</v>
      </c>
      <c r="G39" s="1" t="s">
        <v>64</v>
      </c>
      <c r="I39" s="3">
        <f>SUMIFS('P&amp;L Data'!$N:$N,'P&amp;L Data'!$B:$B,$D39,'P&amp;L Data'!$C:$C,$I$4)</f>
        <v>37618.890179999995</v>
      </c>
      <c r="J39" s="3">
        <f>SUMIFS('P&amp;L Data'!$P:$P,'P&amp;L Data'!$B:$B,$D39,'P&amp;L Data'!$C:$C,$I$4)</f>
        <v>39215.073950000013</v>
      </c>
      <c r="K39" s="3">
        <f>SUMIFS('P&amp;L Data'!$T:$T,'P&amp;L Data'!$B:$B,$D39,'P&amp;L Data'!$C:$C,$I$4)</f>
        <v>39150.640120000004</v>
      </c>
      <c r="L39" s="3">
        <f t="shared" si="180"/>
        <v>-1596.1837700000178</v>
      </c>
      <c r="M39" s="3">
        <f t="shared" si="181"/>
        <v>-1531.7499400000088</v>
      </c>
      <c r="N39" s="8">
        <f t="shared" si="182"/>
        <v>-4.0703321687858687E-2</v>
      </c>
      <c r="O39" s="8">
        <f t="shared" si="183"/>
        <v>-3.912451840646964E-2</v>
      </c>
      <c r="P39" s="24"/>
      <c r="Q39" s="3">
        <f>SUMIFS('P&amp;L Data'!$N:$N,'P&amp;L Data'!$B:$B,$D39,'P&amp;L Data'!$C:$C,$Q$4)</f>
        <v>-853.72754000000839</v>
      </c>
      <c r="R39" s="3">
        <f>SUMIFS('P&amp;L Data'!$P:$P,'P&amp;L Data'!$B:$B,$D39,'P&amp;L Data'!$C:$C,$Q$4)</f>
        <v>615.8852700000034</v>
      </c>
      <c r="S39" s="3">
        <f>SUMIFS('P&amp;L Data'!$T:$T,'P&amp;L Data'!$B:$B,$D39,'P&amp;L Data'!$C:$C,$Q$4)</f>
        <v>-900.55046687733818</v>
      </c>
      <c r="T39" s="3">
        <f t="shared" si="219"/>
        <v>-1469.6128100000119</v>
      </c>
      <c r="U39" s="3">
        <f t="shared" si="220"/>
        <v>46.822926877329792</v>
      </c>
      <c r="V39" s="8">
        <f t="shared" si="221"/>
        <v>-2.3861795071020349</v>
      </c>
      <c r="W39" s="8">
        <f t="shared" si="222"/>
        <v>5.1993673424753695E-2</v>
      </c>
      <c r="X39" s="24"/>
      <c r="Y39" s="3">
        <f>SUMIFS('P&amp;L Data'!$N:$N,'P&amp;L Data'!$B:$B,$D39,'P&amp;L Data'!$C:$C,$Y$4)</f>
        <v>7099.8585499999972</v>
      </c>
      <c r="Z39" s="3">
        <f>SUMIFS('P&amp;L Data'!$P:$P,'P&amp;L Data'!$B:$B,$D39,'P&amp;L Data'!$C:$C,$Y$4)</f>
        <v>8619.9685400000071</v>
      </c>
      <c r="AA39" s="3">
        <f>SUMIFS('P&amp;L Data'!$T:$T,'P&amp;L Data'!$B:$B,$D39,'P&amp;L Data'!$C:$C,$Y$4)</f>
        <v>6662.3868892391783</v>
      </c>
      <c r="AB39" s="3">
        <f t="shared" si="223"/>
        <v>-1520.1099900000099</v>
      </c>
      <c r="AC39" s="3">
        <f t="shared" si="224"/>
        <v>437.47166076081885</v>
      </c>
      <c r="AD39" s="8">
        <f t="shared" si="225"/>
        <v>-0.17634751019636652</v>
      </c>
      <c r="AE39" s="8">
        <f t="shared" si="226"/>
        <v>6.5662902505317672E-2</v>
      </c>
      <c r="AF39" s="24"/>
      <c r="AG39" s="3">
        <f>SUMIFS('P&amp;L Data'!$N:$N,'P&amp;L Data'!$B:$B,$D39,'P&amp;L Data'!$C:$C,$AG$4)</f>
        <v>-97.371840000000006</v>
      </c>
      <c r="AH39" s="3">
        <f>SUMIFS('P&amp;L Data'!$P:$P,'P&amp;L Data'!$B:$B,$D39,'P&amp;L Data'!$C:$C,$AG$4)</f>
        <v>-265.52705999999995</v>
      </c>
      <c r="AI39" s="3">
        <f>SUMIFS('P&amp;L Data'!$T:$T,'P&amp;L Data'!$B:$B,$D39,'P&amp;L Data'!$C:$C,$AG$4)</f>
        <v>-123.63538</v>
      </c>
      <c r="AJ39" s="3">
        <f t="shared" si="227"/>
        <v>168.15521999999993</v>
      </c>
      <c r="AK39" s="3">
        <f t="shared" si="228"/>
        <v>26.263539999999992</v>
      </c>
      <c r="AL39" s="8">
        <f t="shared" si="229"/>
        <v>0.6332884490190942</v>
      </c>
      <c r="AM39" s="8">
        <f t="shared" si="230"/>
        <v>0.21242738122372409</v>
      </c>
      <c r="AN39" s="24"/>
      <c r="AO39" s="3">
        <f>SUMIFS('P&amp;L Data'!$N:$N,'P&amp;L Data'!$B:$B,$D39,'P&amp;L Data'!$C:$C,$AO$4)</f>
        <v>-659.09393999999998</v>
      </c>
      <c r="AP39" s="3">
        <f>SUMIFS('P&amp;L Data'!$P:$P,'P&amp;L Data'!$B:$B,$D39,'P&amp;L Data'!$C:$C,$AO$4)</f>
        <v>-714.27623999999992</v>
      </c>
      <c r="AQ39" s="3">
        <f>SUMIFS('P&amp;L Data'!$T:$T,'P&amp;L Data'!$B:$B,$D39,'P&amp;L Data'!$C:$C,$AO$4)</f>
        <v>-645.0470579324674</v>
      </c>
      <c r="AR39" s="3">
        <f t="shared" si="231"/>
        <v>55.182299999999941</v>
      </c>
      <c r="AS39" s="3">
        <f t="shared" si="232"/>
        <v>-14.046882067532579</v>
      </c>
      <c r="AT39" s="8">
        <f t="shared" si="233"/>
        <v>7.7256244726829987E-2</v>
      </c>
      <c r="AU39" s="8">
        <f t="shared" si="234"/>
        <v>-2.1776522960287967E-2</v>
      </c>
      <c r="AW39" s="3">
        <f>SUMIFS('P&amp;L Data'!$N:$N,'P&amp;L Data'!$B:$B,$D39,'P&amp;L Data'!$C:$C,$AW$4)</f>
        <v>6343.3927699999967</v>
      </c>
      <c r="AX39" s="3">
        <f>SUMIFS('P&amp;L Data'!$P:$P,'P&amp;L Data'!$B:$B,$D39,'P&amp;L Data'!$C:$C,$AW$4)</f>
        <v>7640.1652400000048</v>
      </c>
      <c r="AY39" s="3">
        <f>SUMIFS('P&amp;L Data'!$T:$T,'P&amp;L Data'!$B:$B,$D39,'P&amp;L Data'!$C:$C,$AW$4)</f>
        <v>5893.7044513067094</v>
      </c>
      <c r="AZ39" s="3">
        <f t="shared" si="235"/>
        <v>-1296.7724700000081</v>
      </c>
      <c r="BA39" s="3">
        <f t="shared" si="236"/>
        <v>449.68831869328733</v>
      </c>
      <c r="BB39" s="8">
        <f t="shared" si="237"/>
        <v>-0.16973094550504869</v>
      </c>
      <c r="BC39" s="8">
        <f t="shared" si="238"/>
        <v>7.6299774175745391E-2</v>
      </c>
      <c r="BE39" s="3">
        <f>SUMIFS('P&amp;L Data'!$N:$N,'P&amp;L Data'!$B:$B,$D39,'P&amp;L Data'!$C:$C,$BE$4)</f>
        <v>-2324.2380299999995</v>
      </c>
      <c r="BF39" s="3">
        <f>SUMIFS('P&amp;L Data'!$P:$P,'P&amp;L Data'!$B:$B,$D39,'P&amp;L Data'!$C:$C,$BE$4)</f>
        <v>-2314.4812399999996</v>
      </c>
      <c r="BG39" s="3">
        <f>SUMIFS('P&amp;L Data'!$T:$T,'P&amp;L Data'!$B:$B,$D39,'P&amp;L Data'!$C:$C,$BE$4)</f>
        <v>-2353.9711899999998</v>
      </c>
      <c r="BH39" s="3">
        <f t="shared" si="239"/>
        <v>-9.7567899999999099</v>
      </c>
      <c r="BI39" s="3">
        <f t="shared" si="240"/>
        <v>29.733160000000225</v>
      </c>
      <c r="BJ39" s="8">
        <f t="shared" si="241"/>
        <v>-4.2155407576342733E-3</v>
      </c>
      <c r="BK39" s="8">
        <f t="shared" si="242"/>
        <v>1.2631063679245892E-2</v>
      </c>
      <c r="BM39" s="3">
        <f>SUMIFS('P&amp;L Data'!$N:$N,'P&amp;L Data'!$B:$B,$D39,'P&amp;L Data'!$C:$C,$BM$4)</f>
        <v>-775.83134999999993</v>
      </c>
      <c r="BN39" s="3">
        <f>SUMIFS('P&amp;L Data'!$P:$P,'P&amp;L Data'!$B:$B,$D39,'P&amp;L Data'!$C:$C,$BM$4)</f>
        <v>-824.36725000000013</v>
      </c>
      <c r="BO39" s="3">
        <f>SUMIFS('P&amp;L Data'!$T:$T,'P&amp;L Data'!$B:$B,$D39,'P&amp;L Data'!$C:$C,$BM$4)</f>
        <v>-790.78178000000003</v>
      </c>
      <c r="BP39" s="3">
        <f t="shared" si="243"/>
        <v>48.535900000000197</v>
      </c>
      <c r="BQ39" s="3">
        <f t="shared" si="244"/>
        <v>14.950430000000097</v>
      </c>
      <c r="BR39" s="8">
        <f t="shared" si="245"/>
        <v>5.8876550469466354E-2</v>
      </c>
      <c r="BS39" s="8">
        <f t="shared" si="246"/>
        <v>1.8905885767879094E-2</v>
      </c>
      <c r="BU39" s="3">
        <f>SUMIFS('P&amp;L Data'!$N:$N,'P&amp;L Data'!$B:$B,$D39,'P&amp;L Data'!$C:$C,$BU$4)</f>
        <v>-861.44930999999997</v>
      </c>
      <c r="BV39" s="3">
        <f>SUMIFS('P&amp;L Data'!$P:$P,'P&amp;L Data'!$B:$B,$D39,'P&amp;L Data'!$C:$C,$BU$4)</f>
        <v>-813.76023999999995</v>
      </c>
      <c r="BW39" s="3">
        <f>SUMIFS('P&amp;L Data'!$T:$T,'P&amp;L Data'!$B:$B,$D39,'P&amp;L Data'!$C:$C,$BU$4)</f>
        <v>-813.76023999999995</v>
      </c>
      <c r="BX39" s="3">
        <f t="shared" si="247"/>
        <v>-47.689070000000015</v>
      </c>
      <c r="BY39" s="3">
        <f t="shared" si="248"/>
        <v>-47.689070000000015</v>
      </c>
      <c r="BZ39" s="8">
        <f t="shared" si="249"/>
        <v>-5.8603342429214798E-2</v>
      </c>
      <c r="CA39" s="8">
        <f t="shared" si="250"/>
        <v>-5.8603342429214798E-2</v>
      </c>
      <c r="CC39" s="3">
        <f>SUMIFS('P&amp;L Data'!$N:$N,'P&amp;L Data'!$B:$B,$D39,'P&amp;L Data'!$C:$C,$CC$4)</f>
        <v>2381.8740799999973</v>
      </c>
      <c r="CD39" s="3">
        <f>SUMIFS('P&amp;L Data'!$P:$P,'P&amp;L Data'!$B:$B,$D39,'P&amp;L Data'!$C:$C,$CC$4)</f>
        <v>3687.5565100000049</v>
      </c>
      <c r="CE39" s="3">
        <f>SUMIFS('P&amp;L Data'!$T:$T,'P&amp;L Data'!$B:$B,$D39,'P&amp;L Data'!$C:$C,$CC$4)</f>
        <v>1935.1912413067098</v>
      </c>
      <c r="CF39" s="3">
        <f t="shared" si="251"/>
        <v>-1305.6824300000076</v>
      </c>
      <c r="CG39" s="3">
        <f t="shared" si="252"/>
        <v>446.68283869328752</v>
      </c>
      <c r="CH39" s="8">
        <f t="shared" si="253"/>
        <v>-0.3540779446929766</v>
      </c>
      <c r="CI39" s="8">
        <f t="shared" si="254"/>
        <v>0.23082103161632306</v>
      </c>
      <c r="CK39" s="3">
        <f>SUMIFS('P&amp;L Data'!$N:$N,'P&amp;L Data'!$B:$B,$D39,'P&amp;L Data'!$C:$C,$CK$4)</f>
        <v>-795.98283000000004</v>
      </c>
      <c r="CL39" s="3">
        <f>SUMIFS('P&amp;L Data'!$P:$P,'P&amp;L Data'!$B:$B,$D39,'P&amp;L Data'!$C:$C,$CK$4)</f>
        <v>-774.10019000000011</v>
      </c>
      <c r="CM39" s="3">
        <f>SUMIFS('P&amp;L Data'!$T:$T,'P&amp;L Data'!$B:$B,$D39,'P&amp;L Data'!$C:$C,$CK$4)</f>
        <v>-572.33366999999998</v>
      </c>
      <c r="CN39" s="3">
        <f t="shared" si="255"/>
        <v>-21.882639999999924</v>
      </c>
      <c r="CO39" s="3">
        <f t="shared" si="256"/>
        <v>-223.64916000000005</v>
      </c>
      <c r="CP39" s="8">
        <f t="shared" si="257"/>
        <v>-2.8268485504440867E-2</v>
      </c>
      <c r="CQ39" s="8">
        <f t="shared" si="258"/>
        <v>-0.39076708522145842</v>
      </c>
      <c r="CS39" s="3">
        <f>SUMIFS('P&amp;L Data'!$N:$N,'P&amp;L Data'!$B:$B,$D39,'P&amp;L Data'!$C:$C,$CS$4)</f>
        <v>1585.8912499999974</v>
      </c>
      <c r="CT39" s="3">
        <f>SUMIFS('P&amp;L Data'!$P:$P,'P&amp;L Data'!$B:$B,$D39,'P&amp;L Data'!$C:$C,$CS$4)</f>
        <v>2913.4563200000048</v>
      </c>
      <c r="CU39" s="3">
        <f>SUMIFS('P&amp;L Data'!$T:$T,'P&amp;L Data'!$B:$B,$D39,'P&amp;L Data'!$C:$C,$CS$4)</f>
        <v>1362.8575713067098</v>
      </c>
      <c r="CV39" s="3">
        <f t="shared" si="265"/>
        <v>-1327.5650700000074</v>
      </c>
      <c r="CW39" s="3">
        <f t="shared" si="266"/>
        <v>223.03367869328758</v>
      </c>
      <c r="CX39" s="8">
        <f t="shared" si="261"/>
        <v>-0.4556667147836303</v>
      </c>
      <c r="CY39" s="8">
        <f t="shared" si="262"/>
        <v>0.16365149476290658</v>
      </c>
    </row>
    <row r="40" spans="2:103" outlineLevel="1" x14ac:dyDescent="0.85">
      <c r="B40" s="25" t="s">
        <v>95</v>
      </c>
      <c r="C40" s="25" t="s">
        <v>81</v>
      </c>
      <c r="D40" s="26"/>
      <c r="E40" s="26"/>
      <c r="F40" s="26"/>
      <c r="G40" s="25"/>
      <c r="H40" s="16"/>
      <c r="I40" s="27">
        <f>SUBTOTAL(9,I38:I39)</f>
        <v>73571.434139999998</v>
      </c>
      <c r="J40" s="27">
        <f>SUBTOTAL(9,J38:J39)</f>
        <v>76200.378200000021</v>
      </c>
      <c r="K40" s="27">
        <f>SUBTOTAL(9,K38:K39)</f>
        <v>76762.545819999999</v>
      </c>
      <c r="L40" s="27">
        <f t="shared" si="180"/>
        <v>-2628.9440600000235</v>
      </c>
      <c r="M40" s="27">
        <f t="shared" si="181"/>
        <v>-3191.1116800000018</v>
      </c>
      <c r="N40" s="28">
        <f t="shared" si="182"/>
        <v>-3.4500406980919981E-2</v>
      </c>
      <c r="O40" s="28">
        <f t="shared" si="183"/>
        <v>-4.1571206972249447E-2</v>
      </c>
      <c r="P40" s="29"/>
      <c r="Q40" s="27">
        <f>SUBTOTAL(9,Q38:Q39)</f>
        <v>-615.2997400000047</v>
      </c>
      <c r="R40" s="27">
        <f>SUBTOTAL(9,R38:R39)</f>
        <v>1753.5885900000044</v>
      </c>
      <c r="S40" s="27">
        <f>SUBTOTAL(9,S38:S39)</f>
        <v>-541.60547979272701</v>
      </c>
      <c r="T40" s="27">
        <f t="shared" si="219"/>
        <v>-2368.8883300000089</v>
      </c>
      <c r="U40" s="27">
        <f t="shared" si="220"/>
        <v>-73.694260207277694</v>
      </c>
      <c r="V40" s="28">
        <f t="shared" si="221"/>
        <v>-1.3508803282074291</v>
      </c>
      <c r="W40" s="28">
        <f t="shared" si="222"/>
        <v>-0.13606631202380109</v>
      </c>
      <c r="X40" s="29"/>
      <c r="Y40" s="27">
        <f>SUBTOTAL(9,Y38:Y39)</f>
        <v>14696.174159999997</v>
      </c>
      <c r="Z40" s="27">
        <f>SUBTOTAL(9,Z38:Z39)</f>
        <v>17061.080080000014</v>
      </c>
      <c r="AA40" s="27">
        <f>SUBTOTAL(9,AA38:AA39)</f>
        <v>14032.626236323809</v>
      </c>
      <c r="AB40" s="27">
        <f t="shared" si="223"/>
        <v>-2364.9059200000174</v>
      </c>
      <c r="AC40" s="27">
        <f t="shared" si="224"/>
        <v>663.54792367618757</v>
      </c>
      <c r="AD40" s="28">
        <f t="shared" si="225"/>
        <v>-0.13861408005301476</v>
      </c>
      <c r="AE40" s="28">
        <f t="shared" si="226"/>
        <v>4.7286082626399391E-2</v>
      </c>
      <c r="AF40" s="29"/>
      <c r="AG40" s="27">
        <f>SUBTOTAL(9,AG38:AG39)</f>
        <v>-171.37904</v>
      </c>
      <c r="AH40" s="27">
        <f>SUBTOTAL(9,AH38:AH39)</f>
        <v>-508.43552999999997</v>
      </c>
      <c r="AI40" s="27">
        <f>SUBTOTAL(9,AI38:AI39)</f>
        <v>-221.61676</v>
      </c>
      <c r="AJ40" s="27">
        <f t="shared" si="227"/>
        <v>337.05648999999994</v>
      </c>
      <c r="AK40" s="27">
        <f t="shared" si="228"/>
        <v>50.237719999999996</v>
      </c>
      <c r="AL40" s="28">
        <f t="shared" si="229"/>
        <v>0.66292867062221239</v>
      </c>
      <c r="AM40" s="28">
        <f t="shared" si="230"/>
        <v>0.22668736786874782</v>
      </c>
      <c r="AN40" s="29"/>
      <c r="AO40" s="27">
        <f>SUBTOTAL(9,AO38:AO39)</f>
        <v>-1292.9245799999999</v>
      </c>
      <c r="AP40" s="27">
        <f>SUBTOTAL(9,AP38:AP39)</f>
        <v>-1385.9661599999999</v>
      </c>
      <c r="AQ40" s="27">
        <f>SUBTOTAL(9,AQ38:AQ39)</f>
        <v>-1279.9377079324672</v>
      </c>
      <c r="AR40" s="27">
        <f t="shared" si="231"/>
        <v>93.041580000000067</v>
      </c>
      <c r="AS40" s="27">
        <f t="shared" si="232"/>
        <v>-12.986872067532659</v>
      </c>
      <c r="AT40" s="28">
        <f t="shared" si="233"/>
        <v>6.7131206147197753E-2</v>
      </c>
      <c r="AU40" s="28">
        <f t="shared" si="234"/>
        <v>-1.0146487588455265E-2</v>
      </c>
      <c r="AV40" s="17"/>
      <c r="AW40" s="27">
        <f>SUBTOTAL(9,AW38:AW39)</f>
        <v>13231.870539999996</v>
      </c>
      <c r="AX40" s="27">
        <f>SUBTOTAL(9,AX38:AX39)</f>
        <v>15166.678390000012</v>
      </c>
      <c r="AY40" s="27">
        <f>SUBTOTAL(9,AY38:AY39)</f>
        <v>12531.071768391341</v>
      </c>
      <c r="AZ40" s="27">
        <f t="shared" si="235"/>
        <v>-1934.8078500000156</v>
      </c>
      <c r="BA40" s="27">
        <f t="shared" si="236"/>
        <v>700.79877160865544</v>
      </c>
      <c r="BB40" s="28">
        <f t="shared" si="237"/>
        <v>-0.12756964974451562</v>
      </c>
      <c r="BC40" s="28">
        <f t="shared" si="238"/>
        <v>5.5924886918002188E-2</v>
      </c>
      <c r="BD40" s="17"/>
      <c r="BE40" s="27">
        <f>SUBTOTAL(9,BE38:BE39)</f>
        <v>-4487.7695699999995</v>
      </c>
      <c r="BF40" s="27">
        <f>SUBTOTAL(9,BF38:BF39)</f>
        <v>-4645.8147599999993</v>
      </c>
      <c r="BG40" s="27">
        <f>SUBTOTAL(9,BG38:BG39)</f>
        <v>-4613.5261100000007</v>
      </c>
      <c r="BH40" s="27">
        <f t="shared" si="239"/>
        <v>158.04518999999982</v>
      </c>
      <c r="BI40" s="27">
        <f t="shared" si="240"/>
        <v>125.75654000000122</v>
      </c>
      <c r="BJ40" s="28">
        <f t="shared" si="241"/>
        <v>3.4018831607483174E-2</v>
      </c>
      <c r="BK40" s="28">
        <f t="shared" si="242"/>
        <v>2.7258226571519543E-2</v>
      </c>
      <c r="BL40" s="17"/>
      <c r="BM40" s="27">
        <f>SUBTOTAL(9,BM38:BM39)</f>
        <v>-1517.3839400000002</v>
      </c>
      <c r="BN40" s="27">
        <f>SUBTOTAL(9,BN38:BN39)</f>
        <v>-1513.4274500000001</v>
      </c>
      <c r="BO40" s="27">
        <f>SUBTOTAL(9,BO38:BO39)</f>
        <v>-1535.6493399999999</v>
      </c>
      <c r="BP40" s="27">
        <f t="shared" si="243"/>
        <v>-3.9564900000000307</v>
      </c>
      <c r="BQ40" s="27">
        <f t="shared" si="244"/>
        <v>18.265399999999772</v>
      </c>
      <c r="BR40" s="28">
        <f t="shared" si="245"/>
        <v>-2.6142581198722345E-3</v>
      </c>
      <c r="BS40" s="28">
        <f t="shared" si="246"/>
        <v>1.1894251847885907E-2</v>
      </c>
      <c r="BT40" s="17"/>
      <c r="BU40" s="27">
        <f>SUBTOTAL(9,BU38:BU39)</f>
        <v>-1361.44931</v>
      </c>
      <c r="BV40" s="27">
        <f>SUBTOTAL(9,BV38:BV39)</f>
        <v>-1313.7602400000001</v>
      </c>
      <c r="BW40" s="27">
        <f>SUBTOTAL(9,BW38:BW39)</f>
        <v>-1313.7602400000001</v>
      </c>
      <c r="BX40" s="27">
        <f t="shared" si="247"/>
        <v>-47.689069999999901</v>
      </c>
      <c r="BY40" s="27">
        <f t="shared" si="248"/>
        <v>-47.689069999999901</v>
      </c>
      <c r="BZ40" s="28">
        <f t="shared" si="249"/>
        <v>-3.6299675197964509E-2</v>
      </c>
      <c r="CA40" s="28">
        <f t="shared" si="250"/>
        <v>-3.6299675197964509E-2</v>
      </c>
      <c r="CB40" s="17"/>
      <c r="CC40" s="27">
        <f>SUBTOTAL(9,CC38:CC39)</f>
        <v>5865.2677199999962</v>
      </c>
      <c r="CD40" s="27">
        <f>SUBTOTAL(9,CD38:CD39)</f>
        <v>7693.675940000011</v>
      </c>
      <c r="CE40" s="27">
        <f>SUBTOTAL(9,CE38:CE39)</f>
        <v>5068.1360783913406</v>
      </c>
      <c r="CF40" s="27">
        <f t="shared" si="251"/>
        <v>-1828.4082200000148</v>
      </c>
      <c r="CG40" s="27">
        <f t="shared" si="252"/>
        <v>797.13164160865563</v>
      </c>
      <c r="CH40" s="28">
        <f t="shared" si="253"/>
        <v>-0.23765079712988435</v>
      </c>
      <c r="CI40" s="28">
        <f t="shared" si="254"/>
        <v>0.15728299897221198</v>
      </c>
      <c r="CJ40" s="17"/>
      <c r="CK40" s="27">
        <f>SUBTOTAL(9,CK38:CK39)</f>
        <v>-1753.7161999999998</v>
      </c>
      <c r="CL40" s="27">
        <f>SUBTOTAL(9,CL38:CL39)</f>
        <v>-1644.6017000000002</v>
      </c>
      <c r="CM40" s="27">
        <f>SUBTOTAL(9,CM38:CM39)</f>
        <v>-1488.29763</v>
      </c>
      <c r="CN40" s="27">
        <f t="shared" si="255"/>
        <v>-109.11449999999968</v>
      </c>
      <c r="CO40" s="27">
        <f t="shared" si="256"/>
        <v>-265.41856999999982</v>
      </c>
      <c r="CP40" s="28">
        <f t="shared" si="257"/>
        <v>-6.6347067499686802E-2</v>
      </c>
      <c r="CQ40" s="28">
        <f t="shared" si="258"/>
        <v>-0.17833702389219003</v>
      </c>
      <c r="CR40" s="17"/>
      <c r="CS40" s="27">
        <f>SUBTOTAL(9,CS38:CS39)</f>
        <v>4111.5515199999973</v>
      </c>
      <c r="CT40" s="27">
        <f>SUBTOTAL(9,CT38:CT39)</f>
        <v>6049.0742400000108</v>
      </c>
      <c r="CU40" s="27">
        <f>SUBTOTAL(9,CU38:CU39)</f>
        <v>3579.8384483913405</v>
      </c>
      <c r="CV40" s="27">
        <f>SUBTOTAL(9,CV38:CV39)</f>
        <v>-1937.522720000014</v>
      </c>
      <c r="CW40" s="27">
        <f>SUBTOTAL(9,CW38:CW39)</f>
        <v>531.71307160865626</v>
      </c>
      <c r="CX40" s="28">
        <f t="shared" si="261"/>
        <v>-0.32030070108711545</v>
      </c>
      <c r="CY40" s="28">
        <f t="shared" si="262"/>
        <v>0.14852990694247412</v>
      </c>
    </row>
    <row r="41" spans="2:103" x14ac:dyDescent="0.85">
      <c r="B41" s="30" t="s">
        <v>96</v>
      </c>
      <c r="C41" s="30"/>
      <c r="D41" s="31"/>
      <c r="E41" s="31"/>
      <c r="F41" s="31"/>
      <c r="G41" s="30"/>
      <c r="H41" s="16"/>
      <c r="I41" s="32">
        <f>SUBTOTAL(9,I32:I40)</f>
        <v>224157.44039</v>
      </c>
      <c r="J41" s="32">
        <f t="shared" ref="J41:K41" si="267">SUBTOTAL(9,J32:J40)</f>
        <v>239406.68301000001</v>
      </c>
      <c r="K41" s="32">
        <f t="shared" si="267"/>
        <v>252576.17958</v>
      </c>
      <c r="L41" s="32">
        <f t="shared" si="180"/>
        <v>-15249.242620000005</v>
      </c>
      <c r="M41" s="32">
        <f t="shared" si="181"/>
        <v>-28418.739189999993</v>
      </c>
      <c r="N41" s="33">
        <f t="shared" si="182"/>
        <v>-6.3695977189421424E-2</v>
      </c>
      <c r="O41" s="33">
        <f t="shared" si="183"/>
        <v>-0.11251551606036844</v>
      </c>
      <c r="P41" s="16"/>
      <c r="Q41" s="32">
        <f t="shared" ref="Q41" si="268">SUBTOTAL(9,Q32:Q40)</f>
        <v>6415.626879999998</v>
      </c>
      <c r="R41" s="32">
        <f t="shared" ref="R41" si="269">SUBTOTAL(9,R32:R40)</f>
        <v>11038.552039999999</v>
      </c>
      <c r="S41" s="32">
        <f t="shared" ref="S41" si="270">SUBTOTAL(9,S32:S40)</f>
        <v>10032.928204906004</v>
      </c>
      <c r="T41" s="32">
        <f t="shared" si="219"/>
        <v>-4622.9251600000007</v>
      </c>
      <c r="U41" s="32">
        <f t="shared" si="220"/>
        <v>-3617.3013249060059</v>
      </c>
      <c r="V41" s="33">
        <f t="shared" si="221"/>
        <v>-0.41879814881952593</v>
      </c>
      <c r="W41" s="33">
        <f t="shared" si="222"/>
        <v>-0.3605429293451119</v>
      </c>
      <c r="X41" s="16"/>
      <c r="Y41" s="32">
        <f t="shared" ref="Y41" si="271">SUBTOTAL(9,Y32:Y40)</f>
        <v>51294.894499999995</v>
      </c>
      <c r="Z41" s="32">
        <f t="shared" ref="Z41" si="272">SUBTOTAL(9,Z32:Z40)</f>
        <v>57314.283979999993</v>
      </c>
      <c r="AA41" s="32">
        <f t="shared" ref="AA41" si="273">SUBTOTAL(9,AA32:AA40)</f>
        <v>55774.252922963358</v>
      </c>
      <c r="AB41" s="32">
        <f t="shared" si="223"/>
        <v>-6019.389479999998</v>
      </c>
      <c r="AC41" s="32">
        <f t="shared" si="224"/>
        <v>-4479.3584229633634</v>
      </c>
      <c r="AD41" s="33">
        <f t="shared" si="225"/>
        <v>-0.10502424634844053</v>
      </c>
      <c r="AE41" s="33">
        <f t="shared" si="226"/>
        <v>-8.0312298026660317E-2</v>
      </c>
      <c r="AF41" s="16"/>
      <c r="AG41" s="32">
        <f t="shared" ref="AG41" si="274">SUBTOTAL(9,AG32:AG40)</f>
        <v>-742.99829</v>
      </c>
      <c r="AH41" s="32">
        <f t="shared" ref="AH41" si="275">SUBTOTAL(9,AH32:AH40)</f>
        <v>-1448.5900799999999</v>
      </c>
      <c r="AI41" s="32">
        <f t="shared" ref="AI41" si="276">SUBTOTAL(9,AI32:AI40)</f>
        <v>-1042.6851599999998</v>
      </c>
      <c r="AJ41" s="32">
        <f t="shared" si="227"/>
        <v>705.59178999999995</v>
      </c>
      <c r="AK41" s="32">
        <f t="shared" si="228"/>
        <v>299.68686999999977</v>
      </c>
      <c r="AL41" s="33">
        <f t="shared" si="229"/>
        <v>0.48708865243644356</v>
      </c>
      <c r="AM41" s="33">
        <f t="shared" si="230"/>
        <v>0.287418370853192</v>
      </c>
      <c r="AN41" s="16"/>
      <c r="AO41" s="32">
        <f t="shared" ref="AO41" si="277">SUBTOTAL(9,AO32:AO40)</f>
        <v>-3908.8573100000003</v>
      </c>
      <c r="AP41" s="32">
        <f t="shared" ref="AP41" si="278">SUBTOTAL(9,AP32:AP40)</f>
        <v>-4403.98326</v>
      </c>
      <c r="AQ41" s="32">
        <f t="shared" ref="AQ41" si="279">SUBTOTAL(9,AQ32:AQ40)</f>
        <v>-4121.5665378775338</v>
      </c>
      <c r="AR41" s="32">
        <f t="shared" si="231"/>
        <v>495.12594999999965</v>
      </c>
      <c r="AS41" s="32">
        <f t="shared" si="232"/>
        <v>212.70922787753352</v>
      </c>
      <c r="AT41" s="33">
        <f t="shared" si="233"/>
        <v>0.11242684650894873</v>
      </c>
      <c r="AU41" s="33">
        <f t="shared" si="234"/>
        <v>5.1608830264589518E-2</v>
      </c>
      <c r="AV41" s="16"/>
      <c r="AW41" s="32">
        <f t="shared" ref="AW41" si="280">SUBTOTAL(9,AW32:AW40)</f>
        <v>46643.0389</v>
      </c>
      <c r="AX41" s="32">
        <f t="shared" ref="AX41" si="281">SUBTOTAL(9,AX32:AX40)</f>
        <v>51461.710639999998</v>
      </c>
      <c r="AY41" s="32">
        <f t="shared" ref="AY41" si="282">SUBTOTAL(9,AY32:AY40)</f>
        <v>50610.001225085827</v>
      </c>
      <c r="AZ41" s="32">
        <f t="shared" si="235"/>
        <v>-4818.671739999998</v>
      </c>
      <c r="BA41" s="32">
        <f t="shared" si="236"/>
        <v>-3966.9623250858276</v>
      </c>
      <c r="BB41" s="33">
        <f t="shared" si="237"/>
        <v>-9.3636058344600689E-2</v>
      </c>
      <c r="BC41" s="33">
        <f t="shared" si="238"/>
        <v>-7.8382972318908506E-2</v>
      </c>
      <c r="BD41" s="16"/>
      <c r="BE41" s="32">
        <f t="shared" ref="BE41" si="283">SUBTOTAL(9,BE32:BE40)</f>
        <v>-15811.976630000001</v>
      </c>
      <c r="BF41" s="32">
        <f t="shared" ref="BF41" si="284">SUBTOTAL(9,BF32:BF40)</f>
        <v>-16003.495609999996</v>
      </c>
      <c r="BG41" s="32">
        <f t="shared" ref="BG41" si="285">SUBTOTAL(9,BG32:BG40)</f>
        <v>-16195.707430000002</v>
      </c>
      <c r="BH41" s="32">
        <f t="shared" si="239"/>
        <v>191.51897999999528</v>
      </c>
      <c r="BI41" s="32">
        <f t="shared" si="240"/>
        <v>383.73080000000118</v>
      </c>
      <c r="BJ41" s="33">
        <f t="shared" si="241"/>
        <v>1.1967321681915674E-2</v>
      </c>
      <c r="BK41" s="33">
        <f t="shared" si="242"/>
        <v>2.369336453245631E-2</v>
      </c>
      <c r="BL41" s="16"/>
      <c r="BM41" s="32">
        <f t="shared" ref="BM41" si="286">SUBTOTAL(9,BM32:BM40)</f>
        <v>-5625.9662700000008</v>
      </c>
      <c r="BN41" s="32">
        <f t="shared" ref="BN41" si="287">SUBTOTAL(9,BN32:BN40)</f>
        <v>-5799.7911400000003</v>
      </c>
      <c r="BO41" s="32">
        <f t="shared" ref="BO41" si="288">SUBTOTAL(9,BO32:BO40)</f>
        <v>-6338.7465700000002</v>
      </c>
      <c r="BP41" s="32">
        <f t="shared" si="243"/>
        <v>173.82486999999946</v>
      </c>
      <c r="BQ41" s="32">
        <f t="shared" si="244"/>
        <v>712.78029999999944</v>
      </c>
      <c r="BR41" s="33">
        <f t="shared" si="245"/>
        <v>2.9970884434296966E-2</v>
      </c>
      <c r="BS41" s="33">
        <f t="shared" si="246"/>
        <v>0.11244814603780562</v>
      </c>
      <c r="BT41" s="16"/>
      <c r="BU41" s="32">
        <f t="shared" ref="BU41" si="289">SUBTOTAL(9,BU32:BU40)</f>
        <v>-8471.4812700000002</v>
      </c>
      <c r="BV41" s="32">
        <f t="shared" ref="BV41" si="290">SUBTOTAL(9,BV32:BV40)</f>
        <v>-8423.7921999999999</v>
      </c>
      <c r="BW41" s="32">
        <f t="shared" ref="BW41" si="291">SUBTOTAL(9,BW32:BW40)</f>
        <v>-8423.7921999999999</v>
      </c>
      <c r="BX41" s="32">
        <f t="shared" si="247"/>
        <v>-47.689070000000356</v>
      </c>
      <c r="BY41" s="32">
        <f t="shared" si="248"/>
        <v>-47.689070000000356</v>
      </c>
      <c r="BZ41" s="33">
        <f t="shared" si="249"/>
        <v>-5.6612353281934417E-3</v>
      </c>
      <c r="CA41" s="33">
        <f t="shared" si="250"/>
        <v>-5.6612353281934417E-3</v>
      </c>
      <c r="CB41" s="16"/>
      <c r="CC41" s="32">
        <f t="shared" ref="CC41" si="292">SUBTOTAL(9,CC32:CC40)</f>
        <v>16733.614729999998</v>
      </c>
      <c r="CD41" s="32">
        <f t="shared" ref="CD41" si="293">SUBTOTAL(9,CD32:CD40)</f>
        <v>21234.631690000002</v>
      </c>
      <c r="CE41" s="32">
        <f t="shared" ref="CE41" si="294">SUBTOTAL(9,CE32:CE40)</f>
        <v>19651.755025085829</v>
      </c>
      <c r="CF41" s="32">
        <f t="shared" si="251"/>
        <v>-4501.0169600000045</v>
      </c>
      <c r="CG41" s="32">
        <f t="shared" si="252"/>
        <v>-2918.1402950858319</v>
      </c>
      <c r="CH41" s="33">
        <f t="shared" si="253"/>
        <v>-0.21196585962541853</v>
      </c>
      <c r="CI41" s="33">
        <f t="shared" si="254"/>
        <v>-0.14849260492819963</v>
      </c>
      <c r="CJ41" s="16"/>
      <c r="CK41" s="32">
        <f t="shared" ref="CK41" si="295">SUBTOTAL(9,CK32:CK40)</f>
        <v>-5136.6112400000002</v>
      </c>
      <c r="CL41" s="32">
        <f t="shared" ref="CL41" si="296">SUBTOTAL(9,CL32:CL40)</f>
        <v>-5259.8436900000006</v>
      </c>
      <c r="CM41" s="32">
        <f t="shared" ref="CM41" si="297">SUBTOTAL(9,CM32:CM40)</f>
        <v>-4450.7777999999998</v>
      </c>
      <c r="CN41" s="32">
        <f t="shared" si="255"/>
        <v>123.23245000000043</v>
      </c>
      <c r="CO41" s="32">
        <f t="shared" si="256"/>
        <v>-685.83344000000034</v>
      </c>
      <c r="CP41" s="33">
        <f t="shared" si="257"/>
        <v>2.3428918664311186E-2</v>
      </c>
      <c r="CQ41" s="33">
        <f t="shared" si="258"/>
        <v>-0.15409294078891117</v>
      </c>
      <c r="CR41" s="16"/>
      <c r="CS41" s="32">
        <f t="shared" ref="CS41" si="298">SUBTOTAL(9,CS32:CS40)</f>
        <v>11597.003489999997</v>
      </c>
      <c r="CT41" s="32">
        <f t="shared" ref="CT41" si="299">SUBTOTAL(9,CT32:CT40)</f>
        <v>15974.788</v>
      </c>
      <c r="CU41" s="32">
        <f t="shared" ref="CU41" si="300">SUBTOTAL(9,CU32:CU40)</f>
        <v>15200.977225085826</v>
      </c>
      <c r="CV41" s="32">
        <f t="shared" ref="CV41" si="301">CS41-CT41</f>
        <v>-4377.7845100000031</v>
      </c>
      <c r="CW41" s="32">
        <f t="shared" ref="CW41" si="302">CS41-CU41</f>
        <v>-3603.9737350858286</v>
      </c>
      <c r="CX41" s="33">
        <f t="shared" si="261"/>
        <v>-0.27404335569273303</v>
      </c>
      <c r="CY41" s="33">
        <f t="shared" si="262"/>
        <v>-0.23708829253018504</v>
      </c>
    </row>
    <row r="42" spans="2:103" outlineLevel="3" x14ac:dyDescent="0.85">
      <c r="B42" s="1" t="s">
        <v>82</v>
      </c>
      <c r="C42" s="1" t="s">
        <v>82</v>
      </c>
      <c r="D42" s="2">
        <v>501</v>
      </c>
      <c r="E42" s="1" t="s">
        <v>40</v>
      </c>
      <c r="F42" s="2" t="s">
        <v>13</v>
      </c>
      <c r="G42" s="1" t="s">
        <v>64</v>
      </c>
      <c r="I42" s="3">
        <f>SUMIFS('P&amp;L Data'!$N:$N,'P&amp;L Data'!$B:$B,$D42,'P&amp;L Data'!$C:$C,$I$4)</f>
        <v>23340.932790000003</v>
      </c>
      <c r="J42" s="3">
        <f>SUMIFS('P&amp;L Data'!$P:$P,'P&amp;L Data'!$B:$B,$D42,'P&amp;L Data'!$C:$C,$I$4)</f>
        <v>20939.725210000001</v>
      </c>
      <c r="K42" s="3">
        <f>SUMIFS('P&amp;L Data'!$T:$T,'P&amp;L Data'!$B:$B,$D42,'P&amp;L Data'!$C:$C,$I$4)</f>
        <v>20319.704209999996</v>
      </c>
      <c r="L42" s="3">
        <f t="shared" si="180"/>
        <v>2401.2075800000021</v>
      </c>
      <c r="M42" s="3">
        <f t="shared" si="181"/>
        <v>3021.2285800000063</v>
      </c>
      <c r="N42" s="8">
        <f t="shared" si="182"/>
        <v>0.11467235390716964</v>
      </c>
      <c r="O42" s="8">
        <f t="shared" si="183"/>
        <v>0.14868467320076245</v>
      </c>
      <c r="P42" s="24"/>
      <c r="Q42" s="3">
        <f>SUMIFS('P&amp;L Data'!$N:$N,'P&amp;L Data'!$B:$B,$D42,'P&amp;L Data'!$C:$C,$Q$4)</f>
        <v>304.98234000000053</v>
      </c>
      <c r="R42" s="3">
        <f>SUMIFS('P&amp;L Data'!$P:$P,'P&amp;L Data'!$B:$B,$D42,'P&amp;L Data'!$C:$C,$Q$4)</f>
        <v>857.91122000000007</v>
      </c>
      <c r="S42" s="3">
        <f>SUMIFS('P&amp;L Data'!$T:$T,'P&amp;L Data'!$B:$B,$D42,'P&amp;L Data'!$C:$C,$Q$4)</f>
        <v>504.43522891882566</v>
      </c>
      <c r="T42" s="3">
        <f t="shared" si="219"/>
        <v>-552.92887999999948</v>
      </c>
      <c r="U42" s="3">
        <f t="shared" si="220"/>
        <v>-199.45288891882512</v>
      </c>
      <c r="V42" s="8">
        <f t="shared" si="221"/>
        <v>-0.64450594316740539</v>
      </c>
      <c r="W42" s="8">
        <f t="shared" si="222"/>
        <v>-0.39539841288706135</v>
      </c>
      <c r="X42" s="24"/>
      <c r="Y42" s="3">
        <f>SUMIFS('P&amp;L Data'!$N:$N,'P&amp;L Data'!$B:$B,$D42,'P&amp;L Data'!$C:$C,$Y$4)</f>
        <v>5162.1799399999982</v>
      </c>
      <c r="Z42" s="3">
        <f>SUMIFS('P&amp;L Data'!$P:$P,'P&amp;L Data'!$B:$B,$D42,'P&amp;L Data'!$C:$C,$Y$4)</f>
        <v>4952.0236699999969</v>
      </c>
      <c r="AA42" s="3">
        <f>SUMIFS('P&amp;L Data'!$T:$T,'P&amp;L Data'!$B:$B,$D42,'P&amp;L Data'!$C:$C,$Y$4)</f>
        <v>4267.0561089188268</v>
      </c>
      <c r="AB42" s="3">
        <f t="shared" si="223"/>
        <v>210.15627000000131</v>
      </c>
      <c r="AC42" s="3">
        <f t="shared" si="224"/>
        <v>895.12383108117137</v>
      </c>
      <c r="AD42" s="8">
        <f t="shared" si="225"/>
        <v>4.2438462334733036E-2</v>
      </c>
      <c r="AE42" s="8">
        <f t="shared" si="226"/>
        <v>0.20977550054010774</v>
      </c>
      <c r="AF42" s="24"/>
      <c r="AG42" s="3">
        <f>SUMIFS('P&amp;L Data'!$N:$N,'P&amp;L Data'!$B:$B,$D42,'P&amp;L Data'!$C:$C,$AG$4)</f>
        <v>-88.616560000000007</v>
      </c>
      <c r="AH42" s="3">
        <f>SUMIFS('P&amp;L Data'!$P:$P,'P&amp;L Data'!$B:$B,$D42,'P&amp;L Data'!$C:$C,$AG$4)</f>
        <v>-138.14498</v>
      </c>
      <c r="AI42" s="3">
        <f>SUMIFS('P&amp;L Data'!$T:$T,'P&amp;L Data'!$B:$B,$D42,'P&amp;L Data'!$C:$C,$AG$4)</f>
        <v>-70.417760000000001</v>
      </c>
      <c r="AJ42" s="3">
        <f t="shared" si="227"/>
        <v>49.528419999999997</v>
      </c>
      <c r="AK42" s="3">
        <f t="shared" si="228"/>
        <v>-18.198800000000006</v>
      </c>
      <c r="AL42" s="8">
        <f t="shared" si="229"/>
        <v>0.35852493518041695</v>
      </c>
      <c r="AM42" s="8">
        <f t="shared" si="230"/>
        <v>-0.25844048433236166</v>
      </c>
      <c r="AN42" s="24"/>
      <c r="AO42" s="3">
        <f>SUMIFS('P&amp;L Data'!$N:$N,'P&amp;L Data'!$B:$B,$D42,'P&amp;L Data'!$C:$C,$AO$4)</f>
        <v>-384.80231000000003</v>
      </c>
      <c r="AP42" s="3">
        <f>SUMIFS('P&amp;L Data'!$P:$P,'P&amp;L Data'!$B:$B,$D42,'P&amp;L Data'!$C:$C,$AO$4)</f>
        <v>-380.77743000000004</v>
      </c>
      <c r="AQ42" s="3">
        <f>SUMIFS('P&amp;L Data'!$T:$T,'P&amp;L Data'!$B:$B,$D42,'P&amp;L Data'!$C:$C,$AO$4)</f>
        <v>-327.03027999999995</v>
      </c>
      <c r="AR42" s="3">
        <f t="shared" si="231"/>
        <v>-4.024879999999996</v>
      </c>
      <c r="AS42" s="3">
        <f t="shared" si="232"/>
        <v>-57.772030000000086</v>
      </c>
      <c r="AT42" s="8">
        <f t="shared" si="233"/>
        <v>-1.0570164308320468E-2</v>
      </c>
      <c r="AU42" s="8">
        <f t="shared" si="234"/>
        <v>-0.17665651633237173</v>
      </c>
      <c r="AW42" s="3">
        <f>SUMIFS('P&amp;L Data'!$N:$N,'P&amp;L Data'!$B:$B,$D42,'P&amp;L Data'!$C:$C,$AW$4)</f>
        <v>4688.7610699999977</v>
      </c>
      <c r="AX42" s="3">
        <f>SUMIFS('P&amp;L Data'!$P:$P,'P&amp;L Data'!$B:$B,$D42,'P&amp;L Data'!$C:$C,$AW$4)</f>
        <v>4433.1012599999967</v>
      </c>
      <c r="AY42" s="3">
        <f>SUMIFS('P&amp;L Data'!$T:$T,'P&amp;L Data'!$B:$B,$D42,'P&amp;L Data'!$C:$C,$AW$4)</f>
        <v>3869.608068918827</v>
      </c>
      <c r="AZ42" s="3">
        <f t="shared" si="235"/>
        <v>255.65981000000102</v>
      </c>
      <c r="BA42" s="3">
        <f t="shared" si="236"/>
        <v>819.15300108117071</v>
      </c>
      <c r="BB42" s="8">
        <f t="shared" si="237"/>
        <v>5.767064522230228E-2</v>
      </c>
      <c r="BC42" s="8">
        <f t="shared" si="238"/>
        <v>0.2116888807579014</v>
      </c>
      <c r="BE42" s="3">
        <f>SUMIFS('P&amp;L Data'!$N:$N,'P&amp;L Data'!$B:$B,$D42,'P&amp;L Data'!$C:$C,$BE$4)</f>
        <v>-1295.2408900000003</v>
      </c>
      <c r="BF42" s="3">
        <f>SUMIFS('P&amp;L Data'!$P:$P,'P&amp;L Data'!$B:$B,$D42,'P&amp;L Data'!$C:$C,$BE$4)</f>
        <v>-1310.5516199999997</v>
      </c>
      <c r="BG42" s="3">
        <f>SUMIFS('P&amp;L Data'!$T:$T,'P&amp;L Data'!$B:$B,$D42,'P&amp;L Data'!$C:$C,$BE$4)</f>
        <v>-1223.4204600000003</v>
      </c>
      <c r="BH42" s="3">
        <f t="shared" si="239"/>
        <v>15.310729999999467</v>
      </c>
      <c r="BI42" s="3">
        <f t="shared" si="240"/>
        <v>-71.820429999999988</v>
      </c>
      <c r="BJ42" s="8">
        <f t="shared" si="241"/>
        <v>1.1682660771499768E-2</v>
      </c>
      <c r="BK42" s="8">
        <f t="shared" si="242"/>
        <v>-5.8704617380683638E-2</v>
      </c>
      <c r="BM42" s="3">
        <f>SUMIFS('P&amp;L Data'!$N:$N,'P&amp;L Data'!$B:$B,$D42,'P&amp;L Data'!$C:$C,$BM$4)</f>
        <v>-106.36413000000005</v>
      </c>
      <c r="BN42" s="3">
        <f>SUMIFS('P&amp;L Data'!$P:$P,'P&amp;L Data'!$B:$B,$D42,'P&amp;L Data'!$C:$C,$BM$4)</f>
        <v>-60.944830000000024</v>
      </c>
      <c r="BO42" s="3">
        <f>SUMIFS('P&amp;L Data'!$T:$T,'P&amp;L Data'!$B:$B,$D42,'P&amp;L Data'!$C:$C,$BM$4)</f>
        <v>-130.80130000000008</v>
      </c>
      <c r="BP42" s="3">
        <f t="shared" si="243"/>
        <v>-45.419300000000021</v>
      </c>
      <c r="BQ42" s="3">
        <f t="shared" si="244"/>
        <v>24.437170000000037</v>
      </c>
      <c r="BR42" s="8">
        <f t="shared" si="245"/>
        <v>-0.74525271462731135</v>
      </c>
      <c r="BS42" s="8">
        <f t="shared" si="246"/>
        <v>0.18682665997967926</v>
      </c>
      <c r="BU42" s="3">
        <f>SUMIFS('P&amp;L Data'!$N:$N,'P&amp;L Data'!$B:$B,$D42,'P&amp;L Data'!$C:$C,$BU$4)</f>
        <v>-1203.5196999999998</v>
      </c>
      <c r="BV42" s="3">
        <f>SUMIFS('P&amp;L Data'!$P:$P,'P&amp;L Data'!$B:$B,$D42,'P&amp;L Data'!$C:$C,$BU$4)</f>
        <v>-1050.20598</v>
      </c>
      <c r="BW42" s="3">
        <f>SUMIFS('P&amp;L Data'!$T:$T,'P&amp;L Data'!$B:$B,$D42,'P&amp;L Data'!$C:$C,$BU$4)</f>
        <v>-1018.1201100000001</v>
      </c>
      <c r="BX42" s="3">
        <f t="shared" si="247"/>
        <v>-153.31371999999988</v>
      </c>
      <c r="BY42" s="3">
        <f t="shared" si="248"/>
        <v>-185.39958999999976</v>
      </c>
      <c r="BZ42" s="8">
        <f t="shared" si="249"/>
        <v>-0.14598442869274073</v>
      </c>
      <c r="CA42" s="8">
        <f t="shared" si="250"/>
        <v>-0.18209991942895593</v>
      </c>
      <c r="CC42" s="3">
        <f>SUMIFS('P&amp;L Data'!$N:$N,'P&amp;L Data'!$B:$B,$D42,'P&amp;L Data'!$C:$C,$CC$4)</f>
        <v>2083.6363499999975</v>
      </c>
      <c r="CD42" s="3">
        <f>SUMIFS('P&amp;L Data'!$P:$P,'P&amp;L Data'!$B:$B,$D42,'P&amp;L Data'!$C:$C,$CC$4)</f>
        <v>2011.3988299999974</v>
      </c>
      <c r="CE42" s="3">
        <f>SUMIFS('P&amp;L Data'!$T:$T,'P&amp;L Data'!$B:$B,$D42,'P&amp;L Data'!$C:$C,$CC$4)</f>
        <v>1497.2661989188268</v>
      </c>
      <c r="CF42" s="3">
        <f t="shared" si="251"/>
        <v>72.237520000000131</v>
      </c>
      <c r="CG42" s="3">
        <f t="shared" si="252"/>
        <v>586.37015108117066</v>
      </c>
      <c r="CH42" s="8">
        <f t="shared" si="253"/>
        <v>3.591407080613656E-2</v>
      </c>
      <c r="CI42" s="8">
        <f t="shared" si="254"/>
        <v>0.3916271879406531</v>
      </c>
      <c r="CK42" s="3">
        <f>SUMIFS('P&amp;L Data'!$N:$N,'P&amp;L Data'!$B:$B,$D42,'P&amp;L Data'!$C:$C,$CK$4)</f>
        <v>-965.68596999999988</v>
      </c>
      <c r="CL42" s="3">
        <f>SUMIFS('P&amp;L Data'!$P:$P,'P&amp;L Data'!$B:$B,$D42,'P&amp;L Data'!$C:$C,$CK$4)</f>
        <v>-486.06832000000003</v>
      </c>
      <c r="CM42" s="3">
        <f>SUMIFS('P&amp;L Data'!$T:$T,'P&amp;L Data'!$B:$B,$D42,'P&amp;L Data'!$C:$C,$CK$4)</f>
        <v>-698.51517999999999</v>
      </c>
      <c r="CN42" s="3">
        <f t="shared" si="255"/>
        <v>-479.61764999999986</v>
      </c>
      <c r="CO42" s="3">
        <f t="shared" si="256"/>
        <v>-267.1707899999999</v>
      </c>
      <c r="CP42" s="8">
        <f t="shared" si="257"/>
        <v>-0.98672888206332765</v>
      </c>
      <c r="CQ42" s="8">
        <f t="shared" si="258"/>
        <v>-0.38248387100191567</v>
      </c>
      <c r="CS42" s="3">
        <f>SUMIFS('P&amp;L Data'!$N:$N,'P&amp;L Data'!$B:$B,$D42,'P&amp;L Data'!$C:$C,$CS$4)</f>
        <v>1117.9503799999975</v>
      </c>
      <c r="CT42" s="3">
        <f>SUMIFS('P&amp;L Data'!$P:$P,'P&amp;L Data'!$B:$B,$D42,'P&amp;L Data'!$C:$C,$CS$4)</f>
        <v>1525.3305099999973</v>
      </c>
      <c r="CU42" s="3">
        <f>SUMIFS('P&amp;L Data'!$T:$T,'P&amp;L Data'!$B:$B,$D42,'P&amp;L Data'!$C:$C,$CS$4)</f>
        <v>798.75101891882684</v>
      </c>
      <c r="CV42" s="3">
        <f t="shared" ref="CV42:CV43" si="303">CS42-CT42</f>
        <v>-407.38012999999978</v>
      </c>
      <c r="CW42" s="3">
        <f t="shared" ref="CW42:CW43" si="304">CS42-CU42</f>
        <v>319.19936108117065</v>
      </c>
      <c r="CX42" s="8">
        <f t="shared" si="261"/>
        <v>-0.26707662852688924</v>
      </c>
      <c r="CY42" s="8">
        <f t="shared" si="262"/>
        <v>0.39962310347125746</v>
      </c>
    </row>
    <row r="43" spans="2:103" outlineLevel="3" x14ac:dyDescent="0.85">
      <c r="B43" s="1" t="s">
        <v>82</v>
      </c>
      <c r="C43" s="1" t="s">
        <v>82</v>
      </c>
      <c r="D43" s="2">
        <v>50001</v>
      </c>
      <c r="E43" s="1" t="s">
        <v>41</v>
      </c>
      <c r="F43" s="2" t="s">
        <v>15</v>
      </c>
      <c r="G43" s="1" t="s">
        <v>64</v>
      </c>
      <c r="I43" s="3">
        <f>SUMIFS('P&amp;L Data'!$N:$N,'P&amp;L Data'!$B:$B,$D43,'P&amp;L Data'!$C:$C,$I$4)</f>
        <v>49786.10551999999</v>
      </c>
      <c r="J43" s="3">
        <f>SUMIFS('P&amp;L Data'!$P:$P,'P&amp;L Data'!$B:$B,$D43,'P&amp;L Data'!$C:$C,$I$4)</f>
        <v>49015.604370000001</v>
      </c>
      <c r="K43" s="3">
        <f>SUMIFS('P&amp;L Data'!$T:$T,'P&amp;L Data'!$B:$B,$D43,'P&amp;L Data'!$C:$C,$I$4)</f>
        <v>48564.772079999995</v>
      </c>
      <c r="L43" s="3">
        <f t="shared" si="180"/>
        <v>770.50114999998914</v>
      </c>
      <c r="M43" s="3">
        <f t="shared" si="181"/>
        <v>1221.3334399999949</v>
      </c>
      <c r="N43" s="8">
        <f t="shared" si="182"/>
        <v>1.5719507285552808E-2</v>
      </c>
      <c r="O43" s="8">
        <f t="shared" si="183"/>
        <v>2.514854672823567E-2</v>
      </c>
      <c r="P43" s="24"/>
      <c r="Q43" s="3">
        <f>SUMIFS('P&amp;L Data'!$N:$N,'P&amp;L Data'!$B:$B,$D43,'P&amp;L Data'!$C:$C,$Q$4)</f>
        <v>1304.2209499999997</v>
      </c>
      <c r="R43" s="3">
        <f>SUMIFS('P&amp;L Data'!$P:$P,'P&amp;L Data'!$B:$B,$D43,'P&amp;L Data'!$C:$C,$Q$4)</f>
        <v>1755.1074399999939</v>
      </c>
      <c r="S43" s="3">
        <f>SUMIFS('P&amp;L Data'!$T:$T,'P&amp;L Data'!$B:$B,$D43,'P&amp;L Data'!$C:$C,$Q$4)</f>
        <v>1522.1881768012572</v>
      </c>
      <c r="T43" s="3">
        <f t="shared" si="219"/>
        <v>-450.88648999999418</v>
      </c>
      <c r="U43" s="3">
        <f t="shared" si="220"/>
        <v>-217.96722680125754</v>
      </c>
      <c r="V43" s="8">
        <f t="shared" si="221"/>
        <v>-0.2568996516817203</v>
      </c>
      <c r="W43" s="8">
        <f t="shared" si="222"/>
        <v>-0.14319335159946928</v>
      </c>
      <c r="X43" s="24"/>
      <c r="Y43" s="3">
        <f>SUMIFS('P&amp;L Data'!$N:$N,'P&amp;L Data'!$B:$B,$D43,'P&amp;L Data'!$C:$C,$Y$4)</f>
        <v>11873.795389999983</v>
      </c>
      <c r="Z43" s="3">
        <f>SUMIFS('P&amp;L Data'!$P:$P,'P&amp;L Data'!$B:$B,$D43,'P&amp;L Data'!$C:$C,$Y$4)</f>
        <v>11841.085609999996</v>
      </c>
      <c r="AA43" s="3">
        <f>SUMIFS('P&amp;L Data'!$T:$T,'P&amp;L Data'!$B:$B,$D43,'P&amp;L Data'!$C:$C,$Y$4)</f>
        <v>10990.808699462128</v>
      </c>
      <c r="AB43" s="3">
        <f t="shared" si="223"/>
        <v>32.709779999986495</v>
      </c>
      <c r="AC43" s="3">
        <f t="shared" si="224"/>
        <v>882.98669053785488</v>
      </c>
      <c r="AD43" s="8">
        <f t="shared" si="225"/>
        <v>2.7623970535575332E-3</v>
      </c>
      <c r="AE43" s="8">
        <f t="shared" si="226"/>
        <v>8.0338646107184705E-2</v>
      </c>
      <c r="AF43" s="24"/>
      <c r="AG43" s="3">
        <f>SUMIFS('P&amp;L Data'!$N:$N,'P&amp;L Data'!$B:$B,$D43,'P&amp;L Data'!$C:$C,$AG$4)</f>
        <v>-148.15267999999998</v>
      </c>
      <c r="AH43" s="3">
        <f>SUMIFS('P&amp;L Data'!$P:$P,'P&amp;L Data'!$B:$B,$D43,'P&amp;L Data'!$C:$C,$AG$4)</f>
        <v>-324.37</v>
      </c>
      <c r="AI43" s="3">
        <f>SUMIFS('P&amp;L Data'!$T:$T,'P&amp;L Data'!$B:$B,$D43,'P&amp;L Data'!$C:$C,$AG$4)</f>
        <v>-195.80557000000002</v>
      </c>
      <c r="AJ43" s="3">
        <f t="shared" si="227"/>
        <v>176.21732000000003</v>
      </c>
      <c r="AK43" s="3">
        <f t="shared" si="228"/>
        <v>47.652890000000042</v>
      </c>
      <c r="AL43" s="8">
        <f t="shared" si="229"/>
        <v>0.54326022751795799</v>
      </c>
      <c r="AM43" s="8">
        <f t="shared" si="230"/>
        <v>0.24336840877407132</v>
      </c>
      <c r="AN43" s="24"/>
      <c r="AO43" s="3">
        <f>SUMIFS('P&amp;L Data'!$N:$N,'P&amp;L Data'!$B:$B,$D43,'P&amp;L Data'!$C:$C,$AO$4)</f>
        <v>-861.64697000000001</v>
      </c>
      <c r="AP43" s="3">
        <f>SUMIFS('P&amp;L Data'!$P:$P,'P&amp;L Data'!$B:$B,$D43,'P&amp;L Data'!$C:$C,$AO$4)</f>
        <v>-923.82521000000008</v>
      </c>
      <c r="AQ43" s="3">
        <f>SUMIFS('P&amp;L Data'!$T:$T,'P&amp;L Data'!$B:$B,$D43,'P&amp;L Data'!$C:$C,$AO$4)</f>
        <v>-823.65049457802957</v>
      </c>
      <c r="AR43" s="3">
        <f t="shared" si="231"/>
        <v>62.178240000000073</v>
      </c>
      <c r="AS43" s="3">
        <f t="shared" si="232"/>
        <v>-37.996475421970445</v>
      </c>
      <c r="AT43" s="8">
        <f t="shared" si="233"/>
        <v>6.7305199432693627E-2</v>
      </c>
      <c r="AU43" s="8">
        <f t="shared" si="234"/>
        <v>-4.6131794580463036E-2</v>
      </c>
      <c r="AW43" s="3">
        <f>SUMIFS('P&amp;L Data'!$N:$N,'P&amp;L Data'!$B:$B,$D43,'P&amp;L Data'!$C:$C,$AW$4)</f>
        <v>10863.995739999982</v>
      </c>
      <c r="AX43" s="3">
        <f>SUMIFS('P&amp;L Data'!$P:$P,'P&amp;L Data'!$B:$B,$D43,'P&amp;L Data'!$C:$C,$AW$4)</f>
        <v>10592.890399999998</v>
      </c>
      <c r="AY43" s="3">
        <f>SUMIFS('P&amp;L Data'!$T:$T,'P&amp;L Data'!$B:$B,$D43,'P&amp;L Data'!$C:$C,$AW$4)</f>
        <v>9971.3526348840969</v>
      </c>
      <c r="AZ43" s="3">
        <f t="shared" si="235"/>
        <v>271.1053399999837</v>
      </c>
      <c r="BA43" s="3">
        <f t="shared" si="236"/>
        <v>892.64310511588519</v>
      </c>
      <c r="BB43" s="8">
        <f t="shared" si="237"/>
        <v>2.5593141226117447E-2</v>
      </c>
      <c r="BC43" s="8">
        <f t="shared" si="238"/>
        <v>8.9520763912514151E-2</v>
      </c>
      <c r="BE43" s="3">
        <f>SUMIFS('P&amp;L Data'!$N:$N,'P&amp;L Data'!$B:$B,$D43,'P&amp;L Data'!$C:$C,$BE$4)</f>
        <v>-2934.2887400000013</v>
      </c>
      <c r="BF43" s="3">
        <f>SUMIFS('P&amp;L Data'!$P:$P,'P&amp;L Data'!$B:$B,$D43,'P&amp;L Data'!$C:$C,$BE$4)</f>
        <v>-3490.0443800000003</v>
      </c>
      <c r="BG43" s="3">
        <f>SUMIFS('P&amp;L Data'!$T:$T,'P&amp;L Data'!$B:$B,$D43,'P&amp;L Data'!$C:$C,$BE$4)</f>
        <v>-3183.2015399999996</v>
      </c>
      <c r="BH43" s="3">
        <f t="shared" si="239"/>
        <v>555.75563999999895</v>
      </c>
      <c r="BI43" s="3">
        <f t="shared" si="240"/>
        <v>248.91279999999824</v>
      </c>
      <c r="BJ43" s="8">
        <f t="shared" si="241"/>
        <v>0.15924027877261518</v>
      </c>
      <c r="BK43" s="8">
        <f t="shared" si="242"/>
        <v>7.8195740003316999E-2</v>
      </c>
      <c r="BM43" s="3">
        <f>SUMIFS('P&amp;L Data'!$N:$N,'P&amp;L Data'!$B:$B,$D43,'P&amp;L Data'!$C:$C,$BM$4)</f>
        <v>-1075.0468299999998</v>
      </c>
      <c r="BN43" s="3">
        <f>SUMIFS('P&amp;L Data'!$P:$P,'P&amp;L Data'!$B:$B,$D43,'P&amp;L Data'!$C:$C,$BM$4)</f>
        <v>-1116.08815</v>
      </c>
      <c r="BO43" s="3">
        <f>SUMIFS('P&amp;L Data'!$T:$T,'P&amp;L Data'!$B:$B,$D43,'P&amp;L Data'!$C:$C,$BM$4)</f>
        <v>-1056.34997</v>
      </c>
      <c r="BP43" s="3">
        <f t="shared" si="243"/>
        <v>41.041320000000269</v>
      </c>
      <c r="BQ43" s="3">
        <f t="shared" si="244"/>
        <v>-18.696859999999788</v>
      </c>
      <c r="BR43" s="8">
        <f t="shared" si="245"/>
        <v>3.677247178011904E-2</v>
      </c>
      <c r="BS43" s="8">
        <f t="shared" si="246"/>
        <v>-1.7699494041732957E-2</v>
      </c>
      <c r="BU43" s="3">
        <f>SUMIFS('P&amp;L Data'!$N:$N,'P&amp;L Data'!$B:$B,$D43,'P&amp;L Data'!$C:$C,$BU$4)</f>
        <v>-1358.1909799999999</v>
      </c>
      <c r="BV43" s="3">
        <f>SUMIFS('P&amp;L Data'!$P:$P,'P&amp;L Data'!$B:$B,$D43,'P&amp;L Data'!$C:$C,$BU$4)</f>
        <v>-1370.8811999999998</v>
      </c>
      <c r="BW43" s="3">
        <f>SUMIFS('P&amp;L Data'!$T:$T,'P&amp;L Data'!$B:$B,$D43,'P&amp;L Data'!$C:$C,$BU$4)</f>
        <v>-1215.7289500000002</v>
      </c>
      <c r="BX43" s="3">
        <f t="shared" si="247"/>
        <v>12.690219999999954</v>
      </c>
      <c r="BY43" s="3">
        <f t="shared" si="248"/>
        <v>-142.46202999999969</v>
      </c>
      <c r="BZ43" s="8">
        <f t="shared" si="249"/>
        <v>9.2569801088525795E-3</v>
      </c>
      <c r="CA43" s="8">
        <f t="shared" si="250"/>
        <v>-0.11718239497381358</v>
      </c>
      <c r="CC43" s="3">
        <f>SUMIFS('P&amp;L Data'!$N:$N,'P&amp;L Data'!$B:$B,$D43,'P&amp;L Data'!$C:$C,$CC$4)</f>
        <v>5496.4691899999816</v>
      </c>
      <c r="CD43" s="3">
        <f>SUMIFS('P&amp;L Data'!$P:$P,'P&amp;L Data'!$B:$B,$D43,'P&amp;L Data'!$C:$C,$CC$4)</f>
        <v>4615.8766699999978</v>
      </c>
      <c r="CE43" s="3">
        <f>SUMIFS('P&amp;L Data'!$T:$T,'P&amp;L Data'!$B:$B,$D43,'P&amp;L Data'!$C:$C,$CC$4)</f>
        <v>4516.072174884097</v>
      </c>
      <c r="CF43" s="3">
        <f t="shared" si="251"/>
        <v>880.59251999998378</v>
      </c>
      <c r="CG43" s="3">
        <f t="shared" si="252"/>
        <v>980.39701511588464</v>
      </c>
      <c r="CH43" s="8">
        <f t="shared" si="253"/>
        <v>0.19077470715871275</v>
      </c>
      <c r="CI43" s="8">
        <f t="shared" si="254"/>
        <v>0.21709064362795444</v>
      </c>
      <c r="CK43" s="3">
        <f>SUMIFS('P&amp;L Data'!$N:$N,'P&amp;L Data'!$B:$B,$D43,'P&amp;L Data'!$C:$C,$CK$4)</f>
        <v>-2354.2205800000006</v>
      </c>
      <c r="CL43" s="3">
        <f>SUMIFS('P&amp;L Data'!$P:$P,'P&amp;L Data'!$B:$B,$D43,'P&amp;L Data'!$C:$C,$CK$4)</f>
        <v>-1080.0708199999999</v>
      </c>
      <c r="CM43" s="3">
        <f>SUMIFS('P&amp;L Data'!$T:$T,'P&amp;L Data'!$B:$B,$D43,'P&amp;L Data'!$C:$C,$CK$4)</f>
        <v>-980.34647000000007</v>
      </c>
      <c r="CN43" s="3">
        <f t="shared" si="255"/>
        <v>-1274.1497600000007</v>
      </c>
      <c r="CO43" s="3">
        <f t="shared" si="256"/>
        <v>-1373.8741100000007</v>
      </c>
      <c r="CP43" s="8">
        <f t="shared" si="257"/>
        <v>-1.1796909391552683</v>
      </c>
      <c r="CQ43" s="8">
        <f t="shared" si="258"/>
        <v>-1.4014168990683473</v>
      </c>
      <c r="CS43" s="3">
        <f>SUMIFS('P&amp;L Data'!$N:$N,'P&amp;L Data'!$B:$B,$D43,'P&amp;L Data'!$C:$C,$CS$4)</f>
        <v>3142.248609999981</v>
      </c>
      <c r="CT43" s="3">
        <f>SUMIFS('P&amp;L Data'!$P:$P,'P&amp;L Data'!$B:$B,$D43,'P&amp;L Data'!$C:$C,$CS$4)</f>
        <v>3535.8058499999979</v>
      </c>
      <c r="CU43" s="3">
        <f>SUMIFS('P&amp;L Data'!$T:$T,'P&amp;L Data'!$B:$B,$D43,'P&amp;L Data'!$C:$C,$CS$4)</f>
        <v>3535.725704884097</v>
      </c>
      <c r="CV43" s="3">
        <f t="shared" si="303"/>
        <v>-393.55724000001692</v>
      </c>
      <c r="CW43" s="3">
        <f t="shared" si="304"/>
        <v>-393.47709488411601</v>
      </c>
      <c r="CX43" s="8">
        <f t="shared" si="261"/>
        <v>-0.11130623588962532</v>
      </c>
      <c r="CY43" s="8">
        <f t="shared" si="262"/>
        <v>-0.11128609166163086</v>
      </c>
    </row>
    <row r="44" spans="2:103" outlineLevel="1" x14ac:dyDescent="0.85">
      <c r="B44" s="25" t="s">
        <v>82</v>
      </c>
      <c r="C44" s="25" t="s">
        <v>83</v>
      </c>
      <c r="D44" s="26"/>
      <c r="E44" s="26"/>
      <c r="F44" s="26"/>
      <c r="G44" s="25"/>
      <c r="H44" s="16"/>
      <c r="I44" s="27">
        <f>SUBTOTAL(9,I42:I43)</f>
        <v>73127.038309999989</v>
      </c>
      <c r="J44" s="27">
        <f>SUBTOTAL(9,J42:J43)</f>
        <v>69955.329580000005</v>
      </c>
      <c r="K44" s="27">
        <f>SUBTOTAL(9,K42:K43)</f>
        <v>68884.476289999991</v>
      </c>
      <c r="L44" s="27">
        <f>SUBTOTAL(9,L42:L43)</f>
        <v>3171.7087299999912</v>
      </c>
      <c r="M44" s="27">
        <f>SUBTOTAL(9,M42:M43)</f>
        <v>4242.5620200000012</v>
      </c>
      <c r="N44" s="28">
        <f t="shared" ref="N44:N46" si="305">IFERROR((I44-J44)/ABS(J44),0)</f>
        <v>4.5339057782193125E-2</v>
      </c>
      <c r="O44" s="28">
        <f t="shared" ref="O44:O46" si="306">IFERROR((I44-K44)/ABS(K44),0)</f>
        <v>6.1589522756027588E-2</v>
      </c>
      <c r="P44" s="29"/>
      <c r="Q44" s="27">
        <f>SUBTOTAL(9,Q42:Q43)</f>
        <v>1609.2032900000002</v>
      </c>
      <c r="R44" s="27">
        <f>SUBTOTAL(9,R42:R43)</f>
        <v>2613.0186599999938</v>
      </c>
      <c r="S44" s="27">
        <f>SUBTOTAL(9,S42:S43)</f>
        <v>2026.6234057200829</v>
      </c>
      <c r="T44" s="27">
        <f>SUBTOTAL(9,T42:T43)</f>
        <v>-1003.8153699999937</v>
      </c>
      <c r="U44" s="27">
        <f>SUBTOTAL(9,U42:U43)</f>
        <v>-417.42011572008266</v>
      </c>
      <c r="V44" s="28">
        <f t="shared" si="221"/>
        <v>-0.38415928112813247</v>
      </c>
      <c r="W44" s="28">
        <f t="shared" si="222"/>
        <v>-0.20596826945841404</v>
      </c>
      <c r="X44" s="29"/>
      <c r="Y44" s="27">
        <f>SUBTOTAL(9,Y42:Y43)</f>
        <v>17035.975329999979</v>
      </c>
      <c r="Z44" s="27">
        <f>SUBTOTAL(9,Z42:Z43)</f>
        <v>16793.109279999993</v>
      </c>
      <c r="AA44" s="27">
        <f>SUBTOTAL(9,AA42:AA43)</f>
        <v>15257.864808380955</v>
      </c>
      <c r="AB44" s="27">
        <f>SUBTOTAL(9,AB42:AB43)</f>
        <v>242.86604999998781</v>
      </c>
      <c r="AC44" s="27">
        <f>SUBTOTAL(9,AC42:AC43)</f>
        <v>1778.1105216190263</v>
      </c>
      <c r="AD44" s="28">
        <f t="shared" si="225"/>
        <v>1.4462244361693697E-2</v>
      </c>
      <c r="AE44" s="28">
        <f t="shared" si="226"/>
        <v>0.11653731003320533</v>
      </c>
      <c r="AF44" s="29"/>
      <c r="AG44" s="27">
        <f>SUBTOTAL(9,AG42:AG43)</f>
        <v>-236.76923999999997</v>
      </c>
      <c r="AH44" s="27">
        <f>SUBTOTAL(9,AH42:AH43)</f>
        <v>-462.51498000000004</v>
      </c>
      <c r="AI44" s="27">
        <f>SUBTOTAL(9,AI42:AI43)</f>
        <v>-266.22333000000003</v>
      </c>
      <c r="AJ44" s="27">
        <f>SUBTOTAL(9,AJ42:AJ43)</f>
        <v>225.74574000000001</v>
      </c>
      <c r="AK44" s="27">
        <f>SUBTOTAL(9,AK42:AK43)</f>
        <v>29.454090000000036</v>
      </c>
      <c r="AL44" s="28">
        <f t="shared" si="229"/>
        <v>0.48808308868179806</v>
      </c>
      <c r="AM44" s="28">
        <f t="shared" si="230"/>
        <v>0.11063677251726985</v>
      </c>
      <c r="AN44" s="29"/>
      <c r="AO44" s="27">
        <f>SUBTOTAL(9,AO42:AO43)</f>
        <v>-1246.44928</v>
      </c>
      <c r="AP44" s="27">
        <f>SUBTOTAL(9,AP42:AP43)</f>
        <v>-1304.6026400000001</v>
      </c>
      <c r="AQ44" s="27">
        <f>SUBTOTAL(9,AQ42:AQ43)</f>
        <v>-1150.6807745780295</v>
      </c>
      <c r="AR44" s="27">
        <f>SUBTOTAL(9,AR42:AR43)</f>
        <v>58.153360000000077</v>
      </c>
      <c r="AS44" s="27">
        <f>SUBTOTAL(9,AS42:AS43)</f>
        <v>-95.768505421970531</v>
      </c>
      <c r="AT44" s="28">
        <f t="shared" si="233"/>
        <v>4.4575534509113071E-2</v>
      </c>
      <c r="AU44" s="28">
        <f t="shared" si="234"/>
        <v>-8.3227692282501334E-2</v>
      </c>
      <c r="AV44" s="17"/>
      <c r="AW44" s="27">
        <f>SUBTOTAL(9,AW42:AW43)</f>
        <v>15552.756809999981</v>
      </c>
      <c r="AX44" s="27">
        <f>SUBTOTAL(9,AX42:AX43)</f>
        <v>15025.991659999996</v>
      </c>
      <c r="AY44" s="27">
        <f>SUBTOTAL(9,AY42:AY43)</f>
        <v>13840.960703802924</v>
      </c>
      <c r="AZ44" s="27">
        <f>SUBTOTAL(9,AZ42:AZ43)</f>
        <v>526.76514999998471</v>
      </c>
      <c r="BA44" s="27">
        <f>SUBTOTAL(9,BA42:BA43)</f>
        <v>1711.7961061970559</v>
      </c>
      <c r="BB44" s="28">
        <f t="shared" si="237"/>
        <v>3.5056930811579116E-2</v>
      </c>
      <c r="BC44" s="28">
        <f t="shared" si="238"/>
        <v>0.12367610477549622</v>
      </c>
      <c r="BD44" s="17"/>
      <c r="BE44" s="27">
        <f>SUBTOTAL(9,BE42:BE43)</f>
        <v>-4229.5296300000018</v>
      </c>
      <c r="BF44" s="27">
        <f>SUBTOTAL(9,BF42:BF43)</f>
        <v>-4800.5959999999995</v>
      </c>
      <c r="BG44" s="27">
        <f>SUBTOTAL(9,BG42:BG43)</f>
        <v>-4406.6219999999994</v>
      </c>
      <c r="BH44" s="27">
        <f>SUBTOTAL(9,BH42:BH43)</f>
        <v>571.06636999999841</v>
      </c>
      <c r="BI44" s="27">
        <f>SUBTOTAL(9,BI42:BI43)</f>
        <v>177.09236999999825</v>
      </c>
      <c r="BJ44" s="28">
        <f t="shared" si="241"/>
        <v>0.11895738987409017</v>
      </c>
      <c r="BK44" s="28">
        <f t="shared" si="242"/>
        <v>4.0187783295231039E-2</v>
      </c>
      <c r="BL44" s="17"/>
      <c r="BM44" s="27">
        <f>SUBTOTAL(9,BM42:BM43)</f>
        <v>-1181.4109599999997</v>
      </c>
      <c r="BN44" s="27">
        <f>SUBTOTAL(9,BN42:BN43)</f>
        <v>-1177.03298</v>
      </c>
      <c r="BO44" s="27">
        <f>SUBTOTAL(9,BO42:BO43)</f>
        <v>-1187.1512700000001</v>
      </c>
      <c r="BP44" s="27">
        <f>SUBTOTAL(9,BP42:BP43)</f>
        <v>-4.3779799999997522</v>
      </c>
      <c r="BQ44" s="27">
        <f>SUBTOTAL(9,BQ42:BQ43)</f>
        <v>5.7403100000002496</v>
      </c>
      <c r="BR44" s="28">
        <f t="shared" si="245"/>
        <v>-3.7195049538881675E-3</v>
      </c>
      <c r="BS44" s="28">
        <f t="shared" si="246"/>
        <v>4.8353652521471533E-3</v>
      </c>
      <c r="BT44" s="17"/>
      <c r="BU44" s="27">
        <f>SUBTOTAL(9,BU42:BU43)</f>
        <v>-2561.7106799999997</v>
      </c>
      <c r="BV44" s="27">
        <f>SUBTOTAL(9,BV42:BV43)</f>
        <v>-2421.0871799999995</v>
      </c>
      <c r="BW44" s="27">
        <f>SUBTOTAL(9,BW42:BW43)</f>
        <v>-2233.8490600000005</v>
      </c>
      <c r="BX44" s="27">
        <f>SUBTOTAL(9,BX42:BX43)</f>
        <v>-140.62349999999992</v>
      </c>
      <c r="BY44" s="27">
        <f>SUBTOTAL(9,BY42:BY43)</f>
        <v>-327.86161999999945</v>
      </c>
      <c r="BZ44" s="28">
        <f t="shared" si="249"/>
        <v>-5.8082790723793833E-2</v>
      </c>
      <c r="CA44" s="28">
        <f t="shared" si="250"/>
        <v>-0.14676981801089065</v>
      </c>
      <c r="CB44" s="17"/>
      <c r="CC44" s="27">
        <f>SUBTOTAL(9,CC42:CC43)</f>
        <v>7580.1055399999786</v>
      </c>
      <c r="CD44" s="27">
        <f>SUBTOTAL(9,CD42:CD43)</f>
        <v>6627.2754999999952</v>
      </c>
      <c r="CE44" s="27">
        <f>SUBTOTAL(9,CE42:CE43)</f>
        <v>6013.3383738029243</v>
      </c>
      <c r="CF44" s="27">
        <f>SUBTOTAL(9,CF42:CF43)</f>
        <v>952.83003999998391</v>
      </c>
      <c r="CG44" s="27">
        <f>SUBTOTAL(9,CG42:CG43)</f>
        <v>1566.7671661970553</v>
      </c>
      <c r="CH44" s="28">
        <f t="shared" si="253"/>
        <v>0.14377401995736924</v>
      </c>
      <c r="CI44" s="28">
        <f t="shared" si="254"/>
        <v>0.26054864516233894</v>
      </c>
      <c r="CJ44" s="17"/>
      <c r="CK44" s="27">
        <f>SUBTOTAL(9,CK42:CK43)</f>
        <v>-3319.9065500000006</v>
      </c>
      <c r="CL44" s="27">
        <f>SUBTOTAL(9,CL42:CL43)</f>
        <v>-1566.13914</v>
      </c>
      <c r="CM44" s="27">
        <f>SUBTOTAL(9,CM42:CM43)</f>
        <v>-1678.8616500000001</v>
      </c>
      <c r="CN44" s="27">
        <f>SUBTOTAL(9,CN42:CN43)</f>
        <v>-1753.7674100000006</v>
      </c>
      <c r="CO44" s="27">
        <f>SUBTOTAL(9,CO42:CO43)</f>
        <v>-1641.0449000000006</v>
      </c>
      <c r="CP44" s="28">
        <f t="shared" si="257"/>
        <v>-1.1198030655181765</v>
      </c>
      <c r="CQ44" s="28">
        <f t="shared" si="258"/>
        <v>-0.97747476690530188</v>
      </c>
      <c r="CR44" s="17"/>
      <c r="CS44" s="27">
        <f>SUBTOTAL(9,CS42:CS43)</f>
        <v>4260.1989899999789</v>
      </c>
      <c r="CT44" s="27">
        <f>SUBTOTAL(9,CT42:CT43)</f>
        <v>5061.136359999995</v>
      </c>
      <c r="CU44" s="27">
        <f>SUBTOTAL(9,CU42:CU43)</f>
        <v>4334.4767238029235</v>
      </c>
      <c r="CV44" s="27">
        <f>SUBTOTAL(9,CV42:CV43)</f>
        <v>-800.9373700000167</v>
      </c>
      <c r="CW44" s="27">
        <f>SUBTOTAL(9,CW42:CW43)</f>
        <v>-74.277733802945363</v>
      </c>
      <c r="CX44" s="28">
        <f t="shared" si="261"/>
        <v>-0.15825247790794889</v>
      </c>
      <c r="CY44" s="28">
        <f t="shared" si="262"/>
        <v>-1.7136493869039812E-2</v>
      </c>
    </row>
    <row r="45" spans="2:103" x14ac:dyDescent="0.85">
      <c r="B45" s="30" t="s">
        <v>83</v>
      </c>
      <c r="C45" s="30"/>
      <c r="D45" s="31"/>
      <c r="E45" s="31"/>
      <c r="F45" s="31"/>
      <c r="G45" s="30"/>
      <c r="H45" s="16"/>
      <c r="I45" s="32">
        <f>SUBTOTAL(9,I42:I44)</f>
        <v>73127.038309999989</v>
      </c>
      <c r="J45" s="32">
        <f t="shared" ref="J45:K45" si="307">SUBTOTAL(9,J42:J44)</f>
        <v>69955.329580000005</v>
      </c>
      <c r="K45" s="32">
        <f t="shared" si="307"/>
        <v>68884.476289999991</v>
      </c>
      <c r="L45" s="32">
        <f t="shared" ref="L45:L46" si="308">I45-J45</f>
        <v>3171.7087299999839</v>
      </c>
      <c r="M45" s="32">
        <f t="shared" ref="M45:M46" si="309">I45-K45</f>
        <v>4242.5620199999976</v>
      </c>
      <c r="N45" s="33">
        <f t="shared" si="305"/>
        <v>4.5339057782193125E-2</v>
      </c>
      <c r="O45" s="33">
        <f t="shared" si="306"/>
        <v>6.1589522756027588E-2</v>
      </c>
      <c r="P45" s="16"/>
      <c r="Q45" s="32">
        <f t="shared" ref="Q45" si="310">SUBTOTAL(9,Q42:Q44)</f>
        <v>1609.2032900000002</v>
      </c>
      <c r="R45" s="32">
        <f t="shared" ref="R45" si="311">SUBTOTAL(9,R42:R44)</f>
        <v>2613.0186599999938</v>
      </c>
      <c r="S45" s="32">
        <f t="shared" ref="S45" si="312">SUBTOTAL(9,S42:S44)</f>
        <v>2026.6234057200829</v>
      </c>
      <c r="T45" s="32">
        <f t="shared" ref="T45" si="313">Q45-R45</f>
        <v>-1003.8153699999937</v>
      </c>
      <c r="U45" s="32">
        <f t="shared" ref="U45" si="314">Q45-S45</f>
        <v>-417.42011572008278</v>
      </c>
      <c r="V45" s="33">
        <f t="shared" si="221"/>
        <v>-0.38415928112813247</v>
      </c>
      <c r="W45" s="33">
        <f t="shared" si="222"/>
        <v>-0.20596826945841404</v>
      </c>
      <c r="X45" s="16"/>
      <c r="Y45" s="32">
        <f t="shared" ref="Y45" si="315">SUBTOTAL(9,Y42:Y44)</f>
        <v>17035.975329999979</v>
      </c>
      <c r="Z45" s="32">
        <f t="shared" ref="Z45" si="316">SUBTOTAL(9,Z42:Z44)</f>
        <v>16793.109279999993</v>
      </c>
      <c r="AA45" s="32">
        <f t="shared" ref="AA45" si="317">SUBTOTAL(9,AA42:AA44)</f>
        <v>15257.864808380955</v>
      </c>
      <c r="AB45" s="32">
        <f t="shared" ref="AB45" si="318">Y45-Z45</f>
        <v>242.86604999998599</v>
      </c>
      <c r="AC45" s="32">
        <f t="shared" ref="AC45" si="319">Y45-AA45</f>
        <v>1778.1105216190244</v>
      </c>
      <c r="AD45" s="33">
        <f t="shared" si="225"/>
        <v>1.4462244361693697E-2</v>
      </c>
      <c r="AE45" s="33">
        <f t="shared" si="226"/>
        <v>0.11653731003320533</v>
      </c>
      <c r="AF45" s="16"/>
      <c r="AG45" s="32">
        <f t="shared" ref="AG45" si="320">SUBTOTAL(9,AG42:AG44)</f>
        <v>-236.76923999999997</v>
      </c>
      <c r="AH45" s="32">
        <f t="shared" ref="AH45" si="321">SUBTOTAL(9,AH42:AH44)</f>
        <v>-462.51498000000004</v>
      </c>
      <c r="AI45" s="32">
        <f t="shared" ref="AI45" si="322">SUBTOTAL(9,AI42:AI44)</f>
        <v>-266.22333000000003</v>
      </c>
      <c r="AJ45" s="32">
        <f t="shared" ref="AJ45" si="323">AG45-AH45</f>
        <v>225.74574000000007</v>
      </c>
      <c r="AK45" s="32">
        <f t="shared" ref="AK45" si="324">AG45-AI45</f>
        <v>29.454090000000065</v>
      </c>
      <c r="AL45" s="33">
        <f t="shared" si="229"/>
        <v>0.48808308868179806</v>
      </c>
      <c r="AM45" s="33">
        <f t="shared" si="230"/>
        <v>0.11063677251726985</v>
      </c>
      <c r="AN45" s="16"/>
      <c r="AO45" s="32">
        <f t="shared" ref="AO45" si="325">SUBTOTAL(9,AO42:AO44)</f>
        <v>-1246.44928</v>
      </c>
      <c r="AP45" s="32">
        <f t="shared" ref="AP45" si="326">SUBTOTAL(9,AP42:AP44)</f>
        <v>-1304.6026400000001</v>
      </c>
      <c r="AQ45" s="32">
        <f t="shared" ref="AQ45" si="327">SUBTOTAL(9,AQ42:AQ44)</f>
        <v>-1150.6807745780295</v>
      </c>
      <c r="AR45" s="32">
        <f t="shared" ref="AR45" si="328">AO45-AP45</f>
        <v>58.153360000000021</v>
      </c>
      <c r="AS45" s="32">
        <f t="shared" ref="AS45" si="329">AO45-AQ45</f>
        <v>-95.768505421970531</v>
      </c>
      <c r="AT45" s="33">
        <f t="shared" si="233"/>
        <v>4.4575534509113071E-2</v>
      </c>
      <c r="AU45" s="33">
        <f t="shared" si="234"/>
        <v>-8.3227692282501334E-2</v>
      </c>
      <c r="AV45" s="16"/>
      <c r="AW45" s="32">
        <f t="shared" ref="AW45" si="330">SUBTOTAL(9,AW42:AW44)</f>
        <v>15552.756809999981</v>
      </c>
      <c r="AX45" s="32">
        <f t="shared" ref="AX45" si="331">SUBTOTAL(9,AX42:AX44)</f>
        <v>15025.991659999996</v>
      </c>
      <c r="AY45" s="32">
        <f t="shared" ref="AY45" si="332">SUBTOTAL(9,AY42:AY44)</f>
        <v>13840.960703802924</v>
      </c>
      <c r="AZ45" s="32">
        <f t="shared" ref="AZ45" si="333">AW45-AX45</f>
        <v>526.76514999998471</v>
      </c>
      <c r="BA45" s="32">
        <f t="shared" ref="BA45" si="334">AW45-AY45</f>
        <v>1711.7961061970564</v>
      </c>
      <c r="BB45" s="33">
        <f t="shared" si="237"/>
        <v>3.5056930811579116E-2</v>
      </c>
      <c r="BC45" s="33">
        <f t="shared" si="238"/>
        <v>0.12367610477549622</v>
      </c>
      <c r="BD45" s="16"/>
      <c r="BE45" s="32">
        <f t="shared" ref="BE45" si="335">SUBTOTAL(9,BE42:BE44)</f>
        <v>-4229.5296300000018</v>
      </c>
      <c r="BF45" s="32">
        <f t="shared" ref="BF45" si="336">SUBTOTAL(9,BF42:BF44)</f>
        <v>-4800.5959999999995</v>
      </c>
      <c r="BG45" s="32">
        <f t="shared" ref="BG45" si="337">SUBTOTAL(9,BG42:BG44)</f>
        <v>-4406.6219999999994</v>
      </c>
      <c r="BH45" s="32">
        <f t="shared" ref="BH45" si="338">BE45-BF45</f>
        <v>571.06636999999773</v>
      </c>
      <c r="BI45" s="32">
        <f t="shared" ref="BI45" si="339">BE45-BG45</f>
        <v>177.09236999999757</v>
      </c>
      <c r="BJ45" s="33">
        <f t="shared" si="241"/>
        <v>0.11895738987409017</v>
      </c>
      <c r="BK45" s="33">
        <f t="shared" si="242"/>
        <v>4.0187783295231039E-2</v>
      </c>
      <c r="BL45" s="16"/>
      <c r="BM45" s="32">
        <f t="shared" ref="BM45" si="340">SUBTOTAL(9,BM42:BM44)</f>
        <v>-1181.4109599999997</v>
      </c>
      <c r="BN45" s="32">
        <f t="shared" ref="BN45" si="341">SUBTOTAL(9,BN42:BN44)</f>
        <v>-1177.03298</v>
      </c>
      <c r="BO45" s="32">
        <f t="shared" ref="BO45" si="342">SUBTOTAL(9,BO42:BO44)</f>
        <v>-1187.1512700000001</v>
      </c>
      <c r="BP45" s="32">
        <f t="shared" ref="BP45" si="343">BM45-BN45</f>
        <v>-4.3779799999997522</v>
      </c>
      <c r="BQ45" s="32">
        <f t="shared" ref="BQ45" si="344">BM45-BO45</f>
        <v>5.7403100000003633</v>
      </c>
      <c r="BR45" s="33">
        <f t="shared" si="245"/>
        <v>-3.7195049538881675E-3</v>
      </c>
      <c r="BS45" s="33">
        <f t="shared" si="246"/>
        <v>4.8353652521471533E-3</v>
      </c>
      <c r="BT45" s="16"/>
      <c r="BU45" s="32">
        <f t="shared" ref="BU45" si="345">SUBTOTAL(9,BU42:BU44)</f>
        <v>-2561.7106799999997</v>
      </c>
      <c r="BV45" s="32">
        <f t="shared" ref="BV45" si="346">SUBTOTAL(9,BV42:BV44)</f>
        <v>-2421.0871799999995</v>
      </c>
      <c r="BW45" s="32">
        <f t="shared" ref="BW45" si="347">SUBTOTAL(9,BW42:BW44)</f>
        <v>-2233.8490600000005</v>
      </c>
      <c r="BX45" s="32">
        <f t="shared" ref="BX45" si="348">BU45-BV45</f>
        <v>-140.62350000000015</v>
      </c>
      <c r="BY45" s="32">
        <f t="shared" ref="BY45" si="349">BU45-BW45</f>
        <v>-327.86161999999922</v>
      </c>
      <c r="BZ45" s="33">
        <f t="shared" si="249"/>
        <v>-5.8082790723793833E-2</v>
      </c>
      <c r="CA45" s="33">
        <f t="shared" si="250"/>
        <v>-0.14676981801089065</v>
      </c>
      <c r="CB45" s="16"/>
      <c r="CC45" s="32">
        <f t="shared" ref="CC45" si="350">SUBTOTAL(9,CC42:CC44)</f>
        <v>7580.1055399999786</v>
      </c>
      <c r="CD45" s="32">
        <f t="shared" ref="CD45" si="351">SUBTOTAL(9,CD42:CD44)</f>
        <v>6627.2754999999952</v>
      </c>
      <c r="CE45" s="32">
        <f t="shared" ref="CE45" si="352">SUBTOTAL(9,CE42:CE44)</f>
        <v>6013.3383738029243</v>
      </c>
      <c r="CF45" s="32">
        <f t="shared" ref="CF45" si="353">CC45-CD45</f>
        <v>952.83003999998346</v>
      </c>
      <c r="CG45" s="32">
        <f t="shared" ref="CG45" si="354">CC45-CE45</f>
        <v>1566.7671661970544</v>
      </c>
      <c r="CH45" s="33">
        <f t="shared" si="253"/>
        <v>0.14377401995736924</v>
      </c>
      <c r="CI45" s="33">
        <f t="shared" si="254"/>
        <v>0.26054864516233894</v>
      </c>
      <c r="CJ45" s="16"/>
      <c r="CK45" s="32">
        <f t="shared" ref="CK45" si="355">SUBTOTAL(9,CK42:CK44)</f>
        <v>-3319.9065500000006</v>
      </c>
      <c r="CL45" s="32">
        <f t="shared" ref="CL45" si="356">SUBTOTAL(9,CL42:CL44)</f>
        <v>-1566.13914</v>
      </c>
      <c r="CM45" s="32">
        <f t="shared" ref="CM45" si="357">SUBTOTAL(9,CM42:CM44)</f>
        <v>-1678.8616500000001</v>
      </c>
      <c r="CN45" s="32">
        <f t="shared" ref="CN45" si="358">CK45-CL45</f>
        <v>-1753.7674100000006</v>
      </c>
      <c r="CO45" s="32">
        <f t="shared" ref="CO45" si="359">CK45-CM45</f>
        <v>-1641.0449000000006</v>
      </c>
      <c r="CP45" s="33">
        <f t="shared" si="257"/>
        <v>-1.1198030655181765</v>
      </c>
      <c r="CQ45" s="33">
        <f t="shared" si="258"/>
        <v>-0.97747476690530188</v>
      </c>
      <c r="CR45" s="16"/>
      <c r="CS45" s="32">
        <f t="shared" ref="CS45" si="360">SUBTOTAL(9,CS42:CS44)</f>
        <v>4260.1989899999789</v>
      </c>
      <c r="CT45" s="32">
        <f t="shared" ref="CT45" si="361">SUBTOTAL(9,CT42:CT44)</f>
        <v>5061.136359999995</v>
      </c>
      <c r="CU45" s="32">
        <f t="shared" ref="CU45" si="362">SUBTOTAL(9,CU42:CU44)</f>
        <v>4334.4767238029235</v>
      </c>
      <c r="CV45" s="32">
        <f t="shared" ref="CV45" si="363">CS45-CT45</f>
        <v>-800.93737000001602</v>
      </c>
      <c r="CW45" s="32">
        <f t="shared" ref="CW45" si="364">CS45-CU45</f>
        <v>-74.277733802944567</v>
      </c>
      <c r="CX45" s="33">
        <f t="shared" si="261"/>
        <v>-0.15825247790794889</v>
      </c>
      <c r="CY45" s="33">
        <f t="shared" si="262"/>
        <v>-1.7136493869039812E-2</v>
      </c>
    </row>
    <row r="46" spans="2:103" x14ac:dyDescent="0.85">
      <c r="B46" s="34" t="s">
        <v>42</v>
      </c>
      <c r="C46" s="34"/>
      <c r="D46" s="35"/>
      <c r="E46" s="35"/>
      <c r="F46" s="35"/>
      <c r="G46" s="34"/>
      <c r="H46" s="16"/>
      <c r="I46" s="36">
        <f>SUBTOTAL(9,I6:I45)</f>
        <v>664953.09173999995</v>
      </c>
      <c r="J46" s="36">
        <f>SUBTOTAL(9,J6:J45)</f>
        <v>675599.34236999985</v>
      </c>
      <c r="K46" s="36">
        <f>SUBTOTAL(9,K6:K45)</f>
        <v>676186.75008999999</v>
      </c>
      <c r="L46" s="36">
        <f t="shared" si="308"/>
        <v>-10646.250629999908</v>
      </c>
      <c r="M46" s="36">
        <f t="shared" si="309"/>
        <v>-11233.658350000042</v>
      </c>
      <c r="N46" s="37">
        <f t="shared" si="305"/>
        <v>-1.5758231191659988E-2</v>
      </c>
      <c r="O46" s="37">
        <f t="shared" si="306"/>
        <v>-1.661324826093509E-2</v>
      </c>
      <c r="P46" s="29"/>
      <c r="Q46" s="36">
        <f>SUBTOTAL(9,Q6:Q45)</f>
        <v>25267.827389999995</v>
      </c>
      <c r="R46" s="36">
        <f>SUBTOTAL(9,R6:R45)</f>
        <v>34557.180349999995</v>
      </c>
      <c r="S46" s="36">
        <f>SUBTOTAL(9,S6:S45)</f>
        <v>34161.963134695288</v>
      </c>
      <c r="T46" s="36">
        <f t="shared" ref="T45:T46" si="365">Q46-R46</f>
        <v>-9289.3529600000002</v>
      </c>
      <c r="U46" s="36">
        <f t="shared" ref="U45:U46" si="366">Q46-S46</f>
        <v>-8894.1357446952934</v>
      </c>
      <c r="V46" s="37">
        <f t="shared" ref="V45:V46" si="367">IFERROR((Q46-R46)/ABS(R46),0)</f>
        <v>-0.26881107966321682</v>
      </c>
      <c r="W46" s="37">
        <f t="shared" ref="W45:W46" si="368">IFERROR((Q46-S46)/ABS(S46),0)</f>
        <v>-0.2603520093276579</v>
      </c>
      <c r="X46" s="29"/>
      <c r="Y46" s="36">
        <f>SUBTOTAL(9,Y6:Y45)</f>
        <v>158749.96875</v>
      </c>
      <c r="Z46" s="36">
        <f>SUBTOTAL(9,Z6:Z45)</f>
        <v>165454.97775000002</v>
      </c>
      <c r="AA46" s="36">
        <f>SUBTOTAL(9,AA6:AA45)</f>
        <v>157464.0232578284</v>
      </c>
      <c r="AB46" s="36">
        <f t="shared" ref="AB45:AB46" si="369">Y46-Z46</f>
        <v>-6705.00900000002</v>
      </c>
      <c r="AC46" s="36">
        <f t="shared" ref="AC45:AC46" si="370">Y46-AA46</f>
        <v>1285.9454921715951</v>
      </c>
      <c r="AD46" s="37">
        <f t="shared" ref="AD45:AD46" si="371">IFERROR((Y46-Z46)/ABS(Z46),0)</f>
        <v>-4.0524673788486364E-2</v>
      </c>
      <c r="AE46" s="37">
        <f t="shared" ref="AE45:AE46" si="372">IFERROR((Y46-AA46)/ABS(AA46),0)</f>
        <v>8.1665987288157497E-3</v>
      </c>
      <c r="AF46" s="29"/>
      <c r="AG46" s="36">
        <f>SUBTOTAL(9,AG6:AG45)</f>
        <v>-2235.3481400000005</v>
      </c>
      <c r="AH46" s="36">
        <f>SUBTOTAL(9,AH6:AH45)</f>
        <v>-4168.7273699999996</v>
      </c>
      <c r="AI46" s="36">
        <f>SUBTOTAL(9,AI6:AI45)</f>
        <v>-3218.62988</v>
      </c>
      <c r="AJ46" s="36">
        <f t="shared" ref="AJ45:AJ46" si="373">AG46-AH46</f>
        <v>1933.3792299999991</v>
      </c>
      <c r="AK46" s="36">
        <f t="shared" ref="AK45:AK46" si="374">AG46-AI46</f>
        <v>983.28173999999944</v>
      </c>
      <c r="AL46" s="37">
        <f t="shared" ref="AL45:AL46" si="375">IFERROR((AG46-AH46)/ABS(AH46),0)</f>
        <v>0.46378164326922616</v>
      </c>
      <c r="AM46" s="37">
        <f t="shared" ref="AM45:AM46" si="376">IFERROR((AG46-AI46)/ABS(AI46),0)</f>
        <v>0.30549698991795832</v>
      </c>
      <c r="AN46" s="29"/>
      <c r="AO46" s="36">
        <f>SUBTOTAL(9,AO6:AO45)</f>
        <v>-11395.906300000001</v>
      </c>
      <c r="AP46" s="36">
        <f>SUBTOTAL(9,AP6:AP45)</f>
        <v>-12527.006570000001</v>
      </c>
      <c r="AQ46" s="36">
        <f>SUBTOTAL(9,AQ6:AQ45)</f>
        <v>-10988.856316323552</v>
      </c>
      <c r="AR46" s="36">
        <f t="shared" ref="AR45:AR46" si="377">AO46-AP46</f>
        <v>1131.1002700000008</v>
      </c>
      <c r="AS46" s="36">
        <f t="shared" ref="AS45:AS46" si="378">AO46-AQ46</f>
        <v>-407.04998367644839</v>
      </c>
      <c r="AT46" s="37">
        <f t="shared" ref="AT45:AT46" si="379">IFERROR((AO46-AP46)/ABS(AP46),0)</f>
        <v>9.0292941388630615E-2</v>
      </c>
      <c r="AU46" s="37">
        <f t="shared" ref="AU45:AU46" si="380">IFERROR((AO46-AQ46)/ABS(AQ46),0)</f>
        <v>-3.7042069889638124E-2</v>
      </c>
      <c r="AV46" s="17"/>
      <c r="AW46" s="36">
        <f>SUBTOTAL(9,AW6:AW45)</f>
        <v>145118.71430999998</v>
      </c>
      <c r="AX46" s="36">
        <f>SUBTOTAL(9,AX6:AX45)</f>
        <v>148759.24381000001</v>
      </c>
      <c r="AY46" s="36">
        <f>SUBTOTAL(9,AY6:AY45)</f>
        <v>143256.53706150482</v>
      </c>
      <c r="AZ46" s="36">
        <f t="shared" ref="AZ45:AZ46" si="381">AW46-AX46</f>
        <v>-3640.5295000000333</v>
      </c>
      <c r="BA46" s="36">
        <f t="shared" ref="BA45:BA46" si="382">AW46-AY46</f>
        <v>1862.1772484951653</v>
      </c>
      <c r="BB46" s="37">
        <f t="shared" ref="BB45:BB46" si="383">IFERROR((AW46-AX46)/ABS(AX46),0)</f>
        <v>-2.4472627090319391E-2</v>
      </c>
      <c r="BC46" s="37">
        <f t="shared" ref="BC45:BC46" si="384">IFERROR((AW46-AY46)/ABS(AY46),0)</f>
        <v>1.2998898945153688E-2</v>
      </c>
      <c r="BD46" s="17"/>
      <c r="BE46" s="36">
        <f>SUBTOTAL(9,BE6:BE45)</f>
        <v>-45899.261800000015</v>
      </c>
      <c r="BF46" s="36">
        <f>SUBTOTAL(9,BF6:BF45)</f>
        <v>-46209.78669999999</v>
      </c>
      <c r="BG46" s="36">
        <f>SUBTOTAL(9,BG6:BG45)</f>
        <v>-45900.513010000002</v>
      </c>
      <c r="BH46" s="36">
        <f t="shared" ref="BH45:BH46" si="385">BE46-BF46</f>
        <v>310.52489999997488</v>
      </c>
      <c r="BI46" s="36">
        <f t="shared" ref="BI45:BI46" si="386">BE46-BG46</f>
        <v>1.2512099999876227</v>
      </c>
      <c r="BJ46" s="37">
        <f t="shared" ref="BJ45:BJ46" si="387">IFERROR((BE46-BF46)/ABS(BF46),0)</f>
        <v>6.7198946841270516E-3</v>
      </c>
      <c r="BK46" s="37">
        <f t="shared" ref="BK45:BK46" si="388">IFERROR((BE46-BG46)/ABS(BG46),0)</f>
        <v>2.7259172456635308E-5</v>
      </c>
      <c r="BL46" s="17"/>
      <c r="BM46" s="36">
        <f>SUBTOTAL(9,BM6:BM45)</f>
        <v>-16420.033899999999</v>
      </c>
      <c r="BN46" s="36">
        <f>SUBTOTAL(9,BN6:BN45)</f>
        <v>-17105.668890000001</v>
      </c>
      <c r="BO46" s="36">
        <f>SUBTOTAL(9,BO6:BO45)</f>
        <v>-17785.388740000002</v>
      </c>
      <c r="BP46" s="36">
        <f t="shared" ref="BP45:BP46" si="389">BM46-BN46</f>
        <v>685.63499000000229</v>
      </c>
      <c r="BQ46" s="36">
        <f t="shared" ref="BQ45:BQ46" si="390">BM46-BO46</f>
        <v>1365.3548400000036</v>
      </c>
      <c r="BR46" s="37">
        <f t="shared" ref="BR45:BR46" si="391">IFERROR((BM46-BN46)/ABS(BN46),0)</f>
        <v>4.0082325596798238E-2</v>
      </c>
      <c r="BS46" s="37">
        <f t="shared" ref="BS45:BS46" si="392">IFERROR((BM46-BO46)/ABS(BO46),0)</f>
        <v>7.6768343945683326E-2</v>
      </c>
      <c r="BT46" s="17"/>
      <c r="BU46" s="36">
        <f>SUBTOTAL(9,BU6:BU45)</f>
        <v>-27506.979389999997</v>
      </c>
      <c r="BV46" s="36">
        <f>SUBTOTAL(9,BV6:BV45)</f>
        <v>-26669.180969999998</v>
      </c>
      <c r="BW46" s="36">
        <f>SUBTOTAL(9,BW6:BW45)</f>
        <v>-26593.736960000002</v>
      </c>
      <c r="BX46" s="36">
        <f t="shared" ref="BX45:BX46" si="393">BU46-BV46</f>
        <v>-837.79841999999917</v>
      </c>
      <c r="BY46" s="36">
        <f t="shared" ref="BY45:BY46" si="394">BU46-BW46</f>
        <v>-913.24242999999478</v>
      </c>
      <c r="BZ46" s="37">
        <f t="shared" ref="BZ45:BZ46" si="395">IFERROR((BU46-BV46)/ABS(BV46),0)</f>
        <v>-3.1414478792672097E-2</v>
      </c>
      <c r="CA46" s="37">
        <f t="shared" ref="CA45:CA46" si="396">IFERROR((BU46-BW46)/ABS(BW46),0)</f>
        <v>-3.4340507743368866E-2</v>
      </c>
      <c r="CB46" s="17"/>
      <c r="CC46" s="36">
        <f>SUBTOTAL(9,CC6:CC45)</f>
        <v>55292.439219999986</v>
      </c>
      <c r="CD46" s="36">
        <f>SUBTOTAL(9,CD6:CD45)</f>
        <v>58774.607250000015</v>
      </c>
      <c r="CE46" s="36">
        <f>SUBTOTAL(9,CE6:CE45)</f>
        <v>52976.898351504846</v>
      </c>
      <c r="CF46" s="36">
        <f t="shared" ref="CF45:CF46" si="397">CC46-CD46</f>
        <v>-3482.1680300000298</v>
      </c>
      <c r="CG46" s="36">
        <f t="shared" ref="CG45:CG46" si="398">CC46-CE46</f>
        <v>2315.5408684951399</v>
      </c>
      <c r="CH46" s="37">
        <f t="shared" ref="CH45:CH46" si="399">IFERROR((CC46-CD46)/ABS(CD46),0)</f>
        <v>-5.9246130138964542E-2</v>
      </c>
      <c r="CI46" s="37">
        <f t="shared" ref="CI45:CI46" si="400">IFERROR((CC46-CE46)/ABS(CE46),0)</f>
        <v>4.3708502017830296E-2</v>
      </c>
      <c r="CJ46" s="17"/>
      <c r="CK46" s="36">
        <f>SUBTOTAL(9,CK6:CK45)</f>
        <v>-17957.092630000003</v>
      </c>
      <c r="CL46" s="36">
        <f>SUBTOTAL(9,CL6:CL45)</f>
        <v>-15539.098289999998</v>
      </c>
      <c r="CM46" s="36">
        <f>SUBTOTAL(9,CM6:CM45)</f>
        <v>-14047.160290000002</v>
      </c>
      <c r="CN46" s="36">
        <f t="shared" ref="CN45:CN46" si="401">CK46-CL46</f>
        <v>-2417.9943400000047</v>
      </c>
      <c r="CO46" s="36">
        <f t="shared" ref="CO45:CO46" si="402">CK46-CM46</f>
        <v>-3909.9323400000012</v>
      </c>
      <c r="CP46" s="37">
        <f t="shared" ref="CP45:CP46" si="403">IFERROR((CK46-CL46)/ABS(CL46),0)</f>
        <v>-0.15560712049527844</v>
      </c>
      <c r="CQ46" s="37">
        <f t="shared" ref="CQ45:CQ46" si="404">IFERROR((CK46-CM46)/ABS(CM46),0)</f>
        <v>-0.27834325652163544</v>
      </c>
      <c r="CR46" s="17"/>
      <c r="CS46" s="36">
        <f>SUBTOTAL(9,CS6:CS45)</f>
        <v>37335.346589999986</v>
      </c>
      <c r="CT46" s="36">
        <f>SUBTOTAL(9,CT6:CT45)</f>
        <v>43235.508960000014</v>
      </c>
      <c r="CU46" s="36">
        <f>SUBTOTAL(9,CU6:CU45)</f>
        <v>38929.738061504846</v>
      </c>
      <c r="CV46" s="36">
        <f>SUBTOTAL(9,CV6:CV44)</f>
        <v>-10327.365970000028</v>
      </c>
      <c r="CW46" s="36">
        <f>SUBTOTAL(9,CW6:CW44)</f>
        <v>-4893.6581108492192</v>
      </c>
      <c r="CX46" s="37">
        <f t="shared" ref="CX45:CX46" si="405">IFERROR((CS46-CT46)/ABS(CT46),0)</f>
        <v>-0.13646566241324121</v>
      </c>
      <c r="CY46" s="37">
        <f t="shared" ref="CY45:CY46" si="406">IFERROR((CS46-CU46)/ABS(CU46),0)</f>
        <v>-4.0955617758996747E-2</v>
      </c>
    </row>
  </sheetData>
  <autoFilter ref="A5:CY45" xr:uid="{1FC4C073-4A9D-441A-B3EB-9A90D2580A7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730B-D219-4918-AA6D-F0DA25AE0BB9}">
  <sheetPr>
    <tabColor theme="9" tint="0.79998168889431442"/>
  </sheetPr>
  <dimension ref="B1:AQ46"/>
  <sheetViews>
    <sheetView showGridLines="0" zoomScale="90" zoomScaleNormal="90" workbookViewId="0">
      <pane xSplit="7" ySplit="5" topLeftCell="H33" activePane="bottomRight" state="frozen"/>
      <selection pane="topRight" activeCell="H1" sqref="H1"/>
      <selection pane="bottomLeft" activeCell="A6" sqref="A6"/>
      <selection pane="bottomRight" activeCell="B5" sqref="B5"/>
    </sheetView>
  </sheetViews>
  <sheetFormatPr defaultColWidth="8.73046875" defaultRowHeight="18.399999999999999" outlineLevelRow="3" x14ac:dyDescent="0.85"/>
  <cols>
    <col min="1" max="1" width="1.06640625" style="5" customWidth="1"/>
    <col min="2" max="2" width="10.06640625" style="1" customWidth="1"/>
    <col min="3" max="3" width="11" style="1" customWidth="1"/>
    <col min="4" max="4" width="7.46484375" style="5" customWidth="1"/>
    <col min="5" max="5" width="9.06640625" style="5" customWidth="1"/>
    <col min="6" max="6" width="8" style="5" customWidth="1"/>
    <col min="7" max="7" width="6" style="1" customWidth="1"/>
    <col min="8" max="8" width="0.73046875" style="1" customWidth="1"/>
    <col min="9" max="9" width="10.33203125" style="3" bestFit="1" customWidth="1"/>
    <col min="10" max="10" width="10.796875" style="3" bestFit="1" customWidth="1"/>
    <col min="11" max="11" width="0.73046875" style="4" customWidth="1"/>
    <col min="12" max="12" width="10.33203125" style="3" bestFit="1" customWidth="1"/>
    <col min="13" max="13" width="10.796875" style="3" bestFit="1" customWidth="1"/>
    <col min="14" max="14" width="0.73046875" style="4" customWidth="1"/>
    <col min="15" max="15" width="8.796875" style="3" bestFit="1" customWidth="1"/>
    <col min="16" max="16" width="10.796875" style="3" bestFit="1" customWidth="1"/>
    <col min="17" max="17" width="0.73046875" style="4" customWidth="1"/>
    <col min="18" max="18" width="10.33203125" style="3" bestFit="1" customWidth="1"/>
    <col min="19" max="19" width="10.796875" style="3" bestFit="1" customWidth="1"/>
    <col min="20" max="20" width="0.73046875" style="4" customWidth="1"/>
    <col min="21" max="21" width="10.33203125" style="3" bestFit="1" customWidth="1"/>
    <col min="22" max="22" width="10.796875" style="3" bestFit="1" customWidth="1"/>
    <col min="23" max="23" width="0.73046875" style="4" customWidth="1"/>
    <col min="24" max="24" width="10.33203125" style="3" bestFit="1" customWidth="1"/>
    <col min="25" max="25" width="10.796875" style="3" bestFit="1" customWidth="1"/>
    <col min="26" max="26" width="0.73046875" style="4" customWidth="1"/>
    <col min="27" max="27" width="12.9296875" style="3" bestFit="1" customWidth="1"/>
    <col min="28" max="28" width="10.796875" style="3" bestFit="1" customWidth="1"/>
    <col min="29" max="29" width="0.73046875" style="4" customWidth="1"/>
    <col min="30" max="30" width="10.33203125" style="3" bestFit="1" customWidth="1"/>
    <col min="31" max="31" width="10.796875" style="3" bestFit="1" customWidth="1"/>
    <col min="32" max="32" width="0.73046875" style="4" customWidth="1"/>
    <col min="33" max="33" width="10.33203125" style="3" bestFit="1" customWidth="1"/>
    <col min="34" max="34" width="10.796875" style="3" bestFit="1" customWidth="1"/>
    <col min="35" max="35" width="0.73046875" style="4" customWidth="1"/>
    <col min="36" max="36" width="10.33203125" style="3" bestFit="1" customWidth="1"/>
    <col min="37" max="37" width="10.796875" style="3" bestFit="1" customWidth="1"/>
    <col min="38" max="38" width="0.73046875" style="4" customWidth="1"/>
    <col min="39" max="39" width="10.33203125" style="3" bestFit="1" customWidth="1"/>
    <col min="40" max="40" width="10.796875" style="3" bestFit="1" customWidth="1"/>
    <col min="41" max="41" width="0.73046875" style="4" customWidth="1"/>
    <col min="42" max="42" width="10.33203125" style="3" bestFit="1" customWidth="1"/>
    <col min="43" max="43" width="10.796875" style="3" bestFit="1" customWidth="1"/>
    <col min="44" max="16384" width="8.73046875" style="5"/>
  </cols>
  <sheetData>
    <row r="1" spans="2:43" ht="9.5" customHeight="1" x14ac:dyDescent="0.85">
      <c r="D1" s="2"/>
      <c r="E1" s="2"/>
      <c r="F1" s="2"/>
    </row>
    <row r="2" spans="2:43" ht="20.65" x14ac:dyDescent="0.9">
      <c r="B2" s="6" t="s">
        <v>90</v>
      </c>
      <c r="D2" s="2"/>
      <c r="E2" s="2"/>
      <c r="F2" s="2"/>
      <c r="V2" s="8"/>
      <c r="Y2" s="8"/>
    </row>
    <row r="3" spans="2:43" x14ac:dyDescent="0.85">
      <c r="B3" s="9" t="s">
        <v>0</v>
      </c>
      <c r="D3" s="2"/>
      <c r="E3" s="2"/>
      <c r="F3" s="2"/>
      <c r="I3" s="7"/>
      <c r="L3" s="7"/>
      <c r="O3" s="7"/>
      <c r="R3" s="7"/>
      <c r="U3" s="19"/>
      <c r="V3" s="19"/>
      <c r="X3" s="19"/>
      <c r="Y3" s="19"/>
    </row>
    <row r="4" spans="2:43" x14ac:dyDescent="0.85">
      <c r="B4" s="20"/>
      <c r="C4" s="20"/>
      <c r="D4" s="21"/>
      <c r="E4" s="21"/>
      <c r="F4" s="21"/>
      <c r="G4" s="20"/>
      <c r="H4" s="10"/>
      <c r="I4" s="11" t="s">
        <v>1</v>
      </c>
      <c r="J4" s="11"/>
      <c r="K4" s="12"/>
      <c r="L4" s="11" t="s">
        <v>56</v>
      </c>
      <c r="M4" s="11"/>
      <c r="N4" s="12"/>
      <c r="O4" s="11" t="s">
        <v>57</v>
      </c>
      <c r="P4" s="11"/>
      <c r="Q4" s="12"/>
      <c r="R4" s="11" t="s">
        <v>2</v>
      </c>
      <c r="S4" s="11"/>
      <c r="T4" s="12"/>
      <c r="U4" s="11" t="s">
        <v>58</v>
      </c>
      <c r="V4" s="11"/>
      <c r="W4" s="12"/>
      <c r="X4" s="11" t="s">
        <v>59</v>
      </c>
      <c r="Y4" s="11"/>
      <c r="Z4" s="12"/>
      <c r="AA4" s="11" t="s">
        <v>3</v>
      </c>
      <c r="AB4" s="11"/>
      <c r="AC4" s="12"/>
      <c r="AD4" s="11" t="s">
        <v>4</v>
      </c>
      <c r="AE4" s="11"/>
      <c r="AF4" s="12"/>
      <c r="AG4" s="11" t="s">
        <v>60</v>
      </c>
      <c r="AH4" s="11"/>
      <c r="AI4" s="12"/>
      <c r="AJ4" s="11" t="s">
        <v>61</v>
      </c>
      <c r="AK4" s="11"/>
      <c r="AL4" s="12"/>
      <c r="AM4" s="11" t="s">
        <v>62</v>
      </c>
      <c r="AN4" s="11"/>
      <c r="AO4" s="12"/>
      <c r="AP4" s="11" t="s">
        <v>5</v>
      </c>
      <c r="AQ4" s="11"/>
    </row>
    <row r="5" spans="2:43" s="15" customFormat="1" ht="25.5" customHeight="1" x14ac:dyDescent="0.85">
      <c r="B5" s="22" t="s">
        <v>6</v>
      </c>
      <c r="C5" s="22" t="s">
        <v>7</v>
      </c>
      <c r="D5" s="22" t="s">
        <v>8</v>
      </c>
      <c r="E5" s="22" t="s">
        <v>9</v>
      </c>
      <c r="F5" s="22" t="s">
        <v>10</v>
      </c>
      <c r="G5" s="22" t="s">
        <v>11</v>
      </c>
      <c r="H5" s="13"/>
      <c r="I5" s="23" t="s">
        <v>87</v>
      </c>
      <c r="J5" s="23" t="s">
        <v>88</v>
      </c>
      <c r="K5" s="14"/>
      <c r="L5" s="23" t="s">
        <v>87</v>
      </c>
      <c r="M5" s="23" t="s">
        <v>88</v>
      </c>
      <c r="N5" s="14"/>
      <c r="O5" s="23" t="s">
        <v>87</v>
      </c>
      <c r="P5" s="23" t="s">
        <v>88</v>
      </c>
      <c r="Q5" s="14"/>
      <c r="R5" s="23" t="s">
        <v>87</v>
      </c>
      <c r="S5" s="23" t="s">
        <v>88</v>
      </c>
      <c r="T5" s="14"/>
      <c r="U5" s="23" t="s">
        <v>87</v>
      </c>
      <c r="V5" s="23" t="s">
        <v>88</v>
      </c>
      <c r="W5" s="14"/>
      <c r="X5" s="23" t="s">
        <v>87</v>
      </c>
      <c r="Y5" s="23" t="s">
        <v>88</v>
      </c>
      <c r="Z5" s="14"/>
      <c r="AA5" s="23" t="s">
        <v>87</v>
      </c>
      <c r="AB5" s="23" t="s">
        <v>88</v>
      </c>
      <c r="AC5" s="14"/>
      <c r="AD5" s="23" t="s">
        <v>87</v>
      </c>
      <c r="AE5" s="23" t="s">
        <v>88</v>
      </c>
      <c r="AF5" s="14"/>
      <c r="AG5" s="23" t="s">
        <v>87</v>
      </c>
      <c r="AH5" s="23" t="s">
        <v>88</v>
      </c>
      <c r="AI5" s="14"/>
      <c r="AJ5" s="23" t="s">
        <v>87</v>
      </c>
      <c r="AK5" s="23" t="s">
        <v>88</v>
      </c>
      <c r="AL5" s="14"/>
      <c r="AM5" s="23" t="s">
        <v>87</v>
      </c>
      <c r="AN5" s="23" t="s">
        <v>88</v>
      </c>
      <c r="AO5" s="14"/>
      <c r="AP5" s="23" t="s">
        <v>87</v>
      </c>
      <c r="AQ5" s="23" t="s">
        <v>88</v>
      </c>
    </row>
    <row r="6" spans="2:43" outlineLevel="2" x14ac:dyDescent="0.85">
      <c r="B6" s="1" t="s">
        <v>91</v>
      </c>
      <c r="C6" s="1" t="s">
        <v>63</v>
      </c>
      <c r="D6" s="2">
        <v>110</v>
      </c>
      <c r="E6" s="1" t="s">
        <v>14</v>
      </c>
      <c r="F6" s="2" t="s">
        <v>13</v>
      </c>
      <c r="G6" s="1" t="s">
        <v>64</v>
      </c>
      <c r="I6" s="3">
        <f>SUMIFS('Y2025B &amp; Y2024A'!$D:$D,'Y2025B &amp; Y2024A'!$B:$B,$D6,'Y2025B &amp; Y2024A'!$C:$C,$I$4)</f>
        <v>74279.883180000004</v>
      </c>
      <c r="J6" s="3">
        <f>SUMIFS('Y2025B &amp; Y2024A'!$F:$F,'Y2025B &amp; Y2024A'!$B:$B,$D6,'Y2025B &amp; Y2024A'!$C:$C,$I$4)</f>
        <v>72771.664789999995</v>
      </c>
      <c r="K6" s="24"/>
      <c r="L6" s="3">
        <f>SUMIFS('Y2025B &amp; Y2024A'!$D:$D,'Y2025B &amp; Y2024A'!$B:$B,$D6,'Y2025B &amp; Y2024A'!$C:$C,$L$4)</f>
        <v>7450.6475099999998</v>
      </c>
      <c r="M6" s="3">
        <f>SUMIFS('Y2025B &amp; Y2024A'!$F:$F,'Y2025B &amp; Y2024A'!$B:$B,$D6,'Y2025B &amp; Y2024A'!$C:$C,$L$4)</f>
        <v>7812.0151695025106</v>
      </c>
      <c r="N6" s="24"/>
      <c r="O6" s="3">
        <f>SUMIFS('Y2025B &amp; Y2024A'!$D:$D,'Y2025B &amp; Y2024A'!$B:$B,$D6,'Y2025B &amp; Y2024A'!$C:$C,$O$4)</f>
        <v>21497.114439999994</v>
      </c>
      <c r="P6" s="3">
        <f>SUMIFS('Y2025B &amp; Y2024A'!$F:$F,'Y2025B &amp; Y2024A'!$B:$B,$D6,'Y2025B &amp; Y2024A'!$C:$C,$O$4)</f>
        <v>21139.97180950252</v>
      </c>
      <c r="Q6" s="24"/>
      <c r="R6" s="3">
        <f>SUMIFS('Y2025B &amp; Y2024A'!$D:$D,'Y2025B &amp; Y2024A'!$B:$B,$D6,'Y2025B &amp; Y2024A'!$C:$C,$R$4)</f>
        <v>-398.49456000000004</v>
      </c>
      <c r="S6" s="3">
        <f>SUMIFS('Y2025B &amp; Y2024A'!$F:$F,'Y2025B &amp; Y2024A'!$B:$B,$D6,'Y2025B &amp; Y2024A'!$C:$C,$R$4)</f>
        <v>-352.47011000000003</v>
      </c>
      <c r="T6" s="24"/>
      <c r="U6" s="3">
        <f>SUMIFS('Y2025B &amp; Y2024A'!$D:$D,'Y2025B &amp; Y2024A'!$B:$B,$D6,'Y2025B &amp; Y2024A'!$C:$C,$U$4)</f>
        <v>-1377.3990299999998</v>
      </c>
      <c r="V6" s="3">
        <f>SUMIFS('Y2025B &amp; Y2024A'!$F:$F,'Y2025B &amp; Y2024A'!$B:$B,$D6,'Y2025B &amp; Y2024A'!$C:$C,$U$4)</f>
        <v>-1234.98496</v>
      </c>
      <c r="X6" s="3">
        <f>SUMIFS('Y2025B &amp; Y2024A'!$D:$D,'Y2025B &amp; Y2024A'!$B:$B,$D6,'Y2025B &amp; Y2024A'!$C:$C,$X$4)</f>
        <v>19721.220849999991</v>
      </c>
      <c r="Y6" s="3">
        <f>SUMIFS('Y2025B &amp; Y2024A'!$F:$F,'Y2025B &amp; Y2024A'!$B:$B,$D6,'Y2025B &amp; Y2024A'!$C:$C,$X$4)</f>
        <v>19552.516739502516</v>
      </c>
      <c r="AA6" s="3">
        <f>SUMIFS('Y2025B &amp; Y2024A'!$D:$D,'Y2025B &amp; Y2024A'!$B:$B,$D6,'Y2025B &amp; Y2024A'!$C:$C,$AA$4)</f>
        <v>-5261.5625499999996</v>
      </c>
      <c r="AB6" s="3">
        <f>SUMIFS('Y2025B &amp; Y2024A'!$F:$F,'Y2025B &amp; Y2024A'!$B:$B,$D6,'Y2025B &amp; Y2024A'!$C:$C,$AA$4)</f>
        <v>-5050.1942999999983</v>
      </c>
      <c r="AD6" s="3">
        <f>SUMIFS('Y2025B &amp; Y2024A'!$D:$D,'Y2025B &amp; Y2024A'!$B:$B,$D6,'Y2025B &amp; Y2024A'!$C:$C,$AD$4)</f>
        <v>-2071.1288799999998</v>
      </c>
      <c r="AE6" s="3">
        <f>SUMIFS('Y2025B &amp; Y2024A'!$F:$F,'Y2025B &amp; Y2024A'!$B:$B,$D6,'Y2025B &amp; Y2024A'!$C:$C,$AD$4)</f>
        <v>-2117.4764699999996</v>
      </c>
      <c r="AG6" s="3">
        <f>SUMIFS('Y2025B &amp; Y2024A'!$D:$D,'Y2025B &amp; Y2024A'!$B:$B,$D6,'Y2025B &amp; Y2024A'!$C:$C,$AG$4)</f>
        <v>-2707.4656799999998</v>
      </c>
      <c r="AH6" s="3">
        <f>SUMIFS('Y2025B &amp; Y2024A'!$F:$F,'Y2025B &amp; Y2024A'!$B:$B,$D6,'Y2025B &amp; Y2024A'!$C:$C,$AG$4)</f>
        <v>-2707.4656799999998</v>
      </c>
      <c r="AJ6" s="3">
        <f>SUMIFS('Y2025B &amp; Y2024A'!$D:$D,'Y2025B &amp; Y2024A'!$B:$B,$D6,'Y2025B &amp; Y2024A'!$C:$C,$AJ$4)</f>
        <v>9681.0637399999923</v>
      </c>
      <c r="AK6" s="3">
        <f>SUMIFS('Y2025B &amp; Y2024A'!$F:$F,'Y2025B &amp; Y2024A'!$B:$B,$D6,'Y2025B &amp; Y2024A'!$C:$C,$AJ$4)</f>
        <v>9677.3802895025183</v>
      </c>
      <c r="AM6" s="3">
        <f>SUMIFS('Y2025B &amp; Y2024A'!$D:$D,'Y2025B &amp; Y2024A'!$B:$B,$D6,'Y2025B &amp; Y2024A'!$C:$C,$AM$4)</f>
        <v>-1726.1420300000002</v>
      </c>
      <c r="AN6" s="3">
        <f>SUMIFS('Y2025B &amp; Y2024A'!$F:$F,'Y2025B &amp; Y2024A'!$B:$B,$D6,'Y2025B &amp; Y2024A'!$C:$C,$AM$4)</f>
        <v>-2593.8084499999991</v>
      </c>
      <c r="AP6" s="3">
        <f>SUMIFS('Y2025B &amp; Y2024A'!$D:$D,'Y2025B &amp; Y2024A'!$B:$B,$D6,'Y2025B &amp; Y2024A'!$C:$C,$AP$4)</f>
        <v>7954.9217099999923</v>
      </c>
      <c r="AQ6" s="3">
        <f>SUMIFS('Y2025B &amp; Y2024A'!$F:$F,'Y2025B &amp; Y2024A'!$B:$B,$D6,'Y2025B &amp; Y2024A'!$C:$C,$AP$4)</f>
        <v>7083.5718395025197</v>
      </c>
    </row>
    <row r="7" spans="2:43" outlineLevel="2" x14ac:dyDescent="0.85">
      <c r="B7" s="1" t="s">
        <v>91</v>
      </c>
      <c r="C7" s="1" t="s">
        <v>63</v>
      </c>
      <c r="D7" s="2">
        <v>10002</v>
      </c>
      <c r="E7" s="1" t="s">
        <v>18</v>
      </c>
      <c r="F7" s="2" t="s">
        <v>15</v>
      </c>
      <c r="G7" s="1" t="s">
        <v>64</v>
      </c>
      <c r="I7" s="3">
        <f>SUMIFS('Y2025B &amp; Y2024A'!$D:$D,'Y2025B &amp; Y2024A'!$B:$B,$D7,'Y2025B &amp; Y2024A'!$C:$C,$I$4)</f>
        <v>51764.171450000002</v>
      </c>
      <c r="J7" s="3">
        <f>SUMIFS('Y2025B &amp; Y2024A'!$F:$F,'Y2025B &amp; Y2024A'!$B:$B,$D7,'Y2025B &amp; Y2024A'!$C:$C,$I$4)</f>
        <v>54354.876019999989</v>
      </c>
      <c r="K7" s="24"/>
      <c r="L7" s="3">
        <f>SUMIFS('Y2025B &amp; Y2024A'!$D:$D,'Y2025B &amp; Y2024A'!$B:$B,$D7,'Y2025B &amp; Y2024A'!$C:$C,$L$4)</f>
        <v>3349.9146800000044</v>
      </c>
      <c r="M7" s="3">
        <f>SUMIFS('Y2025B &amp; Y2024A'!$F:$F,'Y2025B &amp; Y2024A'!$B:$B,$D7,'Y2025B &amp; Y2024A'!$C:$C,$L$4)</f>
        <v>3077.5303210247621</v>
      </c>
      <c r="N7" s="24"/>
      <c r="O7" s="3">
        <f>SUMIFS('Y2025B &amp; Y2024A'!$D:$D,'Y2025B &amp; Y2024A'!$B:$B,$D7,'Y2025B &amp; Y2024A'!$C:$C,$O$4)</f>
        <v>14152.689059999999</v>
      </c>
      <c r="P7" s="3">
        <f>SUMIFS('Y2025B &amp; Y2024A'!$F:$F,'Y2025B &amp; Y2024A'!$B:$B,$D7,'Y2025B &amp; Y2024A'!$C:$C,$O$4)</f>
        <v>15430.834821024788</v>
      </c>
      <c r="Q7" s="24"/>
      <c r="R7" s="3">
        <f>SUMIFS('Y2025B &amp; Y2024A'!$D:$D,'Y2025B &amp; Y2024A'!$B:$B,$D7,'Y2025B &amp; Y2024A'!$C:$C,$R$4)</f>
        <v>-351.55641000000003</v>
      </c>
      <c r="S7" s="3">
        <f>SUMIFS('Y2025B &amp; Y2024A'!$F:$F,'Y2025B &amp; Y2024A'!$B:$B,$D7,'Y2025B &amp; Y2024A'!$C:$C,$R$4)</f>
        <v>-391.11636000000004</v>
      </c>
      <c r="T7" s="24"/>
      <c r="U7" s="3">
        <f>SUMIFS('Y2025B &amp; Y2024A'!$D:$D,'Y2025B &amp; Y2024A'!$B:$B,$D7,'Y2025B &amp; Y2024A'!$C:$C,$U$4)</f>
        <v>-987.04633999999999</v>
      </c>
      <c r="V7" s="3">
        <f>SUMIFS('Y2025B &amp; Y2024A'!$F:$F,'Y2025B &amp; Y2024A'!$B:$B,$D7,'Y2025B &amp; Y2024A'!$C:$C,$U$4)</f>
        <v>-886.54505999999992</v>
      </c>
      <c r="X7" s="3">
        <f>SUMIFS('Y2025B &amp; Y2024A'!$D:$D,'Y2025B &amp; Y2024A'!$B:$B,$D7,'Y2025B &amp; Y2024A'!$C:$C,$X$4)</f>
        <v>12814.086309999997</v>
      </c>
      <c r="Y7" s="3">
        <f>SUMIFS('Y2025B &amp; Y2024A'!$F:$F,'Y2025B &amp; Y2024A'!$B:$B,$D7,'Y2025B &amp; Y2024A'!$C:$C,$X$4)</f>
        <v>14153.173401024789</v>
      </c>
      <c r="AA7" s="3">
        <f>SUMIFS('Y2025B &amp; Y2024A'!$D:$D,'Y2025B &amp; Y2024A'!$B:$B,$D7,'Y2025B &amp; Y2024A'!$C:$C,$AA$4)</f>
        <v>-4852.6843900000003</v>
      </c>
      <c r="AB7" s="3">
        <f>SUMIFS('Y2025B &amp; Y2024A'!$F:$F,'Y2025B &amp; Y2024A'!$B:$B,$D7,'Y2025B &amp; Y2024A'!$C:$C,$AA$4)</f>
        <v>-5689.4382000000014</v>
      </c>
      <c r="AD7" s="3">
        <f>SUMIFS('Y2025B &amp; Y2024A'!$D:$D,'Y2025B &amp; Y2024A'!$B:$B,$D7,'Y2025B &amp; Y2024A'!$C:$C,$AD$4)</f>
        <v>-4109.8758799999996</v>
      </c>
      <c r="AE7" s="3">
        <f>SUMIFS('Y2025B &amp; Y2024A'!$F:$F,'Y2025B &amp; Y2024A'!$B:$B,$D7,'Y2025B &amp; Y2024A'!$C:$C,$AD$4)</f>
        <v>-4168.3152100000007</v>
      </c>
      <c r="AG7" s="3">
        <f>SUMIFS('Y2025B &amp; Y2024A'!$D:$D,'Y2025B &amp; Y2024A'!$B:$B,$D7,'Y2025B &amp; Y2024A'!$C:$C,$AG$4)</f>
        <v>-2420.9399099999996</v>
      </c>
      <c r="AH7" s="3">
        <f>SUMIFS('Y2025B &amp; Y2024A'!$F:$F,'Y2025B &amp; Y2024A'!$B:$B,$D7,'Y2025B &amp; Y2024A'!$C:$C,$AG$4)</f>
        <v>-3958.6400199999998</v>
      </c>
      <c r="AJ7" s="3">
        <f>SUMIFS('Y2025B &amp; Y2024A'!$D:$D,'Y2025B &amp; Y2024A'!$B:$B,$D7,'Y2025B &amp; Y2024A'!$C:$C,$AJ$4)</f>
        <v>1430.5861299999979</v>
      </c>
      <c r="AK7" s="3">
        <f>SUMIFS('Y2025B &amp; Y2024A'!$F:$F,'Y2025B &amp; Y2024A'!$B:$B,$D7,'Y2025B &amp; Y2024A'!$C:$C,$AJ$4)</f>
        <v>336.77997102478912</v>
      </c>
      <c r="AM7" s="3">
        <f>SUMIFS('Y2025B &amp; Y2024A'!$D:$D,'Y2025B &amp; Y2024A'!$B:$B,$D7,'Y2025B &amp; Y2024A'!$C:$C,$AM$4)</f>
        <v>-1018.80925</v>
      </c>
      <c r="AN7" s="3">
        <f>SUMIFS('Y2025B &amp; Y2024A'!$F:$F,'Y2025B &amp; Y2024A'!$B:$B,$D7,'Y2025B &amp; Y2024A'!$C:$C,$AM$4)</f>
        <v>-977.64787999999987</v>
      </c>
      <c r="AP7" s="3">
        <f>SUMIFS('Y2025B &amp; Y2024A'!$D:$D,'Y2025B &amp; Y2024A'!$B:$B,$D7,'Y2025B &amp; Y2024A'!$C:$C,$AP$4)</f>
        <v>411.77687999999785</v>
      </c>
      <c r="AQ7" s="3">
        <f>SUMIFS('Y2025B &amp; Y2024A'!$F:$F,'Y2025B &amp; Y2024A'!$B:$B,$D7,'Y2025B &amp; Y2024A'!$C:$C,$AP$4)</f>
        <v>-640.86790897521075</v>
      </c>
    </row>
    <row r="8" spans="2:43" outlineLevel="1" x14ac:dyDescent="0.85">
      <c r="B8" s="25" t="s">
        <v>91</v>
      </c>
      <c r="C8" s="25" t="s">
        <v>65</v>
      </c>
      <c r="D8" s="26"/>
      <c r="E8" s="26"/>
      <c r="F8" s="26"/>
      <c r="G8" s="25"/>
      <c r="H8" s="16"/>
      <c r="I8" s="27">
        <f>SUBTOTAL(9,I6:I7)</f>
        <v>126044.05463</v>
      </c>
      <c r="J8" s="27">
        <f>SUBTOTAL(9,J6:J7)</f>
        <v>127126.54080999998</v>
      </c>
      <c r="K8" s="29"/>
      <c r="L8" s="27">
        <f>SUBTOTAL(9,L6:L7)</f>
        <v>10800.562190000004</v>
      </c>
      <c r="M8" s="27">
        <f>SUBTOTAL(9,M6:M7)</f>
        <v>10889.545490527273</v>
      </c>
      <c r="N8" s="29"/>
      <c r="O8" s="27">
        <f>SUBTOTAL(9,O6:O7)</f>
        <v>35649.803499999995</v>
      </c>
      <c r="P8" s="27">
        <f>SUBTOTAL(9,P6:P7)</f>
        <v>36570.80663052731</v>
      </c>
      <c r="Q8" s="29"/>
      <c r="R8" s="27">
        <f>SUBTOTAL(9,R6:R7)</f>
        <v>-750.05097000000001</v>
      </c>
      <c r="S8" s="27">
        <f>SUBTOTAL(9,S6:S7)</f>
        <v>-743.58647000000008</v>
      </c>
      <c r="T8" s="29"/>
      <c r="U8" s="27">
        <f>SUBTOTAL(9,U6:U7)</f>
        <v>-2364.4453699999999</v>
      </c>
      <c r="V8" s="27">
        <f>SUBTOTAL(9,V6:V7)</f>
        <v>-2121.5300200000001</v>
      </c>
      <c r="W8" s="17"/>
      <c r="X8" s="27">
        <f>SUBTOTAL(9,X6:X7)</f>
        <v>32535.307159999989</v>
      </c>
      <c r="Y8" s="27">
        <f>SUBTOTAL(9,Y6:Y7)</f>
        <v>33705.690140527309</v>
      </c>
      <c r="Z8" s="17"/>
      <c r="AA8" s="27">
        <f>SUBTOTAL(9,AA6:AA7)</f>
        <v>-10114.246940000001</v>
      </c>
      <c r="AB8" s="27">
        <f>SUBTOTAL(9,AB6:AB7)</f>
        <v>-10739.6325</v>
      </c>
      <c r="AC8" s="17"/>
      <c r="AD8" s="27">
        <f>SUBTOTAL(9,AD6:AD7)</f>
        <v>-6181.0047599999998</v>
      </c>
      <c r="AE8" s="27">
        <f>SUBTOTAL(9,AE6:AE7)</f>
        <v>-6285.7916800000003</v>
      </c>
      <c r="AF8" s="17"/>
      <c r="AG8" s="27">
        <f>SUBTOTAL(9,AG6:AG7)</f>
        <v>-5128.4055899999994</v>
      </c>
      <c r="AH8" s="27">
        <f>SUBTOTAL(9,AH6:AH7)</f>
        <v>-6666.1057000000001</v>
      </c>
      <c r="AI8" s="17"/>
      <c r="AJ8" s="27">
        <f>SUBTOTAL(9,AJ6:AJ7)</f>
        <v>11111.64986999999</v>
      </c>
      <c r="AK8" s="27">
        <f>SUBTOTAL(9,AK6:AK7)</f>
        <v>10014.160260527307</v>
      </c>
      <c r="AL8" s="17"/>
      <c r="AM8" s="27">
        <f>SUBTOTAL(9,AM6:AM7)</f>
        <v>-2744.9512800000002</v>
      </c>
      <c r="AN8" s="27">
        <f>SUBTOTAL(9,AN6:AN7)</f>
        <v>-3571.4563299999991</v>
      </c>
      <c r="AO8" s="17"/>
      <c r="AP8" s="27">
        <f>SUBTOTAL(9,AP6:AP7)</f>
        <v>8366.6985899999909</v>
      </c>
      <c r="AQ8" s="27">
        <f>SUBTOTAL(9,AQ6:AQ7)</f>
        <v>6442.7039305273092</v>
      </c>
    </row>
    <row r="9" spans="2:43" outlineLevel="2" x14ac:dyDescent="0.85">
      <c r="B9" s="1" t="s">
        <v>91</v>
      </c>
      <c r="C9" s="1" t="s">
        <v>66</v>
      </c>
      <c r="D9" s="2">
        <v>10003</v>
      </c>
      <c r="E9" s="1" t="s">
        <v>16</v>
      </c>
      <c r="F9" s="2" t="s">
        <v>15</v>
      </c>
      <c r="G9" s="1" t="s">
        <v>64</v>
      </c>
      <c r="I9" s="3">
        <f>SUMIFS('Y2025B &amp; Y2024A'!$D:$D,'Y2025B &amp; Y2024A'!$B:$B,$D9,'Y2025B &amp; Y2024A'!$C:$C,$I$4)</f>
        <v>92454.731239999994</v>
      </c>
      <c r="J9" s="3">
        <f>SUMIFS('Y2025B &amp; Y2024A'!$F:$F,'Y2025B &amp; Y2024A'!$B:$B,$D9,'Y2025B &amp; Y2024A'!$C:$C,$I$4)</f>
        <v>88273.00477</v>
      </c>
      <c r="K9" s="24"/>
      <c r="L9" s="3">
        <f>SUMIFS('Y2025B &amp; Y2024A'!$D:$D,'Y2025B &amp; Y2024A'!$B:$B,$D9,'Y2025B &amp; Y2024A'!$C:$C,$L$4)</f>
        <v>9520.1228299999984</v>
      </c>
      <c r="M9" s="3">
        <f>SUMIFS('Y2025B &amp; Y2024A'!$F:$F,'Y2025B &amp; Y2024A'!$B:$B,$D9,'Y2025B &amp; Y2024A'!$C:$C,$L$4)</f>
        <v>9687.0967995651026</v>
      </c>
      <c r="N9" s="24"/>
      <c r="O9" s="3">
        <f>SUMIFS('Y2025B &amp; Y2024A'!$D:$D,'Y2025B &amp; Y2024A'!$B:$B,$D9,'Y2025B &amp; Y2024A'!$C:$C,$O$4)</f>
        <v>27832.643609999992</v>
      </c>
      <c r="P9" s="3">
        <f>SUMIFS('Y2025B &amp; Y2024A'!$F:$F,'Y2025B &amp; Y2024A'!$B:$B,$D9,'Y2025B &amp; Y2024A'!$C:$C,$O$4)</f>
        <v>26623.924249565112</v>
      </c>
      <c r="Q9" s="24"/>
      <c r="R9" s="3">
        <f>SUMIFS('Y2025B &amp; Y2024A'!$D:$D,'Y2025B &amp; Y2024A'!$B:$B,$D9,'Y2025B &amp; Y2024A'!$C:$C,$R$4)</f>
        <v>-575.03408999999999</v>
      </c>
      <c r="S9" s="3">
        <f>SUMIFS('Y2025B &amp; Y2024A'!$F:$F,'Y2025B &amp; Y2024A'!$B:$B,$D9,'Y2025B &amp; Y2024A'!$C:$C,$R$4)</f>
        <v>-493.22289000000001</v>
      </c>
      <c r="T9" s="24"/>
      <c r="U9" s="3">
        <f>SUMIFS('Y2025B &amp; Y2024A'!$D:$D,'Y2025B &amp; Y2024A'!$B:$B,$D9,'Y2025B &amp; Y2024A'!$C:$C,$U$4)</f>
        <v>-1732.1944999999996</v>
      </c>
      <c r="V9" s="3">
        <f>SUMIFS('Y2025B &amp; Y2024A'!$F:$F,'Y2025B &amp; Y2024A'!$B:$B,$D9,'Y2025B &amp; Y2024A'!$C:$C,$U$4)</f>
        <v>-1561.4624899999999</v>
      </c>
      <c r="X9" s="3">
        <f>SUMIFS('Y2025B &amp; Y2024A'!$D:$D,'Y2025B &amp; Y2024A'!$B:$B,$D9,'Y2025B &amp; Y2024A'!$C:$C,$X$4)</f>
        <v>25525.415019999989</v>
      </c>
      <c r="Y9" s="3">
        <f>SUMIFS('Y2025B &amp; Y2024A'!$F:$F,'Y2025B &amp; Y2024A'!$B:$B,$D9,'Y2025B &amp; Y2024A'!$C:$C,$X$4)</f>
        <v>24569.238869565117</v>
      </c>
      <c r="AA9" s="3">
        <f>SUMIFS('Y2025B &amp; Y2024A'!$D:$D,'Y2025B &amp; Y2024A'!$B:$B,$D9,'Y2025B &amp; Y2024A'!$C:$C,$AA$4)</f>
        <v>-7340.7357600000005</v>
      </c>
      <c r="AB9" s="3">
        <f>SUMIFS('Y2025B &amp; Y2024A'!$F:$F,'Y2025B &amp; Y2024A'!$B:$B,$D9,'Y2025B &amp; Y2024A'!$C:$C,$AA$4)</f>
        <v>-6855.4512499999983</v>
      </c>
      <c r="AD9" s="3">
        <f>SUMIFS('Y2025B &amp; Y2024A'!$D:$D,'Y2025B &amp; Y2024A'!$B:$B,$D9,'Y2025B &amp; Y2024A'!$C:$C,$AD$4)</f>
        <v>-3314.3471</v>
      </c>
      <c r="AE9" s="3">
        <f>SUMIFS('Y2025B &amp; Y2024A'!$F:$F,'Y2025B &amp; Y2024A'!$B:$B,$D9,'Y2025B &amp; Y2024A'!$C:$C,$AD$4)</f>
        <v>-3512.1626299999998</v>
      </c>
      <c r="AG9" s="3">
        <f>SUMIFS('Y2025B &amp; Y2024A'!$D:$D,'Y2025B &amp; Y2024A'!$B:$B,$D9,'Y2025B &amp; Y2024A'!$C:$C,$AG$4)</f>
        <v>-6838.3700399999989</v>
      </c>
      <c r="AH9" s="3">
        <f>SUMIFS('Y2025B &amp; Y2024A'!$F:$F,'Y2025B &amp; Y2024A'!$B:$B,$D9,'Y2025B &amp; Y2024A'!$C:$C,$AG$4)</f>
        <v>-6838.3700399999989</v>
      </c>
      <c r="AJ9" s="3">
        <f>SUMIFS('Y2025B &amp; Y2024A'!$D:$D,'Y2025B &amp; Y2024A'!$B:$B,$D9,'Y2025B &amp; Y2024A'!$C:$C,$AJ$4)</f>
        <v>8031.9621199999892</v>
      </c>
      <c r="AK9" s="3">
        <f>SUMIFS('Y2025B &amp; Y2024A'!$F:$F,'Y2025B &amp; Y2024A'!$B:$B,$D9,'Y2025B &amp; Y2024A'!$C:$C,$AJ$4)</f>
        <v>7363.2549495651219</v>
      </c>
      <c r="AM9" s="3">
        <f>SUMIFS('Y2025B &amp; Y2024A'!$D:$D,'Y2025B &amp; Y2024A'!$B:$B,$D9,'Y2025B &amp; Y2024A'!$C:$C,$AM$4)</f>
        <v>-3001.4104399999992</v>
      </c>
      <c r="AN9" s="3">
        <f>SUMIFS('Y2025B &amp; Y2024A'!$F:$F,'Y2025B &amp; Y2024A'!$B:$B,$D9,'Y2025B &amp; Y2024A'!$C:$C,$AM$4)</f>
        <v>-3163.6053999999999</v>
      </c>
      <c r="AP9" s="3">
        <f>SUMIFS('Y2025B &amp; Y2024A'!$D:$D,'Y2025B &amp; Y2024A'!$B:$B,$D9,'Y2025B &amp; Y2024A'!$C:$C,$AP$4)</f>
        <v>5030.5516799999896</v>
      </c>
      <c r="AQ9" s="3">
        <f>SUMIFS('Y2025B &amp; Y2024A'!$F:$F,'Y2025B &amp; Y2024A'!$B:$B,$D9,'Y2025B &amp; Y2024A'!$C:$C,$AP$4)</f>
        <v>4199.6495495651216</v>
      </c>
    </row>
    <row r="10" spans="2:43" outlineLevel="1" x14ac:dyDescent="0.85">
      <c r="B10" s="25" t="s">
        <v>91</v>
      </c>
      <c r="C10" s="25" t="s">
        <v>67</v>
      </c>
      <c r="D10" s="26"/>
      <c r="E10" s="26"/>
      <c r="F10" s="26"/>
      <c r="G10" s="25"/>
      <c r="H10" s="16"/>
      <c r="I10" s="27">
        <f>SUBTOTAL(9,I9:I9)</f>
        <v>92454.731239999994</v>
      </c>
      <c r="J10" s="27">
        <f>SUBTOTAL(9,J9:J9)</f>
        <v>88273.00477</v>
      </c>
      <c r="K10" s="29"/>
      <c r="L10" s="27">
        <f>SUBTOTAL(9,L9:L9)</f>
        <v>9520.1228299999984</v>
      </c>
      <c r="M10" s="27">
        <f>SUBTOTAL(9,M9:M9)</f>
        <v>9687.0967995651026</v>
      </c>
      <c r="N10" s="29"/>
      <c r="O10" s="27">
        <f>SUBTOTAL(9,O9:O9)</f>
        <v>27832.643609999992</v>
      </c>
      <c r="P10" s="27">
        <f>SUBTOTAL(9,P9:P9)</f>
        <v>26623.924249565112</v>
      </c>
      <c r="Q10" s="29"/>
      <c r="R10" s="27">
        <f>SUBTOTAL(9,R9:R9)</f>
        <v>-575.03408999999999</v>
      </c>
      <c r="S10" s="27">
        <f>SUBTOTAL(9,S9:S9)</f>
        <v>-493.22289000000001</v>
      </c>
      <c r="T10" s="29"/>
      <c r="U10" s="27">
        <f>SUBTOTAL(9,U9:U9)</f>
        <v>-1732.1944999999996</v>
      </c>
      <c r="V10" s="27">
        <f>SUBTOTAL(9,V9:V9)</f>
        <v>-1561.4624899999999</v>
      </c>
      <c r="W10" s="17"/>
      <c r="X10" s="27">
        <f>SUBTOTAL(9,X9:X9)</f>
        <v>25525.415019999989</v>
      </c>
      <c r="Y10" s="27">
        <f>SUBTOTAL(9,Y9:Y9)</f>
        <v>24569.238869565117</v>
      </c>
      <c r="Z10" s="17"/>
      <c r="AA10" s="27">
        <f>SUBTOTAL(9,AA9:AA9)</f>
        <v>-7340.7357600000005</v>
      </c>
      <c r="AB10" s="27">
        <f>SUBTOTAL(9,AB9:AB9)</f>
        <v>-6855.4512499999983</v>
      </c>
      <c r="AC10" s="17"/>
      <c r="AD10" s="27">
        <f>SUBTOTAL(9,AD9:AD9)</f>
        <v>-3314.3471</v>
      </c>
      <c r="AE10" s="27">
        <f>SUBTOTAL(9,AE9:AE9)</f>
        <v>-3512.1626299999998</v>
      </c>
      <c r="AF10" s="17"/>
      <c r="AG10" s="27">
        <f>SUBTOTAL(9,AG9:AG9)</f>
        <v>-6838.3700399999989</v>
      </c>
      <c r="AH10" s="27">
        <f>SUBTOTAL(9,AH9:AH9)</f>
        <v>-6838.3700399999989</v>
      </c>
      <c r="AI10" s="17"/>
      <c r="AJ10" s="27">
        <f>SUBTOTAL(9,AJ9:AJ9)</f>
        <v>8031.9621199999892</v>
      </c>
      <c r="AK10" s="27">
        <f>SUBTOTAL(9,AK9:AK9)</f>
        <v>7363.2549495651219</v>
      </c>
      <c r="AL10" s="17"/>
      <c r="AM10" s="27">
        <f>SUBTOTAL(9,AM9:AM9)</f>
        <v>-3001.4104399999992</v>
      </c>
      <c r="AN10" s="27">
        <f>SUBTOTAL(9,AN9:AN9)</f>
        <v>-3163.6053999999999</v>
      </c>
      <c r="AO10" s="17"/>
      <c r="AP10" s="27">
        <f>SUBTOTAL(9,AP9:AP9)</f>
        <v>5030.5516799999896</v>
      </c>
      <c r="AQ10" s="27">
        <f>SUBTOTAL(9,AQ9:AQ9)</f>
        <v>4199.6495495651216</v>
      </c>
    </row>
    <row r="11" spans="2:43" outlineLevel="2" x14ac:dyDescent="0.85">
      <c r="B11" s="1" t="s">
        <v>91</v>
      </c>
      <c r="C11" s="1" t="s">
        <v>17</v>
      </c>
      <c r="D11" s="2">
        <v>102</v>
      </c>
      <c r="E11" s="1" t="s">
        <v>20</v>
      </c>
      <c r="F11" s="2" t="s">
        <v>13</v>
      </c>
      <c r="G11" s="1" t="s">
        <v>64</v>
      </c>
      <c r="I11" s="3">
        <f>SUMIFS('Y2025B &amp; Y2024A'!$D:$D,'Y2025B &amp; Y2024A'!$B:$B,$D11,'Y2025B &amp; Y2024A'!$C:$C,$I$4)</f>
        <v>31165.077729999997</v>
      </c>
      <c r="J11" s="3">
        <f>SUMIFS('Y2025B &amp; Y2024A'!$F:$F,'Y2025B &amp; Y2024A'!$B:$B,$D11,'Y2025B &amp; Y2024A'!$C:$C,$I$4)</f>
        <v>31823.048059999997</v>
      </c>
      <c r="K11" s="24"/>
      <c r="L11" s="3">
        <f>SUMIFS('Y2025B &amp; Y2024A'!$D:$D,'Y2025B &amp; Y2024A'!$B:$B,$D11,'Y2025B &amp; Y2024A'!$C:$C,$L$4)</f>
        <v>2234.130959999999</v>
      </c>
      <c r="M11" s="3">
        <f>SUMIFS('Y2025B &amp; Y2024A'!$F:$F,'Y2025B &amp; Y2024A'!$B:$B,$D11,'Y2025B &amp; Y2024A'!$C:$C,$L$4)</f>
        <v>2183.8486761996128</v>
      </c>
      <c r="N11" s="24"/>
      <c r="O11" s="3">
        <f>SUMIFS('Y2025B &amp; Y2024A'!$D:$D,'Y2025B &amp; Y2024A'!$B:$B,$D11,'Y2025B &amp; Y2024A'!$C:$C,$O$4)</f>
        <v>8367.7315999999992</v>
      </c>
      <c r="P11" s="3">
        <f>SUMIFS('Y2025B &amp; Y2024A'!$F:$F,'Y2025B &amp; Y2024A'!$B:$B,$D11,'Y2025B &amp; Y2024A'!$C:$C,$O$4)</f>
        <v>8214.5103861996085</v>
      </c>
      <c r="Q11" s="24"/>
      <c r="R11" s="3">
        <f>SUMIFS('Y2025B &amp; Y2024A'!$D:$D,'Y2025B &amp; Y2024A'!$B:$B,$D11,'Y2025B &amp; Y2024A'!$C:$C,$R$4)</f>
        <v>-190.11865</v>
      </c>
      <c r="S11" s="3">
        <f>SUMIFS('Y2025B &amp; Y2024A'!$F:$F,'Y2025B &amp; Y2024A'!$B:$B,$D11,'Y2025B &amp; Y2024A'!$C:$C,$R$4)</f>
        <v>-207.34935000000002</v>
      </c>
      <c r="T11" s="24"/>
      <c r="U11" s="3">
        <f>SUMIFS('Y2025B &amp; Y2024A'!$D:$D,'Y2025B &amp; Y2024A'!$B:$B,$D11,'Y2025B &amp; Y2024A'!$C:$C,$U$4)</f>
        <v>-572.10532999999998</v>
      </c>
      <c r="V11" s="3">
        <f>SUMIFS('Y2025B &amp; Y2024A'!$F:$F,'Y2025B &amp; Y2024A'!$B:$B,$D11,'Y2025B &amp; Y2024A'!$C:$C,$U$4)</f>
        <v>-552.42656999999997</v>
      </c>
      <c r="X11" s="3">
        <f>SUMIFS('Y2025B &amp; Y2024A'!$D:$D,'Y2025B &amp; Y2024A'!$B:$B,$D11,'Y2025B &amp; Y2024A'!$C:$C,$X$4)</f>
        <v>7605.5076199999994</v>
      </c>
      <c r="Y11" s="3">
        <f>SUMIFS('Y2025B &amp; Y2024A'!$F:$F,'Y2025B &amp; Y2024A'!$B:$B,$D11,'Y2025B &amp; Y2024A'!$C:$C,$X$4)</f>
        <v>7454.7344661996085</v>
      </c>
      <c r="AA11" s="3">
        <f>SUMIFS('Y2025B &amp; Y2024A'!$D:$D,'Y2025B &amp; Y2024A'!$B:$B,$D11,'Y2025B &amp; Y2024A'!$C:$C,$AA$4)</f>
        <v>-2308.5019899999998</v>
      </c>
      <c r="AB11" s="3">
        <f>SUMIFS('Y2025B &amp; Y2024A'!$F:$F,'Y2025B &amp; Y2024A'!$B:$B,$D11,'Y2025B &amp; Y2024A'!$C:$C,$AA$4)</f>
        <v>-2352.1621799999994</v>
      </c>
      <c r="AD11" s="3">
        <f>SUMIFS('Y2025B &amp; Y2024A'!$D:$D,'Y2025B &amp; Y2024A'!$B:$B,$D11,'Y2025B &amp; Y2024A'!$C:$C,$AD$4)</f>
        <v>-849.83183000000008</v>
      </c>
      <c r="AE11" s="3">
        <f>SUMIFS('Y2025B &amp; Y2024A'!$F:$F,'Y2025B &amp; Y2024A'!$B:$B,$D11,'Y2025B &amp; Y2024A'!$C:$C,$AD$4)</f>
        <v>-875.27895999999998</v>
      </c>
      <c r="AG11" s="3">
        <f>SUMIFS('Y2025B &amp; Y2024A'!$D:$D,'Y2025B &amp; Y2024A'!$B:$B,$D11,'Y2025B &amp; Y2024A'!$C:$C,$AG$4)</f>
        <v>-2482.3008000000004</v>
      </c>
      <c r="AH11" s="3">
        <f>SUMIFS('Y2025B &amp; Y2024A'!$F:$F,'Y2025B &amp; Y2024A'!$B:$B,$D11,'Y2025B &amp; Y2024A'!$C:$C,$AG$4)</f>
        <v>-2482.3008000000004</v>
      </c>
      <c r="AJ11" s="3">
        <f>SUMIFS('Y2025B &amp; Y2024A'!$D:$D,'Y2025B &amp; Y2024A'!$B:$B,$D11,'Y2025B &amp; Y2024A'!$C:$C,$AJ$4)</f>
        <v>1964.8729999999987</v>
      </c>
      <c r="AK11" s="3">
        <f>SUMIFS('Y2025B &amp; Y2024A'!$F:$F,'Y2025B &amp; Y2024A'!$B:$B,$D11,'Y2025B &amp; Y2024A'!$C:$C,$AJ$4)</f>
        <v>1744.9925261996086</v>
      </c>
      <c r="AM11" s="3">
        <f>SUMIFS('Y2025B &amp; Y2024A'!$D:$D,'Y2025B &amp; Y2024A'!$B:$B,$D11,'Y2025B &amp; Y2024A'!$C:$C,$AM$4)</f>
        <v>-1023.0989400000001</v>
      </c>
      <c r="AN11" s="3">
        <f>SUMIFS('Y2025B &amp; Y2024A'!$F:$F,'Y2025B &amp; Y2024A'!$B:$B,$D11,'Y2025B &amp; Y2024A'!$C:$C,$AM$4)</f>
        <v>-196.41293999999996</v>
      </c>
      <c r="AP11" s="3">
        <f>SUMIFS('Y2025B &amp; Y2024A'!$D:$D,'Y2025B &amp; Y2024A'!$B:$B,$D11,'Y2025B &amp; Y2024A'!$C:$C,$AP$4)</f>
        <v>941.7740599999986</v>
      </c>
      <c r="AQ11" s="3">
        <f>SUMIFS('Y2025B &amp; Y2024A'!$F:$F,'Y2025B &amp; Y2024A'!$B:$B,$D11,'Y2025B &amp; Y2024A'!$C:$C,$AP$4)</f>
        <v>1548.5795861996087</v>
      </c>
    </row>
    <row r="12" spans="2:43" outlineLevel="2" x14ac:dyDescent="0.85">
      <c r="B12" s="1" t="s">
        <v>91</v>
      </c>
      <c r="C12" s="1" t="s">
        <v>17</v>
      </c>
      <c r="D12" s="2">
        <v>10006</v>
      </c>
      <c r="E12" s="1" t="s">
        <v>21</v>
      </c>
      <c r="F12" s="2" t="s">
        <v>15</v>
      </c>
      <c r="G12" s="1" t="s">
        <v>64</v>
      </c>
      <c r="I12" s="3">
        <f>SUMIFS('Y2025B &amp; Y2024A'!$D:$D,'Y2025B &amp; Y2024A'!$B:$B,$D12,'Y2025B &amp; Y2024A'!$C:$C,$I$4)</f>
        <v>80238.572040000014</v>
      </c>
      <c r="J12" s="3">
        <f>SUMIFS('Y2025B &amp; Y2024A'!$F:$F,'Y2025B &amp; Y2024A'!$B:$B,$D12,'Y2025B &amp; Y2024A'!$C:$C,$I$4)</f>
        <v>74897.164579999997</v>
      </c>
      <c r="K12" s="24"/>
      <c r="L12" s="3">
        <f>SUMIFS('Y2025B &amp; Y2024A'!$D:$D,'Y2025B &amp; Y2024A'!$B:$B,$D12,'Y2025B &amp; Y2024A'!$C:$C,$L$4)</f>
        <v>7517.2521499999966</v>
      </c>
      <c r="M12" s="3">
        <f>SUMIFS('Y2025B &amp; Y2024A'!$F:$F,'Y2025B &amp; Y2024A'!$B:$B,$D12,'Y2025B &amp; Y2024A'!$C:$C,$L$4)</f>
        <v>7181.3169994514992</v>
      </c>
      <c r="N12" s="24"/>
      <c r="O12" s="3">
        <f>SUMIFS('Y2025B &amp; Y2024A'!$D:$D,'Y2025B &amp; Y2024A'!$B:$B,$D12,'Y2025B &amp; Y2024A'!$C:$C,$O$4)</f>
        <v>23591.045659999985</v>
      </c>
      <c r="P12" s="3">
        <f>SUMIFS('Y2025B &amp; Y2024A'!$F:$F,'Y2025B &amp; Y2024A'!$B:$B,$D12,'Y2025B &amp; Y2024A'!$C:$C,$O$4)</f>
        <v>23181.55821945149</v>
      </c>
      <c r="Q12" s="24"/>
      <c r="R12" s="3">
        <f>SUMIFS('Y2025B &amp; Y2024A'!$D:$D,'Y2025B &amp; Y2024A'!$B:$B,$D12,'Y2025B &amp; Y2024A'!$C:$C,$R$4)</f>
        <v>-481.76863000000003</v>
      </c>
      <c r="S12" s="3">
        <f>SUMIFS('Y2025B &amp; Y2024A'!$F:$F,'Y2025B &amp; Y2024A'!$B:$B,$D12,'Y2025B &amp; Y2024A'!$C:$C,$R$4)</f>
        <v>-661.74125000000004</v>
      </c>
      <c r="T12" s="24"/>
      <c r="U12" s="3">
        <f>SUMIFS('Y2025B &amp; Y2024A'!$D:$D,'Y2025B &amp; Y2024A'!$B:$B,$D12,'Y2025B &amp; Y2024A'!$C:$C,$U$4)</f>
        <v>-1469.2371499999999</v>
      </c>
      <c r="V12" s="3">
        <f>SUMIFS('Y2025B &amp; Y2024A'!$F:$F,'Y2025B &amp; Y2024A'!$B:$B,$D12,'Y2025B &amp; Y2024A'!$C:$C,$U$4)</f>
        <v>-1200.59557</v>
      </c>
      <c r="X12" s="3">
        <f>SUMIFS('Y2025B &amp; Y2024A'!$D:$D,'Y2025B &amp; Y2024A'!$B:$B,$D12,'Y2025B &amp; Y2024A'!$C:$C,$X$4)</f>
        <v>21640.039879999982</v>
      </c>
      <c r="Y12" s="3">
        <f>SUMIFS('Y2025B &amp; Y2024A'!$F:$F,'Y2025B &amp; Y2024A'!$B:$B,$D12,'Y2025B &amp; Y2024A'!$C:$C,$X$4)</f>
        <v>21319.2213994515</v>
      </c>
      <c r="AA12" s="3">
        <f>SUMIFS('Y2025B &amp; Y2024A'!$D:$D,'Y2025B &amp; Y2024A'!$B:$B,$D12,'Y2025B &amp; Y2024A'!$C:$C,$AA$4)</f>
        <v>-6977.3074400000005</v>
      </c>
      <c r="AB12" s="3">
        <f>SUMIFS('Y2025B &amp; Y2024A'!$F:$F,'Y2025B &amp; Y2024A'!$B:$B,$D12,'Y2025B &amp; Y2024A'!$C:$C,$AA$4)</f>
        <v>-6398.4770999999982</v>
      </c>
      <c r="AD12" s="3">
        <f>SUMIFS('Y2025B &amp; Y2024A'!$D:$D,'Y2025B &amp; Y2024A'!$B:$B,$D12,'Y2025B &amp; Y2024A'!$C:$C,$AD$4)</f>
        <v>-1571.5953299999996</v>
      </c>
      <c r="AE12" s="3">
        <f>SUMIFS('Y2025B &amp; Y2024A'!$F:$F,'Y2025B &amp; Y2024A'!$B:$B,$D12,'Y2025B &amp; Y2024A'!$C:$C,$AD$4)</f>
        <v>-1615.7842499999997</v>
      </c>
      <c r="AG12" s="3">
        <f>SUMIFS('Y2025B &amp; Y2024A'!$D:$D,'Y2025B &amp; Y2024A'!$B:$B,$D12,'Y2025B &amp; Y2024A'!$C:$C,$AG$4)</f>
        <v>-2763.4790400000006</v>
      </c>
      <c r="AH12" s="3">
        <f>SUMIFS('Y2025B &amp; Y2024A'!$F:$F,'Y2025B &amp; Y2024A'!$B:$B,$D12,'Y2025B &amp; Y2024A'!$C:$C,$AG$4)</f>
        <v>-2763.4790400000006</v>
      </c>
      <c r="AJ12" s="3">
        <f>SUMIFS('Y2025B &amp; Y2024A'!$D:$D,'Y2025B &amp; Y2024A'!$B:$B,$D12,'Y2025B &amp; Y2024A'!$C:$C,$AJ$4)</f>
        <v>10327.658069999981</v>
      </c>
      <c r="AK12" s="3">
        <f>SUMIFS('Y2025B &amp; Y2024A'!$F:$F,'Y2025B &amp; Y2024A'!$B:$B,$D12,'Y2025B &amp; Y2024A'!$C:$C,$AJ$4)</f>
        <v>10541.481009451501</v>
      </c>
      <c r="AM12" s="3">
        <f>SUMIFS('Y2025B &amp; Y2024A'!$D:$D,'Y2025B &amp; Y2024A'!$B:$B,$D12,'Y2025B &amp; Y2024A'!$C:$C,$AM$4)</f>
        <v>-2467.9969099999998</v>
      </c>
      <c r="AN12" s="3">
        <f>SUMIFS('Y2025B &amp; Y2024A'!$F:$F,'Y2025B &amp; Y2024A'!$B:$B,$D12,'Y2025B &amp; Y2024A'!$C:$C,$AM$4)</f>
        <v>-2283.9240699999996</v>
      </c>
      <c r="AP12" s="3">
        <f>SUMIFS('Y2025B &amp; Y2024A'!$D:$D,'Y2025B &amp; Y2024A'!$B:$B,$D12,'Y2025B &amp; Y2024A'!$C:$C,$AP$4)</f>
        <v>7859.6611599999815</v>
      </c>
      <c r="AQ12" s="3">
        <f>SUMIFS('Y2025B &amp; Y2024A'!$F:$F,'Y2025B &amp; Y2024A'!$B:$B,$D12,'Y2025B &amp; Y2024A'!$C:$C,$AP$4)</f>
        <v>8257.5569394515023</v>
      </c>
    </row>
    <row r="13" spans="2:43" outlineLevel="1" x14ac:dyDescent="0.85">
      <c r="B13" s="25" t="s">
        <v>91</v>
      </c>
      <c r="C13" s="25" t="s">
        <v>19</v>
      </c>
      <c r="D13" s="26"/>
      <c r="E13" s="26"/>
      <c r="F13" s="26"/>
      <c r="G13" s="25"/>
      <c r="H13" s="16"/>
      <c r="I13" s="27">
        <f>SUBTOTAL(9,I11:I12)</f>
        <v>111403.64977000002</v>
      </c>
      <c r="J13" s="27">
        <f>SUBTOTAL(9,J11:J12)</f>
        <v>106720.21264</v>
      </c>
      <c r="K13" s="29"/>
      <c r="L13" s="27">
        <f>SUBTOTAL(9,L11:L12)</f>
        <v>9751.3831099999952</v>
      </c>
      <c r="M13" s="27">
        <f>SUBTOTAL(9,M11:M12)</f>
        <v>9365.1656756511111</v>
      </c>
      <c r="N13" s="29"/>
      <c r="O13" s="27">
        <f>SUBTOTAL(9,O11:O12)</f>
        <v>31958.777259999984</v>
      </c>
      <c r="P13" s="27">
        <f>SUBTOTAL(9,P11:P12)</f>
        <v>31396.068605651097</v>
      </c>
      <c r="Q13" s="29"/>
      <c r="R13" s="27">
        <f>SUBTOTAL(9,R11:R12)</f>
        <v>-671.88728000000003</v>
      </c>
      <c r="S13" s="27">
        <f>SUBTOTAL(9,S11:S12)</f>
        <v>-869.09059999999999</v>
      </c>
      <c r="T13" s="29"/>
      <c r="U13" s="27">
        <f>SUBTOTAL(9,U11:U12)</f>
        <v>-2041.3424799999998</v>
      </c>
      <c r="V13" s="27">
        <f>SUBTOTAL(9,V11:V12)</f>
        <v>-1753.02214</v>
      </c>
      <c r="W13" s="17"/>
      <c r="X13" s="27">
        <f>SUBTOTAL(9,X11:X12)</f>
        <v>29245.547499999982</v>
      </c>
      <c r="Y13" s="27">
        <f>SUBTOTAL(9,Y11:Y12)</f>
        <v>28773.955865651107</v>
      </c>
      <c r="Z13" s="17"/>
      <c r="AA13" s="27">
        <f>SUBTOTAL(9,AA11:AA12)</f>
        <v>-9285.8094300000012</v>
      </c>
      <c r="AB13" s="27">
        <f>SUBTOTAL(9,AB11:AB12)</f>
        <v>-8750.6392799999976</v>
      </c>
      <c r="AC13" s="17"/>
      <c r="AD13" s="27">
        <f>SUBTOTAL(9,AD11:AD12)</f>
        <v>-2421.4271599999997</v>
      </c>
      <c r="AE13" s="27">
        <f>SUBTOTAL(9,AE11:AE12)</f>
        <v>-2491.0632099999998</v>
      </c>
      <c r="AF13" s="17"/>
      <c r="AG13" s="27">
        <f>SUBTOTAL(9,AG11:AG12)</f>
        <v>-5245.7798400000011</v>
      </c>
      <c r="AH13" s="27">
        <f>SUBTOTAL(9,AH11:AH12)</f>
        <v>-5245.7798400000011</v>
      </c>
      <c r="AI13" s="17"/>
      <c r="AJ13" s="27">
        <f>SUBTOTAL(9,AJ11:AJ12)</f>
        <v>12292.531069999979</v>
      </c>
      <c r="AK13" s="27">
        <f>SUBTOTAL(9,AK11:AK12)</f>
        <v>12286.47353565111</v>
      </c>
      <c r="AL13" s="17"/>
      <c r="AM13" s="27">
        <f>SUBTOTAL(9,AM11:AM12)</f>
        <v>-3491.0958499999997</v>
      </c>
      <c r="AN13" s="27">
        <f>SUBTOTAL(9,AN11:AN12)</f>
        <v>-2480.3370099999997</v>
      </c>
      <c r="AO13" s="17"/>
      <c r="AP13" s="27">
        <f>SUBTOTAL(9,AP11:AP12)</f>
        <v>8801.4352199999794</v>
      </c>
      <c r="AQ13" s="27">
        <f>SUBTOTAL(9,AQ11:AQ12)</f>
        <v>9806.1365256511108</v>
      </c>
    </row>
    <row r="14" spans="2:43" outlineLevel="2" x14ac:dyDescent="0.85">
      <c r="B14" s="1" t="s">
        <v>91</v>
      </c>
      <c r="C14" s="1" t="s">
        <v>28</v>
      </c>
      <c r="D14" s="2">
        <v>301</v>
      </c>
      <c r="E14" s="1" t="s">
        <v>29</v>
      </c>
      <c r="F14" s="2" t="s">
        <v>15</v>
      </c>
      <c r="G14" s="1" t="s">
        <v>64</v>
      </c>
      <c r="I14" s="3">
        <f>SUMIFS('Y2025B &amp; Y2024A'!$D:$D,'Y2025B &amp; Y2024A'!$B:$B,$D14,'Y2025B &amp; Y2024A'!$C:$C,$I$4)</f>
        <v>55080.973860000006</v>
      </c>
      <c r="J14" s="3">
        <f>SUMIFS('Y2025B &amp; Y2024A'!$F:$F,'Y2025B &amp; Y2024A'!$B:$B,$D14,'Y2025B &amp; Y2024A'!$C:$C,$I$4)</f>
        <v>49992.377649999988</v>
      </c>
      <c r="K14" s="24"/>
      <c r="L14" s="3">
        <f>SUMIFS('Y2025B &amp; Y2024A'!$D:$D,'Y2025B &amp; Y2024A'!$B:$B,$D14,'Y2025B &amp; Y2024A'!$C:$C,$L$4)</f>
        <v>3485.8317100000077</v>
      </c>
      <c r="M14" s="3">
        <f>SUMIFS('Y2025B &amp; Y2024A'!$F:$F,'Y2025B &amp; Y2024A'!$B:$B,$D14,'Y2025B &amp; Y2024A'!$C:$C,$L$4)</f>
        <v>2895.3778825486138</v>
      </c>
      <c r="N14" s="24"/>
      <c r="O14" s="3">
        <f>SUMIFS('Y2025B &amp; Y2024A'!$D:$D,'Y2025B &amp; Y2024A'!$B:$B,$D14,'Y2025B &amp; Y2024A'!$C:$C,$O$4)</f>
        <v>14339.627740000004</v>
      </c>
      <c r="P14" s="3">
        <f>SUMIFS('Y2025B &amp; Y2024A'!$F:$F,'Y2025B &amp; Y2024A'!$B:$B,$D14,'Y2025B &amp; Y2024A'!$C:$C,$O$4)</f>
        <v>12429.72850254858</v>
      </c>
      <c r="Q14" s="24"/>
      <c r="R14" s="3">
        <f>SUMIFS('Y2025B &amp; Y2024A'!$D:$D,'Y2025B &amp; Y2024A'!$B:$B,$D14,'Y2025B &amp; Y2024A'!$C:$C,$R$4)</f>
        <v>-340.94281000000001</v>
      </c>
      <c r="S14" s="3">
        <f>SUMIFS('Y2025B &amp; Y2024A'!$F:$F,'Y2025B &amp; Y2024A'!$B:$B,$D14,'Y2025B &amp; Y2024A'!$C:$C,$R$4)</f>
        <v>-435.7936500000003</v>
      </c>
      <c r="T14" s="24"/>
      <c r="U14" s="3">
        <f>SUMIFS('Y2025B &amp; Y2024A'!$D:$D,'Y2025B &amp; Y2024A'!$B:$B,$D14,'Y2025B &amp; Y2024A'!$C:$C,$U$4)</f>
        <v>-1028.1016299999999</v>
      </c>
      <c r="V14" s="3">
        <f>SUMIFS('Y2025B &amp; Y2024A'!$F:$F,'Y2025B &amp; Y2024A'!$B:$B,$D14,'Y2025B &amp; Y2024A'!$C:$C,$U$4)</f>
        <v>-917.25360999999987</v>
      </c>
      <c r="X14" s="3">
        <f>SUMIFS('Y2025B &amp; Y2024A'!$D:$D,'Y2025B &amp; Y2024A'!$B:$B,$D14,'Y2025B &amp; Y2024A'!$C:$C,$X$4)</f>
        <v>12970.583300000002</v>
      </c>
      <c r="Y14" s="3">
        <f>SUMIFS('Y2025B &amp; Y2024A'!$F:$F,'Y2025B &amp; Y2024A'!$B:$B,$D14,'Y2025B &amp; Y2024A'!$C:$C,$X$4)</f>
        <v>11076.681242548577</v>
      </c>
      <c r="AA14" s="3">
        <f>SUMIFS('Y2025B &amp; Y2024A'!$D:$D,'Y2025B &amp; Y2024A'!$B:$B,$D14,'Y2025B &amp; Y2024A'!$C:$C,$AA$4)</f>
        <v>-4141.2487999999985</v>
      </c>
      <c r="AB14" s="3">
        <f>SUMIFS('Y2025B &amp; Y2024A'!$F:$F,'Y2025B &amp; Y2024A'!$B:$B,$D14,'Y2025B &amp; Y2024A'!$C:$C,$AA$4)</f>
        <v>-4570.8519699999997</v>
      </c>
      <c r="AD14" s="3">
        <f>SUMIFS('Y2025B &amp; Y2024A'!$D:$D,'Y2025B &amp; Y2024A'!$B:$B,$D14,'Y2025B &amp; Y2024A'!$C:$C,$AD$4)</f>
        <v>-1535.9162999999999</v>
      </c>
      <c r="AE14" s="3">
        <f>SUMIFS('Y2025B &amp; Y2024A'!$F:$F,'Y2025B &amp; Y2024A'!$B:$B,$D14,'Y2025B &amp; Y2024A'!$C:$C,$AD$4)</f>
        <v>-1555.2699299999997</v>
      </c>
      <c r="AG14" s="3">
        <f>SUMIFS('Y2025B &amp; Y2024A'!$D:$D,'Y2025B &amp; Y2024A'!$B:$B,$D14,'Y2025B &amp; Y2024A'!$C:$C,$AG$4)</f>
        <v>-2700</v>
      </c>
      <c r="AH14" s="3">
        <f>SUMIFS('Y2025B &amp; Y2024A'!$F:$F,'Y2025B &amp; Y2024A'!$B:$B,$D14,'Y2025B &amp; Y2024A'!$C:$C,$AG$4)</f>
        <v>-2700</v>
      </c>
      <c r="AJ14" s="3">
        <f>SUMIFS('Y2025B &amp; Y2024A'!$D:$D,'Y2025B &amp; Y2024A'!$B:$B,$D14,'Y2025B &amp; Y2024A'!$C:$C,$AJ$4)</f>
        <v>4593.4182000000037</v>
      </c>
      <c r="AK14" s="3">
        <f>SUMIFS('Y2025B &amp; Y2024A'!$F:$F,'Y2025B &amp; Y2024A'!$B:$B,$D14,'Y2025B &amp; Y2024A'!$C:$C,$AJ$4)</f>
        <v>2250.5593425485786</v>
      </c>
      <c r="AM14" s="3">
        <f>SUMIFS('Y2025B &amp; Y2024A'!$D:$D,'Y2025B &amp; Y2024A'!$B:$B,$D14,'Y2025B &amp; Y2024A'!$C:$C,$AM$4)</f>
        <v>-1901.1857200000002</v>
      </c>
      <c r="AN14" s="3">
        <f>SUMIFS('Y2025B &amp; Y2024A'!$F:$F,'Y2025B &amp; Y2024A'!$B:$B,$D14,'Y2025B &amp; Y2024A'!$C:$C,$AM$4)</f>
        <v>-1349.7106200000001</v>
      </c>
      <c r="AP14" s="3">
        <f>SUMIFS('Y2025B &amp; Y2024A'!$D:$D,'Y2025B &amp; Y2024A'!$B:$B,$D14,'Y2025B &amp; Y2024A'!$C:$C,$AP$4)</f>
        <v>2692.2324800000033</v>
      </c>
      <c r="AQ14" s="3">
        <f>SUMIFS('Y2025B &amp; Y2024A'!$F:$F,'Y2025B &amp; Y2024A'!$B:$B,$D14,'Y2025B &amp; Y2024A'!$C:$C,$AP$4)</f>
        <v>900.84872254857851</v>
      </c>
    </row>
    <row r="15" spans="2:43" outlineLevel="2" x14ac:dyDescent="0.85">
      <c r="B15" s="1" t="s">
        <v>91</v>
      </c>
      <c r="C15" s="1" t="s">
        <v>28</v>
      </c>
      <c r="D15" s="2">
        <v>30001</v>
      </c>
      <c r="E15" s="1" t="s">
        <v>30</v>
      </c>
      <c r="F15" s="2" t="s">
        <v>15</v>
      </c>
      <c r="G15" s="1" t="s">
        <v>64</v>
      </c>
      <c r="I15" s="3">
        <f>SUMIFS('Y2025B &amp; Y2024A'!$D:$D,'Y2025B &amp; Y2024A'!$B:$B,$D15,'Y2025B &amp; Y2024A'!$C:$C,$I$4)</f>
        <v>55944.710440000003</v>
      </c>
      <c r="J15" s="3">
        <f>SUMIFS('Y2025B &amp; Y2024A'!$F:$F,'Y2025B &amp; Y2024A'!$B:$B,$D15,'Y2025B &amp; Y2024A'!$C:$C,$I$4)</f>
        <v>55549.386440000017</v>
      </c>
      <c r="K15" s="24"/>
      <c r="L15" s="3">
        <f>SUMIFS('Y2025B &amp; Y2024A'!$D:$D,'Y2025B &amp; Y2024A'!$B:$B,$D15,'Y2025B &amp; Y2024A'!$C:$C,$L$4)</f>
        <v>2623.9180499999979</v>
      </c>
      <c r="M15" s="3">
        <f>SUMIFS('Y2025B &amp; Y2024A'!$F:$F,'Y2025B &amp; Y2024A'!$B:$B,$D15,'Y2025B &amp; Y2024A'!$C:$C,$L$4)</f>
        <v>1182.3414148876245</v>
      </c>
      <c r="N15" s="24"/>
      <c r="O15" s="3">
        <f>SUMIFS('Y2025B &amp; Y2024A'!$D:$D,'Y2025B &amp; Y2024A'!$B:$B,$D15,'Y2025B &amp; Y2024A'!$C:$C,$O$4)</f>
        <v>13833.000769999982</v>
      </c>
      <c r="P15" s="3">
        <f>SUMIFS('Y2025B &amp; Y2024A'!$F:$F,'Y2025B &amp; Y2024A'!$B:$B,$D15,'Y2025B &amp; Y2024A'!$C:$C,$O$4)</f>
        <v>11953.255834887601</v>
      </c>
      <c r="Q15" s="24"/>
      <c r="R15" s="3">
        <f>SUMIFS('Y2025B &amp; Y2024A'!$D:$D,'Y2025B &amp; Y2024A'!$B:$B,$D15,'Y2025B &amp; Y2024A'!$C:$C,$R$4)</f>
        <v>-359.47289999999998</v>
      </c>
      <c r="S15" s="3">
        <f>SUMIFS('Y2025B &amp; Y2024A'!$F:$F,'Y2025B &amp; Y2024A'!$B:$B,$D15,'Y2025B &amp; Y2024A'!$C:$C,$R$4)</f>
        <v>-524.78018000000009</v>
      </c>
      <c r="T15" s="24"/>
      <c r="U15" s="3">
        <f>SUMIFS('Y2025B &amp; Y2024A'!$D:$D,'Y2025B &amp; Y2024A'!$B:$B,$D15,'Y2025B &amp; Y2024A'!$C:$C,$U$4)</f>
        <v>-1011.29075</v>
      </c>
      <c r="V15" s="3">
        <f>SUMIFS('Y2025B &amp; Y2024A'!$F:$F,'Y2025B &amp; Y2024A'!$B:$B,$D15,'Y2025B &amp; Y2024A'!$C:$C,$U$4)</f>
        <v>-920.84930000000008</v>
      </c>
      <c r="X15" s="3">
        <f>SUMIFS('Y2025B &amp; Y2024A'!$D:$D,'Y2025B &amp; Y2024A'!$B:$B,$D15,'Y2025B &amp; Y2024A'!$C:$C,$X$4)</f>
        <v>12462.23711999998</v>
      </c>
      <c r="Y15" s="3">
        <f>SUMIFS('Y2025B &amp; Y2024A'!$F:$F,'Y2025B &amp; Y2024A'!$B:$B,$D15,'Y2025B &amp; Y2024A'!$C:$C,$X$4)</f>
        <v>10507.626354887601</v>
      </c>
      <c r="AA15" s="3">
        <f>SUMIFS('Y2025B &amp; Y2024A'!$D:$D,'Y2025B &amp; Y2024A'!$B:$B,$D15,'Y2025B &amp; Y2024A'!$C:$C,$AA$4)</f>
        <v>-4393.1039099999989</v>
      </c>
      <c r="AB15" s="3">
        <f>SUMIFS('Y2025B &amp; Y2024A'!$F:$F,'Y2025B &amp; Y2024A'!$B:$B,$D15,'Y2025B &amp; Y2024A'!$C:$C,$AA$4)</f>
        <v>-4678.9761700000017</v>
      </c>
      <c r="AD15" s="3">
        <f>SUMIFS('Y2025B &amp; Y2024A'!$D:$D,'Y2025B &amp; Y2024A'!$B:$B,$D15,'Y2025B &amp; Y2024A'!$C:$C,$AD$4)</f>
        <v>-2592.6918899999991</v>
      </c>
      <c r="AE15" s="3">
        <f>SUMIFS('Y2025B &amp; Y2024A'!$F:$F,'Y2025B &amp; Y2024A'!$B:$B,$D15,'Y2025B &amp; Y2024A'!$C:$C,$AD$4)</f>
        <v>-2873.7074499999994</v>
      </c>
      <c r="AG15" s="3">
        <f>SUMIFS('Y2025B &amp; Y2024A'!$D:$D,'Y2025B &amp; Y2024A'!$B:$B,$D15,'Y2025B &amp; Y2024A'!$C:$C,$AG$4)</f>
        <v>-3048.4504999999999</v>
      </c>
      <c r="AH15" s="3">
        <f>SUMIFS('Y2025B &amp; Y2024A'!$F:$F,'Y2025B &amp; Y2024A'!$B:$B,$D15,'Y2025B &amp; Y2024A'!$C:$C,$AG$4)</f>
        <v>-2897.7200499999994</v>
      </c>
      <c r="AJ15" s="3">
        <f>SUMIFS('Y2025B &amp; Y2024A'!$D:$D,'Y2025B &amp; Y2024A'!$B:$B,$D15,'Y2025B &amp; Y2024A'!$C:$C,$AJ$4)</f>
        <v>2427.9908199999809</v>
      </c>
      <c r="AK15" s="3">
        <f>SUMIFS('Y2025B &amp; Y2024A'!$F:$F,'Y2025B &amp; Y2024A'!$B:$B,$D15,'Y2025B &amp; Y2024A'!$C:$C,$AJ$4)</f>
        <v>57.222684887599826</v>
      </c>
      <c r="AM15" s="3">
        <f>SUMIFS('Y2025B &amp; Y2024A'!$D:$D,'Y2025B &amp; Y2024A'!$B:$B,$D15,'Y2025B &amp; Y2024A'!$C:$C,$AM$4)</f>
        <v>-467.2423</v>
      </c>
      <c r="AN15" s="3">
        <f>SUMIFS('Y2025B &amp; Y2024A'!$F:$F,'Y2025B &amp; Y2024A'!$B:$B,$D15,'Y2025B &amp; Y2024A'!$C:$C,$AM$4)</f>
        <v>-1289.08086</v>
      </c>
      <c r="AP15" s="3">
        <f>SUMIFS('Y2025B &amp; Y2024A'!$D:$D,'Y2025B &amp; Y2024A'!$B:$B,$D15,'Y2025B &amp; Y2024A'!$C:$C,$AP$4)</f>
        <v>1960.748519999981</v>
      </c>
      <c r="AQ15" s="3">
        <f>SUMIFS('Y2025B &amp; Y2024A'!$F:$F,'Y2025B &amp; Y2024A'!$B:$B,$D15,'Y2025B &amp; Y2024A'!$C:$C,$AP$4)</f>
        <v>-1231.8581751124002</v>
      </c>
    </row>
    <row r="16" spans="2:43" outlineLevel="1" x14ac:dyDescent="0.85">
      <c r="B16" s="25" t="s">
        <v>91</v>
      </c>
      <c r="C16" s="25" t="s">
        <v>31</v>
      </c>
      <c r="D16" s="26"/>
      <c r="E16" s="26"/>
      <c r="F16" s="26"/>
      <c r="G16" s="25"/>
      <c r="H16" s="16"/>
      <c r="I16" s="27">
        <f>SUBTOTAL(9,I14:I15)</f>
        <v>111025.68430000001</v>
      </c>
      <c r="J16" s="27">
        <f>SUBTOTAL(9,J14:J15)</f>
        <v>105541.76409000001</v>
      </c>
      <c r="K16" s="29"/>
      <c r="L16" s="27">
        <f>SUBTOTAL(9,L14:L15)</f>
        <v>6109.7497600000061</v>
      </c>
      <c r="M16" s="27">
        <f>SUBTOTAL(9,M14:M15)</f>
        <v>4077.7192974362383</v>
      </c>
      <c r="N16" s="29"/>
      <c r="O16" s="27">
        <f>SUBTOTAL(9,O14:O15)</f>
        <v>28172.628509999988</v>
      </c>
      <c r="P16" s="27">
        <f>SUBTOTAL(9,P14:P15)</f>
        <v>24382.984337436181</v>
      </c>
      <c r="Q16" s="29"/>
      <c r="R16" s="27">
        <f>SUBTOTAL(9,R14:R15)</f>
        <v>-700.41570999999999</v>
      </c>
      <c r="S16" s="27">
        <f>SUBTOTAL(9,S14:S15)</f>
        <v>-960.57383000000038</v>
      </c>
      <c r="T16" s="29"/>
      <c r="U16" s="27">
        <f>SUBTOTAL(9,U14:U15)</f>
        <v>-2039.3923799999998</v>
      </c>
      <c r="V16" s="27">
        <f>SUBTOTAL(9,V14:V15)</f>
        <v>-1838.1029100000001</v>
      </c>
      <c r="W16" s="17"/>
      <c r="X16" s="27">
        <f>SUBTOTAL(9,X14:X15)</f>
        <v>25432.820419999982</v>
      </c>
      <c r="Y16" s="27">
        <f>SUBTOTAL(9,Y14:Y15)</f>
        <v>21584.307597436178</v>
      </c>
      <c r="Z16" s="17"/>
      <c r="AA16" s="27">
        <f>SUBTOTAL(9,AA14:AA15)</f>
        <v>-8534.3527099999974</v>
      </c>
      <c r="AB16" s="27">
        <f>SUBTOTAL(9,AB14:AB15)</f>
        <v>-9249.8281400000014</v>
      </c>
      <c r="AC16" s="17"/>
      <c r="AD16" s="27">
        <f>SUBTOTAL(9,AD14:AD15)</f>
        <v>-4128.608189999999</v>
      </c>
      <c r="AE16" s="27">
        <f>SUBTOTAL(9,AE14:AE15)</f>
        <v>-4428.9773799999994</v>
      </c>
      <c r="AF16" s="17"/>
      <c r="AG16" s="27">
        <f>SUBTOTAL(9,AG14:AG15)</f>
        <v>-5748.4504999999999</v>
      </c>
      <c r="AH16" s="27">
        <f>SUBTOTAL(9,AH14:AH15)</f>
        <v>-5597.7200499999999</v>
      </c>
      <c r="AI16" s="17"/>
      <c r="AJ16" s="27">
        <f>SUBTOTAL(9,AJ14:AJ15)</f>
        <v>7021.4090199999846</v>
      </c>
      <c r="AK16" s="27">
        <f>SUBTOTAL(9,AK14:AK15)</f>
        <v>2307.7820274361784</v>
      </c>
      <c r="AL16" s="17"/>
      <c r="AM16" s="27">
        <f>SUBTOTAL(9,AM14:AM15)</f>
        <v>-2368.4280200000003</v>
      </c>
      <c r="AN16" s="27">
        <f>SUBTOTAL(9,AN14:AN15)</f>
        <v>-2638.7914799999999</v>
      </c>
      <c r="AO16" s="17"/>
      <c r="AP16" s="27">
        <f>SUBTOTAL(9,AP14:AP15)</f>
        <v>4652.9809999999843</v>
      </c>
      <c r="AQ16" s="27">
        <f>SUBTOTAL(9,AQ14:AQ15)</f>
        <v>-331.0094525638217</v>
      </c>
    </row>
    <row r="17" spans="2:43" x14ac:dyDescent="0.85">
      <c r="B17" s="30" t="s">
        <v>92</v>
      </c>
      <c r="C17" s="30"/>
      <c r="D17" s="31"/>
      <c r="E17" s="31"/>
      <c r="F17" s="31"/>
      <c r="G17" s="30"/>
      <c r="H17" s="16"/>
      <c r="I17" s="32">
        <f>SUBTOTAL(9,I6:I16)</f>
        <v>440928.11994</v>
      </c>
      <c r="J17" s="32">
        <f>SUBTOTAL(9,J6:J16)</f>
        <v>427661.52230999997</v>
      </c>
      <c r="K17" s="29"/>
      <c r="L17" s="32">
        <f>SUBTOTAL(9,L6:L16)</f>
        <v>36181.817890000006</v>
      </c>
      <c r="M17" s="32">
        <f>SUBTOTAL(9,M6:M16)</f>
        <v>34019.527263179727</v>
      </c>
      <c r="N17" s="29"/>
      <c r="O17" s="32">
        <f>SUBTOTAL(9,O6:O16)</f>
        <v>123613.85287999996</v>
      </c>
      <c r="P17" s="32">
        <f>SUBTOTAL(9,P6:P16)</f>
        <v>118973.78382317969</v>
      </c>
      <c r="Q17" s="29"/>
      <c r="R17" s="32">
        <f>SUBTOTAL(9,R6:R16)</f>
        <v>-2697.3880499999996</v>
      </c>
      <c r="S17" s="32">
        <f>SUBTOTAL(9,S6:S16)</f>
        <v>-3066.4737900000005</v>
      </c>
      <c r="T17" s="29"/>
      <c r="U17" s="32">
        <f>SUBTOTAL(9,U6:U16)</f>
        <v>-8177.3747299999995</v>
      </c>
      <c r="V17" s="32">
        <f>SUBTOTAL(9,V6:V16)</f>
        <v>-7274.1175599999988</v>
      </c>
      <c r="W17" s="17"/>
      <c r="X17" s="32">
        <f>SUBTOTAL(9,X6:X16)</f>
        <v>112739.09009999994</v>
      </c>
      <c r="Y17" s="32">
        <f>SUBTOTAL(9,Y6:Y16)</f>
        <v>108633.1924731797</v>
      </c>
      <c r="Z17" s="17"/>
      <c r="AA17" s="32">
        <f>SUBTOTAL(9,AA6:AA16)</f>
        <v>-35275.144840000001</v>
      </c>
      <c r="AB17" s="32">
        <f>SUBTOTAL(9,AB6:AB16)</f>
        <v>-35595.551169999992</v>
      </c>
      <c r="AC17" s="17"/>
      <c r="AD17" s="32">
        <f>SUBTOTAL(9,AD6:AD16)</f>
        <v>-16045.387209999997</v>
      </c>
      <c r="AE17" s="32">
        <f>SUBTOTAL(9,AE6:AE16)</f>
        <v>-16717.994900000002</v>
      </c>
      <c r="AF17" s="17"/>
      <c r="AG17" s="32">
        <f>SUBTOTAL(9,AG6:AG16)</f>
        <v>-22961.005969999998</v>
      </c>
      <c r="AH17" s="32">
        <f>SUBTOTAL(9,AH6:AH16)</f>
        <v>-24347.975630000001</v>
      </c>
      <c r="AI17" s="17"/>
      <c r="AJ17" s="32">
        <f>SUBTOTAL(9,AJ6:AJ16)</f>
        <v>38457.552079999936</v>
      </c>
      <c r="AK17" s="32">
        <f>SUBTOTAL(9,AK6:AK16)</f>
        <v>31971.670773179714</v>
      </c>
      <c r="AL17" s="17"/>
      <c r="AM17" s="32">
        <f>SUBTOTAL(9,AM6:AM16)</f>
        <v>-11605.885589999998</v>
      </c>
      <c r="AN17" s="32">
        <f>SUBTOTAL(9,AN6:AN16)</f>
        <v>-11854.190219999999</v>
      </c>
      <c r="AO17" s="17"/>
      <c r="AP17" s="32">
        <f>SUBTOTAL(9,AP6:AP16)</f>
        <v>26851.666489999945</v>
      </c>
      <c r="AQ17" s="32">
        <f>SUBTOTAL(9,AQ6:AQ16)</f>
        <v>20117.480553179721</v>
      </c>
    </row>
    <row r="18" spans="2:43" outlineLevel="2" x14ac:dyDescent="0.85">
      <c r="B18" s="1" t="s">
        <v>93</v>
      </c>
      <c r="C18" s="1" t="s">
        <v>68</v>
      </c>
      <c r="D18" s="2">
        <v>402</v>
      </c>
      <c r="E18" s="1" t="s">
        <v>24</v>
      </c>
      <c r="F18" s="2" t="s">
        <v>13</v>
      </c>
      <c r="G18" s="1" t="s">
        <v>64</v>
      </c>
      <c r="I18" s="3">
        <f>SUMIFS('Y2025B &amp; Y2024A'!$D:$D,'Y2025B &amp; Y2024A'!$B:$B,$D18,'Y2025B &amp; Y2024A'!$C:$C,$I$4)</f>
        <v>54628.009890000008</v>
      </c>
      <c r="J18" s="3">
        <f>SUMIFS('Y2025B &amp; Y2024A'!$F:$F,'Y2025B &amp; Y2024A'!$B:$B,$D18,'Y2025B &amp; Y2024A'!$C:$C,$I$4)</f>
        <v>53378.314129999999</v>
      </c>
      <c r="K18" s="24"/>
      <c r="L18" s="3">
        <f>SUMIFS('Y2025B &amp; Y2024A'!$D:$D,'Y2025B &amp; Y2024A'!$B:$B,$D18,'Y2025B &amp; Y2024A'!$C:$C,$L$4)</f>
        <v>5213.7166800000077</v>
      </c>
      <c r="M18" s="3">
        <f>SUMIFS('Y2025B &amp; Y2024A'!$F:$F,'Y2025B &amp; Y2024A'!$B:$B,$D18,'Y2025B &amp; Y2024A'!$C:$C,$L$4)</f>
        <v>5615.2640553311485</v>
      </c>
      <c r="N18" s="24"/>
      <c r="O18" s="3">
        <f>SUMIFS('Y2025B &amp; Y2024A'!$D:$D,'Y2025B &amp; Y2024A'!$B:$B,$D18,'Y2025B &amp; Y2024A'!$C:$C,$O$4)</f>
        <v>15971.286500000002</v>
      </c>
      <c r="P18" s="3">
        <f>SUMIFS('Y2025B &amp; Y2024A'!$F:$F,'Y2025B &amp; Y2024A'!$B:$B,$D18,'Y2025B &amp; Y2024A'!$C:$C,$O$4)</f>
        <v>15851.018975331139</v>
      </c>
      <c r="Q18" s="24"/>
      <c r="R18" s="3">
        <f>SUMIFS('Y2025B &amp; Y2024A'!$D:$D,'Y2025B &amp; Y2024A'!$B:$B,$D18,'Y2025B &amp; Y2024A'!$C:$C,$R$4)</f>
        <v>-348.10640000000001</v>
      </c>
      <c r="S18" s="3">
        <f>SUMIFS('Y2025B &amp; Y2024A'!$F:$F,'Y2025B &amp; Y2024A'!$B:$B,$D18,'Y2025B &amp; Y2024A'!$C:$C,$R$4)</f>
        <v>-293.02157999999997</v>
      </c>
      <c r="T18" s="24"/>
      <c r="U18" s="3">
        <f>SUMIFS('Y2025B &amp; Y2024A'!$D:$D,'Y2025B &amp; Y2024A'!$B:$B,$D18,'Y2025B &amp; Y2024A'!$C:$C,$U$4)</f>
        <v>-1097.5662699999998</v>
      </c>
      <c r="V18" s="3">
        <f>SUMIFS('Y2025B &amp; Y2024A'!$F:$F,'Y2025B &amp; Y2024A'!$B:$B,$D18,'Y2025B &amp; Y2024A'!$C:$C,$U$4)</f>
        <v>-1048.60726</v>
      </c>
      <c r="X18" s="3">
        <f>SUMIFS('Y2025B &amp; Y2024A'!$D:$D,'Y2025B &amp; Y2024A'!$B:$B,$D18,'Y2025B &amp; Y2024A'!$C:$C,$X$4)</f>
        <v>14525.613830000002</v>
      </c>
      <c r="Y18" s="3">
        <f>SUMIFS('Y2025B &amp; Y2024A'!$F:$F,'Y2025B &amp; Y2024A'!$B:$B,$D18,'Y2025B &amp; Y2024A'!$C:$C,$X$4)</f>
        <v>14509.390135331138</v>
      </c>
      <c r="AA18" s="3">
        <f>SUMIFS('Y2025B &amp; Y2024A'!$D:$D,'Y2025B &amp; Y2024A'!$B:$B,$D18,'Y2025B &amp; Y2024A'!$C:$C,$AA$4)</f>
        <v>-3982.998610000001</v>
      </c>
      <c r="AB18" s="3">
        <f>SUMIFS('Y2025B &amp; Y2024A'!$F:$F,'Y2025B &amp; Y2024A'!$B:$B,$D18,'Y2025B &amp; Y2024A'!$C:$C,$AA$4)</f>
        <v>-4019.9778300000007</v>
      </c>
      <c r="AD18" s="3">
        <f>SUMIFS('Y2025B &amp; Y2024A'!$D:$D,'Y2025B &amp; Y2024A'!$B:$B,$D18,'Y2025B &amp; Y2024A'!$C:$C,$AD$4)</f>
        <v>-1804.7078599999998</v>
      </c>
      <c r="AE18" s="3">
        <f>SUMIFS('Y2025B &amp; Y2024A'!$F:$F,'Y2025B &amp; Y2024A'!$B:$B,$D18,'Y2025B &amp; Y2024A'!$C:$C,$AD$4)</f>
        <v>-1703.51539</v>
      </c>
      <c r="AG18" s="3">
        <f>SUMIFS('Y2025B &amp; Y2024A'!$D:$D,'Y2025B &amp; Y2024A'!$B:$B,$D18,'Y2025B &amp; Y2024A'!$C:$C,$AG$4)</f>
        <v>-1370.3408800000002</v>
      </c>
      <c r="AH18" s="3">
        <f>SUMIFS('Y2025B &amp; Y2024A'!$F:$F,'Y2025B &amp; Y2024A'!$B:$B,$D18,'Y2025B &amp; Y2024A'!$C:$C,$AG$4)</f>
        <v>-1340.86457</v>
      </c>
      <c r="AJ18" s="3">
        <f>SUMIFS('Y2025B &amp; Y2024A'!$D:$D,'Y2025B &amp; Y2024A'!$B:$B,$D18,'Y2025B &amp; Y2024A'!$C:$C,$AJ$4)</f>
        <v>7367.5664800000013</v>
      </c>
      <c r="AK18" s="3">
        <f>SUMIFS('Y2025B &amp; Y2024A'!$F:$F,'Y2025B &amp; Y2024A'!$B:$B,$D18,'Y2025B &amp; Y2024A'!$C:$C,$AJ$4)</f>
        <v>7445.0323453311375</v>
      </c>
      <c r="AM18" s="3">
        <f>SUMIFS('Y2025B &amp; Y2024A'!$D:$D,'Y2025B &amp; Y2024A'!$B:$B,$D18,'Y2025B &amp; Y2024A'!$C:$C,$AM$4)</f>
        <v>-1755.0972399999996</v>
      </c>
      <c r="AN18" s="3">
        <f>SUMIFS('Y2025B &amp; Y2024A'!$F:$F,'Y2025B &amp; Y2024A'!$B:$B,$D18,'Y2025B &amp; Y2024A'!$C:$C,$AM$4)</f>
        <v>-1753.3511899999999</v>
      </c>
      <c r="AP18" s="3">
        <f>SUMIFS('Y2025B &amp; Y2024A'!$D:$D,'Y2025B &amp; Y2024A'!$B:$B,$D18,'Y2025B &amp; Y2024A'!$C:$C,$AP$4)</f>
        <v>5612.4692400000022</v>
      </c>
      <c r="AQ18" s="3">
        <f>SUMIFS('Y2025B &amp; Y2024A'!$F:$F,'Y2025B &amp; Y2024A'!$B:$B,$D18,'Y2025B &amp; Y2024A'!$C:$C,$AP$4)</f>
        <v>5691.6811553311381</v>
      </c>
    </row>
    <row r="19" spans="2:43" outlineLevel="2" x14ac:dyDescent="0.85">
      <c r="B19" s="1" t="s">
        <v>93</v>
      </c>
      <c r="C19" s="1" t="s">
        <v>68</v>
      </c>
      <c r="D19" s="2">
        <v>40013</v>
      </c>
      <c r="E19" s="1" t="s">
        <v>26</v>
      </c>
      <c r="F19" s="2" t="s">
        <v>15</v>
      </c>
      <c r="G19" s="1" t="s">
        <v>64</v>
      </c>
      <c r="I19" s="3">
        <f>SUMIFS('Y2025B &amp; Y2024A'!$D:$D,'Y2025B &amp; Y2024A'!$B:$B,$D19,'Y2025B &amp; Y2024A'!$C:$C,$I$4)</f>
        <v>45741.72608</v>
      </c>
      <c r="J19" s="3">
        <f>SUMIFS('Y2025B &amp; Y2024A'!$F:$F,'Y2025B &amp; Y2024A'!$B:$B,$D19,'Y2025B &amp; Y2024A'!$C:$C,$I$4)</f>
        <v>49726.589660000005</v>
      </c>
      <c r="K19" s="24"/>
      <c r="L19" s="3">
        <f>SUMIFS('Y2025B &amp; Y2024A'!$D:$D,'Y2025B &amp; Y2024A'!$B:$B,$D19,'Y2025B &amp; Y2024A'!$C:$C,$L$4)</f>
        <v>3776.6744499999954</v>
      </c>
      <c r="M19" s="3">
        <f>SUMIFS('Y2025B &amp; Y2024A'!$F:$F,'Y2025B &amp; Y2024A'!$B:$B,$D19,'Y2025B &amp; Y2024A'!$C:$C,$L$4)</f>
        <v>4183.1995288740773</v>
      </c>
      <c r="N19" s="24"/>
      <c r="O19" s="3">
        <f>SUMIFS('Y2025B &amp; Y2024A'!$D:$D,'Y2025B &amp; Y2024A'!$B:$B,$D19,'Y2025B &amp; Y2024A'!$C:$C,$O$4)</f>
        <v>12801.852649999995</v>
      </c>
      <c r="P19" s="3">
        <f>SUMIFS('Y2025B &amp; Y2024A'!$F:$F,'Y2025B &amp; Y2024A'!$B:$B,$D19,'Y2025B &amp; Y2024A'!$C:$C,$O$4)</f>
        <v>13574.910168874074</v>
      </c>
      <c r="Q19" s="24"/>
      <c r="R19" s="3">
        <f>SUMIFS('Y2025B &amp; Y2024A'!$D:$D,'Y2025B &amp; Y2024A'!$B:$B,$D19,'Y2025B &amp; Y2024A'!$C:$C,$R$4)</f>
        <v>-295.50175999999999</v>
      </c>
      <c r="S19" s="3">
        <f>SUMIFS('Y2025B &amp; Y2024A'!$F:$F,'Y2025B &amp; Y2024A'!$B:$B,$D19,'Y2025B &amp; Y2024A'!$C:$C,$R$4)</f>
        <v>-620.17174999999997</v>
      </c>
      <c r="T19" s="24"/>
      <c r="U19" s="3">
        <f>SUMIFS('Y2025B &amp; Y2024A'!$D:$D,'Y2025B &amp; Y2024A'!$B:$B,$D19,'Y2025B &amp; Y2024A'!$C:$C,$U$4)</f>
        <v>-901.94284999999991</v>
      </c>
      <c r="V19" s="3">
        <f>SUMIFS('Y2025B &amp; Y2024A'!$F:$F,'Y2025B &amp; Y2024A'!$B:$B,$D19,'Y2025B &amp; Y2024A'!$C:$C,$U$4)</f>
        <v>-929.66099000000008</v>
      </c>
      <c r="X19" s="3">
        <f>SUMIFS('Y2025B &amp; Y2024A'!$D:$D,'Y2025B &amp; Y2024A'!$B:$B,$D19,'Y2025B &amp; Y2024A'!$C:$C,$X$4)</f>
        <v>11604.408039999995</v>
      </c>
      <c r="Y19" s="3">
        <f>SUMIFS('Y2025B &amp; Y2024A'!$F:$F,'Y2025B &amp; Y2024A'!$B:$B,$D19,'Y2025B &amp; Y2024A'!$C:$C,$X$4)</f>
        <v>12025.077428874076</v>
      </c>
      <c r="AA19" s="3">
        <f>SUMIFS('Y2025B &amp; Y2024A'!$D:$D,'Y2025B &amp; Y2024A'!$B:$B,$D19,'Y2025B &amp; Y2024A'!$C:$C,$AA$4)</f>
        <v>-4397.4801799999996</v>
      </c>
      <c r="AB19" s="3">
        <f>SUMIFS('Y2025B &amp; Y2024A'!$F:$F,'Y2025B &amp; Y2024A'!$B:$B,$D19,'Y2025B &amp; Y2024A'!$C:$C,$AA$4)</f>
        <v>-4704.0989900000022</v>
      </c>
      <c r="AD19" s="3">
        <f>SUMIFS('Y2025B &amp; Y2024A'!$D:$D,'Y2025B &amp; Y2024A'!$B:$B,$D19,'Y2025B &amp; Y2024A'!$C:$C,$AD$4)</f>
        <v>-2095.5180600000003</v>
      </c>
      <c r="AE19" s="3">
        <f>SUMIFS('Y2025B &amp; Y2024A'!$F:$F,'Y2025B &amp; Y2024A'!$B:$B,$D19,'Y2025B &amp; Y2024A'!$C:$C,$AD$4)</f>
        <v>-1990.4069500000001</v>
      </c>
      <c r="AG19" s="3">
        <f>SUMIFS('Y2025B &amp; Y2024A'!$D:$D,'Y2025B &amp; Y2024A'!$B:$B,$D19,'Y2025B &amp; Y2024A'!$C:$C,$AG$4)</f>
        <v>-5280.4418400000022</v>
      </c>
      <c r="AH19" s="3">
        <f>SUMIFS('Y2025B &amp; Y2024A'!$F:$F,'Y2025B &amp; Y2024A'!$B:$B,$D19,'Y2025B &amp; Y2024A'!$C:$C,$AG$4)</f>
        <v>-5280.4418400000022</v>
      </c>
      <c r="AJ19" s="3">
        <f>SUMIFS('Y2025B &amp; Y2024A'!$D:$D,'Y2025B &amp; Y2024A'!$B:$B,$D19,'Y2025B &amp; Y2024A'!$C:$C,$AJ$4)</f>
        <v>-169.03204000000733</v>
      </c>
      <c r="AK19" s="3">
        <f>SUMIFS('Y2025B &amp; Y2024A'!$F:$F,'Y2025B &amp; Y2024A'!$B:$B,$D19,'Y2025B &amp; Y2024A'!$C:$C,$AJ$4)</f>
        <v>50.129648874069971</v>
      </c>
      <c r="AM19" s="3">
        <f>SUMIFS('Y2025B &amp; Y2024A'!$D:$D,'Y2025B &amp; Y2024A'!$B:$B,$D19,'Y2025B &amp; Y2024A'!$C:$C,$AM$4)</f>
        <v>-731.41079000000002</v>
      </c>
      <c r="AN19" s="3">
        <f>SUMIFS('Y2025B &amp; Y2024A'!$F:$F,'Y2025B &amp; Y2024A'!$B:$B,$D19,'Y2025B &amp; Y2024A'!$C:$C,$AM$4)</f>
        <v>-843.09899999999982</v>
      </c>
      <c r="AP19" s="3">
        <f>SUMIFS('Y2025B &amp; Y2024A'!$D:$D,'Y2025B &amp; Y2024A'!$B:$B,$D19,'Y2025B &amp; Y2024A'!$C:$C,$AP$4)</f>
        <v>-900.44283000000735</v>
      </c>
      <c r="AQ19" s="3">
        <f>SUMIFS('Y2025B &amp; Y2024A'!$F:$F,'Y2025B &amp; Y2024A'!$B:$B,$D19,'Y2025B &amp; Y2024A'!$C:$C,$AP$4)</f>
        <v>-792.96935112592985</v>
      </c>
    </row>
    <row r="20" spans="2:43" outlineLevel="1" x14ac:dyDescent="0.85">
      <c r="B20" s="25" t="s">
        <v>93</v>
      </c>
      <c r="C20" s="25" t="s">
        <v>69</v>
      </c>
      <c r="D20" s="26"/>
      <c r="E20" s="26"/>
      <c r="F20" s="26"/>
      <c r="G20" s="25"/>
      <c r="H20" s="16"/>
      <c r="I20" s="27">
        <f>SUBTOTAL(9,I18:I19)</f>
        <v>100369.73597000001</v>
      </c>
      <c r="J20" s="27">
        <f>SUBTOTAL(9,J18:J19)</f>
        <v>103104.90379000001</v>
      </c>
      <c r="K20" s="29"/>
      <c r="L20" s="27">
        <f>SUBTOTAL(9,L18:L19)</f>
        <v>8990.3911300000036</v>
      </c>
      <c r="M20" s="27">
        <f>SUBTOTAL(9,M18:M19)</f>
        <v>9798.4635842052267</v>
      </c>
      <c r="N20" s="29"/>
      <c r="O20" s="27">
        <f>SUBTOTAL(9,O18:O19)</f>
        <v>28773.139149999995</v>
      </c>
      <c r="P20" s="27">
        <f>SUBTOTAL(9,P18:P19)</f>
        <v>29425.929144205213</v>
      </c>
      <c r="Q20" s="29"/>
      <c r="R20" s="27">
        <f>SUBTOTAL(9,R18:R19)</f>
        <v>-643.60816</v>
      </c>
      <c r="S20" s="27">
        <f>SUBTOTAL(9,S18:S19)</f>
        <v>-913.19332999999995</v>
      </c>
      <c r="T20" s="29"/>
      <c r="U20" s="27">
        <f>SUBTOTAL(9,U18:U19)</f>
        <v>-1999.5091199999997</v>
      </c>
      <c r="V20" s="27">
        <f>SUBTOTAL(9,V18:V19)</f>
        <v>-1978.2682500000001</v>
      </c>
      <c r="W20" s="17"/>
      <c r="X20" s="27">
        <f>SUBTOTAL(9,X18:X19)</f>
        <v>26130.021869999997</v>
      </c>
      <c r="Y20" s="27">
        <f>SUBTOTAL(9,Y18:Y19)</f>
        <v>26534.467564205213</v>
      </c>
      <c r="Z20" s="17"/>
      <c r="AA20" s="27">
        <f>SUBTOTAL(9,AA18:AA19)</f>
        <v>-8380.478790000001</v>
      </c>
      <c r="AB20" s="27">
        <f>SUBTOTAL(9,AB18:AB19)</f>
        <v>-8724.076820000002</v>
      </c>
      <c r="AC20" s="17"/>
      <c r="AD20" s="27">
        <f>SUBTOTAL(9,AD18:AD19)</f>
        <v>-3900.2259199999999</v>
      </c>
      <c r="AE20" s="27">
        <f>SUBTOTAL(9,AE18:AE19)</f>
        <v>-3693.9223400000001</v>
      </c>
      <c r="AF20" s="17"/>
      <c r="AG20" s="27">
        <f>SUBTOTAL(9,AG18:AG19)</f>
        <v>-6650.7827200000029</v>
      </c>
      <c r="AH20" s="27">
        <f>SUBTOTAL(9,AH18:AH19)</f>
        <v>-6621.306410000002</v>
      </c>
      <c r="AI20" s="17"/>
      <c r="AJ20" s="27">
        <f>SUBTOTAL(9,AJ18:AJ19)</f>
        <v>7198.534439999994</v>
      </c>
      <c r="AK20" s="27">
        <f>SUBTOTAL(9,AK18:AK19)</f>
        <v>7495.1619942052075</v>
      </c>
      <c r="AL20" s="17"/>
      <c r="AM20" s="27">
        <f>SUBTOTAL(9,AM18:AM19)</f>
        <v>-2486.5080299999995</v>
      </c>
      <c r="AN20" s="27">
        <f>SUBTOTAL(9,AN18:AN19)</f>
        <v>-2596.4501899999996</v>
      </c>
      <c r="AO20" s="17"/>
      <c r="AP20" s="27">
        <f>SUBTOTAL(9,AP18:AP19)</f>
        <v>4712.0264099999949</v>
      </c>
      <c r="AQ20" s="27">
        <f>SUBTOTAL(9,AQ18:AQ19)</f>
        <v>4898.711804205208</v>
      </c>
    </row>
    <row r="21" spans="2:43" outlineLevel="2" x14ac:dyDescent="0.85">
      <c r="B21" s="1" t="s">
        <v>93</v>
      </c>
      <c r="C21" s="1" t="s">
        <v>70</v>
      </c>
      <c r="D21" s="2">
        <v>403</v>
      </c>
      <c r="E21" s="1" t="s">
        <v>22</v>
      </c>
      <c r="F21" s="2" t="s">
        <v>13</v>
      </c>
      <c r="G21" s="1" t="s">
        <v>64</v>
      </c>
      <c r="I21" s="3">
        <f>SUMIFS('Y2025B &amp; Y2024A'!$D:$D,'Y2025B &amp; Y2024A'!$B:$B,$D21,'Y2025B &amp; Y2024A'!$C:$C,$I$4)</f>
        <v>48473.322040000006</v>
      </c>
      <c r="J21" s="3">
        <f>SUMIFS('Y2025B &amp; Y2024A'!$F:$F,'Y2025B &amp; Y2024A'!$B:$B,$D21,'Y2025B &amp; Y2024A'!$C:$C,$I$4)</f>
        <v>48521.454710000005</v>
      </c>
      <c r="K21" s="24"/>
      <c r="L21" s="3">
        <f>SUMIFS('Y2025B &amp; Y2024A'!$D:$D,'Y2025B &amp; Y2024A'!$B:$B,$D21,'Y2025B &amp; Y2024A'!$C:$C,$L$4)</f>
        <v>2748.4132900000027</v>
      </c>
      <c r="M21" s="3">
        <f>SUMIFS('Y2025B &amp; Y2024A'!$F:$F,'Y2025B &amp; Y2024A'!$B:$B,$D21,'Y2025B &amp; Y2024A'!$C:$C,$L$4)</f>
        <v>2366.5869089192033</v>
      </c>
      <c r="N21" s="24"/>
      <c r="O21" s="3">
        <f>SUMIFS('Y2025B &amp; Y2024A'!$D:$D,'Y2025B &amp; Y2024A'!$B:$B,$D21,'Y2025B &amp; Y2024A'!$C:$C,$O$4)</f>
        <v>11943.472290000002</v>
      </c>
      <c r="P21" s="3">
        <f>SUMIFS('Y2025B &amp; Y2024A'!$F:$F,'Y2025B &amp; Y2024A'!$B:$B,$D21,'Y2025B &amp; Y2024A'!$C:$C,$O$4)</f>
        <v>11206.714758919214</v>
      </c>
      <c r="Q21" s="24"/>
      <c r="R21" s="3">
        <f>SUMIFS('Y2025B &amp; Y2024A'!$D:$D,'Y2025B &amp; Y2024A'!$B:$B,$D21,'Y2025B &amp; Y2024A'!$C:$C,$R$4)</f>
        <v>-279.54496999999998</v>
      </c>
      <c r="S21" s="3">
        <f>SUMIFS('Y2025B &amp; Y2024A'!$F:$F,'Y2025B &amp; Y2024A'!$B:$B,$D21,'Y2025B &amp; Y2024A'!$C:$C,$R$4)</f>
        <v>-435.97248999999999</v>
      </c>
      <c r="T21" s="24"/>
      <c r="U21" s="3">
        <f>SUMIFS('Y2025B &amp; Y2024A'!$D:$D,'Y2025B &amp; Y2024A'!$B:$B,$D21,'Y2025B &amp; Y2024A'!$C:$C,$U$4)</f>
        <v>-913.58999999999992</v>
      </c>
      <c r="V21" s="3">
        <f>SUMIFS('Y2025B &amp; Y2024A'!$F:$F,'Y2025B &amp; Y2024A'!$B:$B,$D21,'Y2025B &amp; Y2024A'!$C:$C,$U$4)</f>
        <v>-844.01675999999998</v>
      </c>
      <c r="X21" s="3">
        <f>SUMIFS('Y2025B &amp; Y2024A'!$D:$D,'Y2025B &amp; Y2024A'!$B:$B,$D21,'Y2025B &amp; Y2024A'!$C:$C,$X$4)</f>
        <v>10750.337319999999</v>
      </c>
      <c r="Y21" s="3">
        <f>SUMIFS('Y2025B &amp; Y2024A'!$F:$F,'Y2025B &amp; Y2024A'!$B:$B,$D21,'Y2025B &amp; Y2024A'!$C:$C,$X$4)</f>
        <v>9926.7255089192149</v>
      </c>
      <c r="AA21" s="3">
        <f>SUMIFS('Y2025B &amp; Y2024A'!$D:$D,'Y2025B &amp; Y2024A'!$B:$B,$D21,'Y2025B &amp; Y2024A'!$C:$C,$AA$4)</f>
        <v>-3830.1429100000005</v>
      </c>
      <c r="AB21" s="3">
        <f>SUMIFS('Y2025B &amp; Y2024A'!$F:$F,'Y2025B &amp; Y2024A'!$B:$B,$D21,'Y2025B &amp; Y2024A'!$C:$C,$AA$4)</f>
        <v>-3804.7967199999989</v>
      </c>
      <c r="AD21" s="3">
        <f>SUMIFS('Y2025B &amp; Y2024A'!$D:$D,'Y2025B &amp; Y2024A'!$B:$B,$D21,'Y2025B &amp; Y2024A'!$C:$C,$AD$4)</f>
        <v>-1690.3201200000003</v>
      </c>
      <c r="AE21" s="3">
        <f>SUMIFS('Y2025B &amp; Y2024A'!$F:$F,'Y2025B &amp; Y2024A'!$B:$B,$D21,'Y2025B &amp; Y2024A'!$C:$C,$AD$4)</f>
        <v>-1748.3403999999996</v>
      </c>
      <c r="AG21" s="3">
        <f>SUMIFS('Y2025B &amp; Y2024A'!$D:$D,'Y2025B &amp; Y2024A'!$B:$B,$D21,'Y2025B &amp; Y2024A'!$C:$C,$AG$4)</f>
        <v>-1531.0021199999994</v>
      </c>
      <c r="AH21" s="3">
        <f>SUMIFS('Y2025B &amp; Y2024A'!$F:$F,'Y2025B &amp; Y2024A'!$B:$B,$D21,'Y2025B &amp; Y2024A'!$C:$C,$AG$4)</f>
        <v>-1531.0021199999994</v>
      </c>
      <c r="AJ21" s="3">
        <f>SUMIFS('Y2025B &amp; Y2024A'!$D:$D,'Y2025B &amp; Y2024A'!$B:$B,$D21,'Y2025B &amp; Y2024A'!$C:$C,$AJ$4)</f>
        <v>3698.8721699999987</v>
      </c>
      <c r="AK21" s="3">
        <f>SUMIFS('Y2025B &amp; Y2024A'!$F:$F,'Y2025B &amp; Y2024A'!$B:$B,$D21,'Y2025B &amp; Y2024A'!$C:$C,$AJ$4)</f>
        <v>2842.5862689192172</v>
      </c>
      <c r="AM21" s="3">
        <f>SUMIFS('Y2025B &amp; Y2024A'!$D:$D,'Y2025B &amp; Y2024A'!$B:$B,$D21,'Y2025B &amp; Y2024A'!$C:$C,$AM$4)</f>
        <v>-1170.8349299999998</v>
      </c>
      <c r="AN21" s="3">
        <f>SUMIFS('Y2025B &amp; Y2024A'!$F:$F,'Y2025B &amp; Y2024A'!$B:$B,$D21,'Y2025B &amp; Y2024A'!$C:$C,$AM$4)</f>
        <v>41.699109999999543</v>
      </c>
      <c r="AP21" s="3">
        <f>SUMIFS('Y2025B &amp; Y2024A'!$D:$D,'Y2025B &amp; Y2024A'!$B:$B,$D21,'Y2025B &amp; Y2024A'!$C:$C,$AP$4)</f>
        <v>2528.0372399999987</v>
      </c>
      <c r="AQ21" s="3">
        <f>SUMIFS('Y2025B &amp; Y2024A'!$F:$F,'Y2025B &amp; Y2024A'!$B:$B,$D21,'Y2025B &amp; Y2024A'!$C:$C,$AP$4)</f>
        <v>2884.2853789192168</v>
      </c>
    </row>
    <row r="22" spans="2:43" outlineLevel="2" x14ac:dyDescent="0.85">
      <c r="B22" s="1" t="s">
        <v>93</v>
      </c>
      <c r="C22" s="1" t="s">
        <v>70</v>
      </c>
      <c r="D22" s="2">
        <v>40004</v>
      </c>
      <c r="E22" s="1" t="s">
        <v>27</v>
      </c>
      <c r="F22" s="2" t="s">
        <v>15</v>
      </c>
      <c r="G22" s="1" t="s">
        <v>64</v>
      </c>
      <c r="I22" s="3">
        <f>SUMIFS('Y2025B &amp; Y2024A'!$D:$D,'Y2025B &amp; Y2024A'!$B:$B,$D22,'Y2025B &amp; Y2024A'!$C:$C,$I$4)</f>
        <v>124175.87028999999</v>
      </c>
      <c r="J22" s="3">
        <f>SUMIFS('Y2025B &amp; Y2024A'!$F:$F,'Y2025B &amp; Y2024A'!$B:$B,$D22,'Y2025B &amp; Y2024A'!$C:$C,$I$4)</f>
        <v>118339.44416</v>
      </c>
      <c r="K22" s="24"/>
      <c r="L22" s="3">
        <f>SUMIFS('Y2025B &amp; Y2024A'!$D:$D,'Y2025B &amp; Y2024A'!$B:$B,$D22,'Y2025B &amp; Y2024A'!$C:$C,$L$4)</f>
        <v>12557.599610000001</v>
      </c>
      <c r="M22" s="3">
        <f>SUMIFS('Y2025B &amp; Y2024A'!$F:$F,'Y2025B &amp; Y2024A'!$B:$B,$D22,'Y2025B &amp; Y2024A'!$C:$C,$L$4)</f>
        <v>13158.581393258124</v>
      </c>
      <c r="N22" s="24"/>
      <c r="O22" s="3">
        <f>SUMIFS('Y2025B &amp; Y2024A'!$D:$D,'Y2025B &amp; Y2024A'!$B:$B,$D22,'Y2025B &amp; Y2024A'!$C:$C,$O$4)</f>
        <v>36510.953609999982</v>
      </c>
      <c r="P22" s="3">
        <f>SUMIFS('Y2025B &amp; Y2024A'!$F:$F,'Y2025B &amp; Y2024A'!$B:$B,$D22,'Y2025B &amp; Y2024A'!$C:$C,$O$4)</f>
        <v>35246.147333258072</v>
      </c>
      <c r="Q22" s="24"/>
      <c r="R22" s="3">
        <f>SUMIFS('Y2025B &amp; Y2024A'!$D:$D,'Y2025B &amp; Y2024A'!$B:$B,$D22,'Y2025B &amp; Y2024A'!$C:$C,$R$4)</f>
        <v>-751.78873999999996</v>
      </c>
      <c r="S22" s="3">
        <f>SUMIFS('Y2025B &amp; Y2024A'!$F:$F,'Y2025B &amp; Y2024A'!$B:$B,$D22,'Y2025B &amp; Y2024A'!$C:$C,$R$4)</f>
        <v>-293.61039</v>
      </c>
      <c r="T22" s="24"/>
      <c r="U22" s="3">
        <f>SUMIFS('Y2025B &amp; Y2024A'!$D:$D,'Y2025B &amp; Y2024A'!$B:$B,$D22,'Y2025B &amp; Y2024A'!$C:$C,$U$4)</f>
        <v>-2406.14419</v>
      </c>
      <c r="V22" s="3">
        <f>SUMIFS('Y2025B &amp; Y2024A'!$F:$F,'Y2025B &amp; Y2024A'!$B:$B,$D22,'Y2025B &amp; Y2024A'!$C:$C,$U$4)</f>
        <v>-2188.19517</v>
      </c>
      <c r="X22" s="3">
        <f>SUMIFS('Y2025B &amp; Y2024A'!$D:$D,'Y2025B &amp; Y2024A'!$B:$B,$D22,'Y2025B &amp; Y2024A'!$C:$C,$X$4)</f>
        <v>33353.02067999998</v>
      </c>
      <c r="Y22" s="3">
        <f>SUMIFS('Y2025B &amp; Y2024A'!$F:$F,'Y2025B &amp; Y2024A'!$B:$B,$D22,'Y2025B &amp; Y2024A'!$C:$C,$X$4)</f>
        <v>32764.341773258071</v>
      </c>
      <c r="AA22" s="3">
        <f>SUMIFS('Y2025B &amp; Y2024A'!$D:$D,'Y2025B &amp; Y2024A'!$B:$B,$D22,'Y2025B &amp; Y2024A'!$C:$C,$AA$4)</f>
        <v>-8042.5537300000005</v>
      </c>
      <c r="AB22" s="3">
        <f>SUMIFS('Y2025B &amp; Y2024A'!$F:$F,'Y2025B &amp; Y2024A'!$B:$B,$D22,'Y2025B &amp; Y2024A'!$C:$C,$AA$4)</f>
        <v>-8021.489309999999</v>
      </c>
      <c r="AD22" s="3">
        <f>SUMIFS('Y2025B &amp; Y2024A'!$D:$D,'Y2025B &amp; Y2024A'!$B:$B,$D22,'Y2025B &amp; Y2024A'!$C:$C,$AD$4)</f>
        <v>-4667.6143000000002</v>
      </c>
      <c r="AE22" s="3">
        <f>SUMIFS('Y2025B &amp; Y2024A'!$F:$F,'Y2025B &amp; Y2024A'!$B:$B,$D22,'Y2025B &amp; Y2024A'!$C:$C,$AD$4)</f>
        <v>-4658.5375999999987</v>
      </c>
      <c r="AG22" s="3">
        <f>SUMIFS('Y2025B &amp; Y2024A'!$D:$D,'Y2025B &amp; Y2024A'!$B:$B,$D22,'Y2025B &amp; Y2024A'!$C:$C,$AG$4)</f>
        <v>-4525.2064799999998</v>
      </c>
      <c r="AH22" s="3">
        <f>SUMIFS('Y2025B &amp; Y2024A'!$F:$F,'Y2025B &amp; Y2024A'!$B:$B,$D22,'Y2025B &amp; Y2024A'!$C:$C,$AG$4)</f>
        <v>-4525.2064799999998</v>
      </c>
      <c r="AJ22" s="3">
        <f>SUMIFS('Y2025B &amp; Y2024A'!$D:$D,'Y2025B &amp; Y2024A'!$B:$B,$D22,'Y2025B &amp; Y2024A'!$C:$C,$AJ$4)</f>
        <v>16117.646169999978</v>
      </c>
      <c r="AK22" s="3">
        <f>SUMIFS('Y2025B &amp; Y2024A'!$F:$F,'Y2025B &amp; Y2024A'!$B:$B,$D22,'Y2025B &amp; Y2024A'!$C:$C,$AJ$4)</f>
        <v>15559.108383258073</v>
      </c>
      <c r="AM22" s="3">
        <f>SUMIFS('Y2025B &amp; Y2024A'!$D:$D,'Y2025B &amp; Y2024A'!$B:$B,$D22,'Y2025B &amp; Y2024A'!$C:$C,$AM$4)</f>
        <v>-4507.0254399999994</v>
      </c>
      <c r="AN22" s="3">
        <f>SUMIFS('Y2025B &amp; Y2024A'!$F:$F,'Y2025B &amp; Y2024A'!$B:$B,$D22,'Y2025B &amp; Y2024A'!$C:$C,$AM$4)</f>
        <v>-4258.4442099999997</v>
      </c>
      <c r="AP22" s="3">
        <f>SUMIFS('Y2025B &amp; Y2024A'!$D:$D,'Y2025B &amp; Y2024A'!$B:$B,$D22,'Y2025B &amp; Y2024A'!$C:$C,$AP$4)</f>
        <v>11610.620729999979</v>
      </c>
      <c r="AQ22" s="3">
        <f>SUMIFS('Y2025B &amp; Y2024A'!$F:$F,'Y2025B &amp; Y2024A'!$B:$B,$D22,'Y2025B &amp; Y2024A'!$C:$C,$AP$4)</f>
        <v>11300.664173258074</v>
      </c>
    </row>
    <row r="23" spans="2:43" outlineLevel="1" x14ac:dyDescent="0.85">
      <c r="B23" s="25" t="s">
        <v>93</v>
      </c>
      <c r="C23" s="25" t="s">
        <v>71</v>
      </c>
      <c r="D23" s="26"/>
      <c r="E23" s="26"/>
      <c r="F23" s="26"/>
      <c r="G23" s="25"/>
      <c r="H23" s="16"/>
      <c r="I23" s="27">
        <f>SUBTOTAL(9,I21:I22)</f>
        <v>172649.19232999999</v>
      </c>
      <c r="J23" s="27">
        <f>SUBTOTAL(9,J21:J22)</f>
        <v>166860.89887</v>
      </c>
      <c r="K23" s="29"/>
      <c r="L23" s="27">
        <f>SUBTOTAL(9,L21:L22)</f>
        <v>15306.012900000003</v>
      </c>
      <c r="M23" s="27">
        <f>SUBTOTAL(9,M21:M22)</f>
        <v>15525.168302177328</v>
      </c>
      <c r="N23" s="29"/>
      <c r="O23" s="27">
        <f>SUBTOTAL(9,O21:O22)</f>
        <v>48454.425899999987</v>
      </c>
      <c r="P23" s="27">
        <f>SUBTOTAL(9,P21:P22)</f>
        <v>46452.862092177282</v>
      </c>
      <c r="Q23" s="29"/>
      <c r="R23" s="27">
        <f>SUBTOTAL(9,R21:R22)</f>
        <v>-1031.3337099999999</v>
      </c>
      <c r="S23" s="27">
        <f>SUBTOTAL(9,S21:S22)</f>
        <v>-729.58287999999993</v>
      </c>
      <c r="T23" s="29"/>
      <c r="U23" s="27">
        <f>SUBTOTAL(9,U21:U22)</f>
        <v>-3319.7341900000001</v>
      </c>
      <c r="V23" s="27">
        <f>SUBTOTAL(9,V21:V22)</f>
        <v>-3032.2119299999999</v>
      </c>
      <c r="W23" s="17"/>
      <c r="X23" s="27">
        <f>SUBTOTAL(9,X21:X22)</f>
        <v>44103.357999999978</v>
      </c>
      <c r="Y23" s="27">
        <f>SUBTOTAL(9,Y21:Y22)</f>
        <v>42691.06728217729</v>
      </c>
      <c r="Z23" s="17"/>
      <c r="AA23" s="27">
        <f>SUBTOTAL(9,AA21:AA22)</f>
        <v>-11872.696640000002</v>
      </c>
      <c r="AB23" s="27">
        <f>SUBTOTAL(9,AB21:AB22)</f>
        <v>-11826.286029999997</v>
      </c>
      <c r="AC23" s="17"/>
      <c r="AD23" s="27">
        <f>SUBTOTAL(9,AD21:AD22)</f>
        <v>-6357.9344200000005</v>
      </c>
      <c r="AE23" s="27">
        <f>SUBTOTAL(9,AE21:AE22)</f>
        <v>-6406.8779999999988</v>
      </c>
      <c r="AF23" s="17"/>
      <c r="AG23" s="27">
        <f>SUBTOTAL(9,AG21:AG22)</f>
        <v>-6056.208599999999</v>
      </c>
      <c r="AH23" s="27">
        <f>SUBTOTAL(9,AH21:AH22)</f>
        <v>-6056.208599999999</v>
      </c>
      <c r="AI23" s="17"/>
      <c r="AJ23" s="27">
        <f>SUBTOTAL(9,AJ21:AJ22)</f>
        <v>19816.518339999977</v>
      </c>
      <c r="AK23" s="27">
        <f>SUBTOTAL(9,AK21:AK22)</f>
        <v>18401.694652177292</v>
      </c>
      <c r="AL23" s="17"/>
      <c r="AM23" s="27">
        <f>SUBTOTAL(9,AM21:AM22)</f>
        <v>-5677.8603699999994</v>
      </c>
      <c r="AN23" s="27">
        <f>SUBTOTAL(9,AN21:AN22)</f>
        <v>-4216.7451000000001</v>
      </c>
      <c r="AO23" s="17"/>
      <c r="AP23" s="27">
        <f>SUBTOTAL(9,AP21:AP22)</f>
        <v>14138.657969999978</v>
      </c>
      <c r="AQ23" s="27">
        <f>SUBTOTAL(9,AQ21:AQ22)</f>
        <v>14184.949552177291</v>
      </c>
    </row>
    <row r="24" spans="2:43" outlineLevel="2" x14ac:dyDescent="0.85">
      <c r="B24" s="1" t="s">
        <v>93</v>
      </c>
      <c r="C24" s="1" t="s">
        <v>72</v>
      </c>
      <c r="D24" s="2">
        <v>404</v>
      </c>
      <c r="E24" s="1" t="s">
        <v>25</v>
      </c>
      <c r="F24" s="2" t="s">
        <v>13</v>
      </c>
      <c r="G24" s="1" t="s">
        <v>64</v>
      </c>
      <c r="I24" s="3">
        <f>SUMIFS('Y2025B &amp; Y2024A'!$D:$D,'Y2025B &amp; Y2024A'!$B:$B,$D24,'Y2025B &amp; Y2024A'!$C:$C,$I$4)</f>
        <v>58359.363170000004</v>
      </c>
      <c r="J24" s="3">
        <f>SUMIFS('Y2025B &amp; Y2024A'!$F:$F,'Y2025B &amp; Y2024A'!$B:$B,$D24,'Y2025B &amp; Y2024A'!$C:$C,$I$4)</f>
        <v>58364.432200000003</v>
      </c>
      <c r="K24" s="24"/>
      <c r="L24" s="3">
        <f>SUMIFS('Y2025B &amp; Y2024A'!$D:$D,'Y2025B &amp; Y2024A'!$B:$B,$D24,'Y2025B &amp; Y2024A'!$C:$C,$L$4)</f>
        <v>3288.8948900000009</v>
      </c>
      <c r="M24" s="3">
        <f>SUMIFS('Y2025B &amp; Y2024A'!$F:$F,'Y2025B &amp; Y2024A'!$B:$B,$D24,'Y2025B &amp; Y2024A'!$C:$C,$L$4)</f>
        <v>3099.8595033722513</v>
      </c>
      <c r="N24" s="24"/>
      <c r="O24" s="3">
        <f>SUMIFS('Y2025B &amp; Y2024A'!$D:$D,'Y2025B &amp; Y2024A'!$B:$B,$D24,'Y2025B &amp; Y2024A'!$C:$C,$O$4)</f>
        <v>14816.578409999998</v>
      </c>
      <c r="P24" s="3">
        <f>SUMIFS('Y2025B &amp; Y2024A'!$F:$F,'Y2025B &amp; Y2024A'!$B:$B,$D24,'Y2025B &amp; Y2024A'!$C:$C,$O$4)</f>
        <v>14009.977053372262</v>
      </c>
      <c r="Q24" s="24"/>
      <c r="R24" s="3">
        <f>SUMIFS('Y2025B &amp; Y2024A'!$D:$D,'Y2025B &amp; Y2024A'!$B:$B,$D24,'Y2025B &amp; Y2024A'!$C:$C,$R$4)</f>
        <v>-359.91026999999997</v>
      </c>
      <c r="S24" s="3">
        <f>SUMIFS('Y2025B &amp; Y2024A'!$F:$F,'Y2025B &amp; Y2024A'!$B:$B,$D24,'Y2025B &amp; Y2024A'!$C:$C,$R$4)</f>
        <v>-247.95605999999998</v>
      </c>
      <c r="T24" s="24"/>
      <c r="U24" s="3">
        <f>SUMIFS('Y2025B &amp; Y2024A'!$D:$D,'Y2025B &amp; Y2024A'!$B:$B,$D24,'Y2025B &amp; Y2024A'!$C:$C,$U$4)</f>
        <v>-1107.97892</v>
      </c>
      <c r="V24" s="3">
        <f>SUMIFS('Y2025B &amp; Y2024A'!$F:$F,'Y2025B &amp; Y2024A'!$B:$B,$D24,'Y2025B &amp; Y2024A'!$C:$C,$U$4)</f>
        <v>-1046.4941699999999</v>
      </c>
      <c r="X24" s="3">
        <f>SUMIFS('Y2025B &amp; Y2024A'!$D:$D,'Y2025B &amp; Y2024A'!$B:$B,$D24,'Y2025B &amp; Y2024A'!$C:$C,$X$4)</f>
        <v>13348.689219999998</v>
      </c>
      <c r="Y24" s="3">
        <f>SUMIFS('Y2025B &amp; Y2024A'!$F:$F,'Y2025B &amp; Y2024A'!$B:$B,$D24,'Y2025B &amp; Y2024A'!$C:$C,$X$4)</f>
        <v>12715.526823372262</v>
      </c>
      <c r="AA24" s="3">
        <f>SUMIFS('Y2025B &amp; Y2024A'!$D:$D,'Y2025B &amp; Y2024A'!$B:$B,$D24,'Y2025B &amp; Y2024A'!$C:$C,$AA$4)</f>
        <v>-4628.2586000000001</v>
      </c>
      <c r="AB24" s="3">
        <f>SUMIFS('Y2025B &amp; Y2024A'!$F:$F,'Y2025B &amp; Y2024A'!$B:$B,$D24,'Y2025B &amp; Y2024A'!$C:$C,$AA$4)</f>
        <v>-4807.6150800000005</v>
      </c>
      <c r="AD24" s="3">
        <f>SUMIFS('Y2025B &amp; Y2024A'!$D:$D,'Y2025B &amp; Y2024A'!$B:$B,$D24,'Y2025B &amp; Y2024A'!$C:$C,$AD$4)</f>
        <v>-1074.5071200000002</v>
      </c>
      <c r="AE24" s="3">
        <f>SUMIFS('Y2025B &amp; Y2024A'!$F:$F,'Y2025B &amp; Y2024A'!$B:$B,$D24,'Y2025B &amp; Y2024A'!$C:$C,$AD$4)</f>
        <v>-1278.5300499999996</v>
      </c>
      <c r="AG24" s="3">
        <f>SUMIFS('Y2025B &amp; Y2024A'!$D:$D,'Y2025B &amp; Y2024A'!$B:$B,$D24,'Y2025B &amp; Y2024A'!$C:$C,$AG$4)</f>
        <v>-1543.9293599999994</v>
      </c>
      <c r="AH24" s="3">
        <f>SUMIFS('Y2025B &amp; Y2024A'!$F:$F,'Y2025B &amp; Y2024A'!$B:$B,$D24,'Y2025B &amp; Y2024A'!$C:$C,$AG$4)</f>
        <v>-1449.7059599999998</v>
      </c>
      <c r="AJ24" s="3">
        <f>SUMIFS('Y2025B &amp; Y2024A'!$D:$D,'Y2025B &amp; Y2024A'!$B:$B,$D24,'Y2025B &amp; Y2024A'!$C:$C,$AJ$4)</f>
        <v>6101.9941399999989</v>
      </c>
      <c r="AK24" s="3">
        <f>SUMIFS('Y2025B &amp; Y2024A'!$F:$F,'Y2025B &amp; Y2024A'!$B:$B,$D24,'Y2025B &amp; Y2024A'!$C:$C,$AJ$4)</f>
        <v>5179.6757333722617</v>
      </c>
      <c r="AM24" s="3">
        <f>SUMIFS('Y2025B &amp; Y2024A'!$D:$D,'Y2025B &amp; Y2024A'!$B:$B,$D24,'Y2025B &amp; Y2024A'!$C:$C,$AM$4)</f>
        <v>-1497.8289400000001</v>
      </c>
      <c r="AN24" s="3">
        <f>SUMIFS('Y2025B &amp; Y2024A'!$F:$F,'Y2025B &amp; Y2024A'!$B:$B,$D24,'Y2025B &amp; Y2024A'!$C:$C,$AM$4)</f>
        <v>-1686.94478</v>
      </c>
      <c r="AP24" s="3">
        <f>SUMIFS('Y2025B &amp; Y2024A'!$D:$D,'Y2025B &amp; Y2024A'!$B:$B,$D24,'Y2025B &amp; Y2024A'!$C:$C,$AP$4)</f>
        <v>4604.1651999999985</v>
      </c>
      <c r="AQ24" s="3">
        <f>SUMIFS('Y2025B &amp; Y2024A'!$F:$F,'Y2025B &amp; Y2024A'!$B:$B,$D24,'Y2025B &amp; Y2024A'!$C:$C,$AP$4)</f>
        <v>3492.7309533722619</v>
      </c>
    </row>
    <row r="25" spans="2:43" outlineLevel="2" x14ac:dyDescent="0.85">
      <c r="B25" s="1" t="s">
        <v>93</v>
      </c>
      <c r="C25" s="1" t="s">
        <v>72</v>
      </c>
      <c r="D25" s="2">
        <v>40005</v>
      </c>
      <c r="E25" s="1" t="s">
        <v>23</v>
      </c>
      <c r="F25" s="2" t="s">
        <v>15</v>
      </c>
      <c r="G25" s="1" t="s">
        <v>64</v>
      </c>
      <c r="I25" s="3">
        <f>SUMIFS('Y2025B &amp; Y2024A'!$D:$D,'Y2025B &amp; Y2024A'!$B:$B,$D25,'Y2025B &amp; Y2024A'!$C:$C,$I$4)</f>
        <v>69770.380610000007</v>
      </c>
      <c r="J25" s="3">
        <f>SUMIFS('Y2025B &amp; Y2024A'!$F:$F,'Y2025B &amp; Y2024A'!$B:$B,$D25,'Y2025B &amp; Y2024A'!$C:$C,$I$4)</f>
        <v>68795.663660000006</v>
      </c>
      <c r="K25" s="24"/>
      <c r="L25" s="3">
        <f>SUMIFS('Y2025B &amp; Y2024A'!$D:$D,'Y2025B &amp; Y2024A'!$B:$B,$D25,'Y2025B &amp; Y2024A'!$C:$C,$L$4)</f>
        <v>6189.4020499999997</v>
      </c>
      <c r="M25" s="3">
        <f>SUMIFS('Y2025B &amp; Y2024A'!$F:$F,'Y2025B &amp; Y2024A'!$B:$B,$D25,'Y2025B &amp; Y2024A'!$C:$C,$L$4)</f>
        <v>6264.1352797993241</v>
      </c>
      <c r="N25" s="24"/>
      <c r="O25" s="3">
        <f>SUMIFS('Y2025B &amp; Y2024A'!$D:$D,'Y2025B &amp; Y2024A'!$B:$B,$D25,'Y2025B &amp; Y2024A'!$C:$C,$O$4)</f>
        <v>19322.482629999999</v>
      </c>
      <c r="P25" s="3">
        <f>SUMIFS('Y2025B &amp; Y2024A'!$F:$F,'Y2025B &amp; Y2024A'!$B:$B,$D25,'Y2025B &amp; Y2024A'!$C:$C,$O$4)</f>
        <v>18643.393069799331</v>
      </c>
      <c r="Q25" s="24"/>
      <c r="R25" s="3">
        <f>SUMIFS('Y2025B &amp; Y2024A'!$D:$D,'Y2025B &amp; Y2024A'!$B:$B,$D25,'Y2025B &amp; Y2024A'!$C:$C,$R$4)</f>
        <v>-405.66752999999994</v>
      </c>
      <c r="S25" s="3">
        <f>SUMIFS('Y2025B &amp; Y2024A'!$F:$F,'Y2025B &amp; Y2024A'!$B:$B,$D25,'Y2025B &amp; Y2024A'!$C:$C,$R$4)</f>
        <v>-207.44045</v>
      </c>
      <c r="T25" s="24"/>
      <c r="U25" s="3">
        <f>SUMIFS('Y2025B &amp; Y2024A'!$D:$D,'Y2025B &amp; Y2024A'!$B:$B,$D25,'Y2025B &amp; Y2024A'!$C:$C,$U$4)</f>
        <v>-1288.47667</v>
      </c>
      <c r="V25" s="3">
        <f>SUMIFS('Y2025B &amp; Y2024A'!$F:$F,'Y2025B &amp; Y2024A'!$B:$B,$D25,'Y2025B &amp; Y2024A'!$C:$C,$U$4)</f>
        <v>-1192.1242</v>
      </c>
      <c r="X25" s="3">
        <f>SUMIFS('Y2025B &amp; Y2024A'!$D:$D,'Y2025B &amp; Y2024A'!$B:$B,$D25,'Y2025B &amp; Y2024A'!$C:$C,$X$4)</f>
        <v>17628.33843</v>
      </c>
      <c r="Y25" s="3">
        <f>SUMIFS('Y2025B &amp; Y2024A'!$F:$F,'Y2025B &amp; Y2024A'!$B:$B,$D25,'Y2025B &amp; Y2024A'!$C:$C,$X$4)</f>
        <v>17243.828419799327</v>
      </c>
      <c r="AA25" s="3">
        <f>SUMIFS('Y2025B &amp; Y2024A'!$D:$D,'Y2025B &amp; Y2024A'!$B:$B,$D25,'Y2025B &amp; Y2024A'!$C:$C,$AA$4)</f>
        <v>-5389.8124999999991</v>
      </c>
      <c r="AB25" s="3">
        <f>SUMIFS('Y2025B &amp; Y2024A'!$F:$F,'Y2025B &amp; Y2024A'!$B:$B,$D25,'Y2025B &amp; Y2024A'!$C:$C,$AA$4)</f>
        <v>-5326.737960000004</v>
      </c>
      <c r="AD25" s="3">
        <f>SUMIFS('Y2025B &amp; Y2024A'!$D:$D,'Y2025B &amp; Y2024A'!$B:$B,$D25,'Y2025B &amp; Y2024A'!$C:$C,$AD$4)</f>
        <v>-1853.5766199999998</v>
      </c>
      <c r="AE25" s="3">
        <f>SUMIFS('Y2025B &amp; Y2024A'!$F:$F,'Y2025B &amp; Y2024A'!$B:$B,$D25,'Y2025B &amp; Y2024A'!$C:$C,$AD$4)</f>
        <v>-2246.09753</v>
      </c>
      <c r="AG25" s="3">
        <f>SUMIFS('Y2025B &amp; Y2024A'!$D:$D,'Y2025B &amp; Y2024A'!$B:$B,$D25,'Y2025B &amp; Y2024A'!$C:$C,$AG$4)</f>
        <v>-5120.8015200000009</v>
      </c>
      <c r="AH25" s="3">
        <f>SUMIFS('Y2025B &amp; Y2024A'!$F:$F,'Y2025B &amp; Y2024A'!$B:$B,$D25,'Y2025B &amp; Y2024A'!$C:$C,$AG$4)</f>
        <v>-5120.8015200000009</v>
      </c>
      <c r="AJ25" s="3">
        <f>SUMIFS('Y2025B &amp; Y2024A'!$D:$D,'Y2025B &amp; Y2024A'!$B:$B,$D25,'Y2025B &amp; Y2024A'!$C:$C,$AJ$4)</f>
        <v>5264.1477899999991</v>
      </c>
      <c r="AK25" s="3">
        <f>SUMIFS('Y2025B &amp; Y2024A'!$F:$F,'Y2025B &amp; Y2024A'!$B:$B,$D25,'Y2025B &amp; Y2024A'!$C:$C,$AJ$4)</f>
        <v>4550.1914097993213</v>
      </c>
      <c r="AM25" s="3">
        <f>SUMIFS('Y2025B &amp; Y2024A'!$D:$D,'Y2025B &amp; Y2024A'!$B:$B,$D25,'Y2025B &amp; Y2024A'!$C:$C,$AM$4)</f>
        <v>-2014.1298099999999</v>
      </c>
      <c r="AN25" s="3">
        <f>SUMIFS('Y2025B &amp; Y2024A'!$F:$F,'Y2025B &amp; Y2024A'!$B:$B,$D25,'Y2025B &amp; Y2024A'!$C:$C,$AM$4)</f>
        <v>2114.9750100000001</v>
      </c>
      <c r="AP25" s="3">
        <f>SUMIFS('Y2025B &amp; Y2024A'!$D:$D,'Y2025B &amp; Y2024A'!$B:$B,$D25,'Y2025B &amp; Y2024A'!$C:$C,$AP$4)</f>
        <v>3250.0179799999992</v>
      </c>
      <c r="AQ25" s="3">
        <f>SUMIFS('Y2025B &amp; Y2024A'!$F:$F,'Y2025B &amp; Y2024A'!$B:$B,$D25,'Y2025B &amp; Y2024A'!$C:$C,$AP$4)</f>
        <v>6665.1664197993214</v>
      </c>
    </row>
    <row r="26" spans="2:43" outlineLevel="1" x14ac:dyDescent="0.85">
      <c r="B26" s="25" t="s">
        <v>93</v>
      </c>
      <c r="C26" s="25" t="s">
        <v>73</v>
      </c>
      <c r="D26" s="26"/>
      <c r="E26" s="26"/>
      <c r="F26" s="26"/>
      <c r="G26" s="25"/>
      <c r="H26" s="16"/>
      <c r="I26" s="27">
        <f>SUBTOTAL(9,I24:I25)</f>
        <v>128129.74378000002</v>
      </c>
      <c r="J26" s="27">
        <f>SUBTOTAL(9,J24:J25)</f>
        <v>127160.09586</v>
      </c>
      <c r="K26" s="29"/>
      <c r="L26" s="27">
        <f>SUBTOTAL(9,L24:L25)</f>
        <v>9478.2969400000002</v>
      </c>
      <c r="M26" s="27">
        <f>SUBTOTAL(9,M24:M25)</f>
        <v>9363.9947831715763</v>
      </c>
      <c r="N26" s="29"/>
      <c r="O26" s="27">
        <f>SUBTOTAL(9,O24:O25)</f>
        <v>34139.061040000001</v>
      </c>
      <c r="P26" s="27">
        <f>SUBTOTAL(9,P24:P25)</f>
        <v>32653.370123171593</v>
      </c>
      <c r="Q26" s="29"/>
      <c r="R26" s="27">
        <f>SUBTOTAL(9,R24:R25)</f>
        <v>-765.57779999999991</v>
      </c>
      <c r="S26" s="27">
        <f>SUBTOTAL(9,S24:S25)</f>
        <v>-455.39650999999998</v>
      </c>
      <c r="T26" s="29"/>
      <c r="U26" s="27">
        <f>SUBTOTAL(9,U24:U25)</f>
        <v>-2396.45559</v>
      </c>
      <c r="V26" s="27">
        <f>SUBTOTAL(9,V24:V25)</f>
        <v>-2238.6183700000001</v>
      </c>
      <c r="W26" s="17"/>
      <c r="X26" s="27">
        <f>SUBTOTAL(9,X24:X25)</f>
        <v>30977.027649999996</v>
      </c>
      <c r="Y26" s="27">
        <f>SUBTOTAL(9,Y24:Y25)</f>
        <v>29959.355243171587</v>
      </c>
      <c r="Z26" s="17"/>
      <c r="AA26" s="27">
        <f>SUBTOTAL(9,AA24:AA25)</f>
        <v>-10018.071099999999</v>
      </c>
      <c r="AB26" s="27">
        <f>SUBTOTAL(9,AB24:AB25)</f>
        <v>-10134.353040000005</v>
      </c>
      <c r="AC26" s="17"/>
      <c r="AD26" s="27">
        <f>SUBTOTAL(9,AD24:AD25)</f>
        <v>-2928.08374</v>
      </c>
      <c r="AE26" s="27">
        <f>SUBTOTAL(9,AE24:AE25)</f>
        <v>-3524.6275799999994</v>
      </c>
      <c r="AF26" s="17"/>
      <c r="AG26" s="27">
        <f>SUBTOTAL(9,AG24:AG25)</f>
        <v>-6664.7308800000001</v>
      </c>
      <c r="AH26" s="27">
        <f>SUBTOTAL(9,AH24:AH25)</f>
        <v>-6570.5074800000002</v>
      </c>
      <c r="AI26" s="17"/>
      <c r="AJ26" s="27">
        <f>SUBTOTAL(9,AJ24:AJ25)</f>
        <v>11366.141929999998</v>
      </c>
      <c r="AK26" s="27">
        <f>SUBTOTAL(9,AK24:AK25)</f>
        <v>9729.8671431715829</v>
      </c>
      <c r="AL26" s="17"/>
      <c r="AM26" s="27">
        <f>SUBTOTAL(9,AM24:AM25)</f>
        <v>-3511.9587499999998</v>
      </c>
      <c r="AN26" s="27">
        <f>SUBTOTAL(9,AN24:AN25)</f>
        <v>428.03023000000007</v>
      </c>
      <c r="AO26" s="17"/>
      <c r="AP26" s="27">
        <f>SUBTOTAL(9,AP24:AP25)</f>
        <v>7854.1831799999982</v>
      </c>
      <c r="AQ26" s="27">
        <f>SUBTOTAL(9,AQ24:AQ25)</f>
        <v>10157.897373171583</v>
      </c>
    </row>
    <row r="27" spans="2:43" x14ac:dyDescent="0.85">
      <c r="B27" s="30" t="s">
        <v>94</v>
      </c>
      <c r="C27" s="30"/>
      <c r="D27" s="31"/>
      <c r="E27" s="31"/>
      <c r="F27" s="31"/>
      <c r="G27" s="30"/>
      <c r="H27" s="16"/>
      <c r="I27" s="32">
        <f>SUBTOTAL(9,I18:I26)</f>
        <v>401148.67208000005</v>
      </c>
      <c r="J27" s="32">
        <f>SUBTOTAL(9,J18:J26)</f>
        <v>397125.89852000005</v>
      </c>
      <c r="K27" s="29"/>
      <c r="L27" s="32">
        <f>SUBTOTAL(9,L18:L26)</f>
        <v>33774.700970000005</v>
      </c>
      <c r="M27" s="32">
        <f>SUBTOTAL(9,M18:M26)</f>
        <v>34687.626669554127</v>
      </c>
      <c r="N27" s="29"/>
      <c r="O27" s="32">
        <f>SUBTOTAL(9,O18:O26)</f>
        <v>111366.62608999998</v>
      </c>
      <c r="P27" s="32">
        <f>SUBTOTAL(9,P18:P26)</f>
        <v>108532.1613595541</v>
      </c>
      <c r="Q27" s="29"/>
      <c r="R27" s="32">
        <f>SUBTOTAL(9,R18:R26)</f>
        <v>-2440.5196699999997</v>
      </c>
      <c r="S27" s="32">
        <f>SUBTOTAL(9,S18:S26)</f>
        <v>-2098.17272</v>
      </c>
      <c r="T27" s="29"/>
      <c r="U27" s="32">
        <f>SUBTOTAL(9,U18:U26)</f>
        <v>-7715.6988999999994</v>
      </c>
      <c r="V27" s="32">
        <f>SUBTOTAL(9,V18:V26)</f>
        <v>-7249.0985500000006</v>
      </c>
      <c r="W27" s="17"/>
      <c r="X27" s="32">
        <f>SUBTOTAL(9,X18:X26)</f>
        <v>101210.40751999998</v>
      </c>
      <c r="Y27" s="32">
        <f>SUBTOTAL(9,Y18:Y26)</f>
        <v>99184.890089554101</v>
      </c>
      <c r="Z27" s="17"/>
      <c r="AA27" s="32">
        <f>SUBTOTAL(9,AA18:AA26)</f>
        <v>-30271.246530000004</v>
      </c>
      <c r="AB27" s="32">
        <f>SUBTOTAL(9,AB18:AB26)</f>
        <v>-30684.715889999999</v>
      </c>
      <c r="AC27" s="17"/>
      <c r="AD27" s="32">
        <f>SUBTOTAL(9,AD18:AD26)</f>
        <v>-13186.24408</v>
      </c>
      <c r="AE27" s="32">
        <f>SUBTOTAL(9,AE18:AE26)</f>
        <v>-13625.427919999998</v>
      </c>
      <c r="AF27" s="17"/>
      <c r="AG27" s="32">
        <f>SUBTOTAL(9,AG18:AG26)</f>
        <v>-19371.722200000004</v>
      </c>
      <c r="AH27" s="32">
        <f>SUBTOTAL(9,AH18:AH26)</f>
        <v>-19248.022490000003</v>
      </c>
      <c r="AI27" s="17"/>
      <c r="AJ27" s="32">
        <f>SUBTOTAL(9,AJ18:AJ26)</f>
        <v>38381.194709999967</v>
      </c>
      <c r="AK27" s="32">
        <f>SUBTOTAL(9,AK18:AK26)</f>
        <v>35626.723789554082</v>
      </c>
      <c r="AL27" s="17"/>
      <c r="AM27" s="32">
        <f>SUBTOTAL(9,AM18:AM26)</f>
        <v>-11676.327149999999</v>
      </c>
      <c r="AN27" s="32">
        <f>SUBTOTAL(9,AN18:AN26)</f>
        <v>-6385.1650599999994</v>
      </c>
      <c r="AO27" s="17"/>
      <c r="AP27" s="32">
        <f>SUBTOTAL(9,AP18:AP26)</f>
        <v>26704.867559999973</v>
      </c>
      <c r="AQ27" s="32">
        <f>SUBTOTAL(9,AQ18:AQ26)</f>
        <v>29241.558729554083</v>
      </c>
    </row>
    <row r="28" spans="2:43" outlineLevel="2" x14ac:dyDescent="0.85">
      <c r="B28" s="1" t="s">
        <v>74</v>
      </c>
      <c r="C28" s="1" t="s">
        <v>74</v>
      </c>
      <c r="D28" s="2">
        <v>701</v>
      </c>
      <c r="E28" s="1" t="s">
        <v>39</v>
      </c>
      <c r="F28" s="2" t="s">
        <v>13</v>
      </c>
      <c r="G28" s="1" t="s">
        <v>64</v>
      </c>
      <c r="I28" s="3">
        <f>SUMIFS('Y2025B &amp; Y2024A'!$D:$D,'Y2025B &amp; Y2024A'!$B:$B,$D28,'Y2025B &amp; Y2024A'!$C:$C,$I$4)</f>
        <v>52812.15726</v>
      </c>
      <c r="J28" s="3">
        <f>SUMIFS('Y2025B &amp; Y2024A'!$F:$F,'Y2025B &amp; Y2024A'!$B:$B,$D28,'Y2025B &amp; Y2024A'!$C:$C,$I$4)</f>
        <v>47483.16694000001</v>
      </c>
      <c r="K28" s="24"/>
      <c r="L28" s="3">
        <f>SUMIFS('Y2025B &amp; Y2024A'!$D:$D,'Y2025B &amp; Y2024A'!$B:$B,$D28,'Y2025B &amp; Y2024A'!$C:$C,$L$4)</f>
        <v>4280.8993399999981</v>
      </c>
      <c r="M28" s="3">
        <f>SUMIFS('Y2025B &amp; Y2024A'!$F:$F,'Y2025B &amp; Y2024A'!$B:$B,$D28,'Y2025B &amp; Y2024A'!$C:$C,$L$4)</f>
        <v>3775.3991940161559</v>
      </c>
      <c r="N28" s="24"/>
      <c r="O28" s="3">
        <f>SUMIFS('Y2025B &amp; Y2024A'!$D:$D,'Y2025B &amp; Y2024A'!$B:$B,$D28,'Y2025B &amp; Y2024A'!$C:$C,$O$4)</f>
        <v>14968.664699999994</v>
      </c>
      <c r="P28" s="3">
        <f>SUMIFS('Y2025B &amp; Y2024A'!$F:$F,'Y2025B &amp; Y2024A'!$B:$B,$D28,'Y2025B &amp; Y2024A'!$C:$C,$O$4)</f>
        <v>13188.647884016142</v>
      </c>
      <c r="Q28" s="24"/>
      <c r="R28" s="3">
        <f>SUMIFS('Y2025B &amp; Y2024A'!$D:$D,'Y2025B &amp; Y2024A'!$B:$B,$D28,'Y2025B &amp; Y2024A'!$C:$C,$R$4)</f>
        <v>-335.56721999999996</v>
      </c>
      <c r="S28" s="3">
        <f>SUMIFS('Y2025B &amp; Y2024A'!$F:$F,'Y2025B &amp; Y2024A'!$B:$B,$D28,'Y2025B &amp; Y2024A'!$C:$C,$R$4)</f>
        <v>-418.27476000000001</v>
      </c>
      <c r="T28" s="24"/>
      <c r="U28" s="3">
        <f>SUMIFS('Y2025B &amp; Y2024A'!$D:$D,'Y2025B &amp; Y2024A'!$B:$B,$D28,'Y2025B &amp; Y2024A'!$C:$C,$U$4)</f>
        <v>-946.58252999999991</v>
      </c>
      <c r="V28" s="3">
        <f>SUMIFS('Y2025B &amp; Y2024A'!$F:$F,'Y2025B &amp; Y2024A'!$B:$B,$D28,'Y2025B &amp; Y2024A'!$C:$C,$U$4)</f>
        <v>-819.60946999999999</v>
      </c>
      <c r="X28" s="3">
        <f>SUMIFS('Y2025B &amp; Y2024A'!$D:$D,'Y2025B &amp; Y2024A'!$B:$B,$D28,'Y2025B &amp; Y2024A'!$C:$C,$X$4)</f>
        <v>13686.514949999993</v>
      </c>
      <c r="Y28" s="3">
        <f>SUMIFS('Y2025B &amp; Y2024A'!$F:$F,'Y2025B &amp; Y2024A'!$B:$B,$D28,'Y2025B &amp; Y2024A'!$C:$C,$X$4)</f>
        <v>11950.763654016144</v>
      </c>
      <c r="AA28" s="3">
        <f>SUMIFS('Y2025B &amp; Y2024A'!$D:$D,'Y2025B &amp; Y2024A'!$B:$B,$D28,'Y2025B &amp; Y2024A'!$C:$C,$AA$4)</f>
        <v>-3588.7318399999995</v>
      </c>
      <c r="AB28" s="3">
        <f>SUMIFS('Y2025B &amp; Y2024A'!$F:$F,'Y2025B &amp; Y2024A'!$B:$B,$D28,'Y2025B &amp; Y2024A'!$C:$C,$AA$4)</f>
        <v>-3316.3350100000002</v>
      </c>
      <c r="AD28" s="3">
        <f>SUMIFS('Y2025B &amp; Y2024A'!$D:$D,'Y2025B &amp; Y2024A'!$B:$B,$D28,'Y2025B &amp; Y2024A'!$C:$C,$AD$4)</f>
        <v>-1702.5933500000001</v>
      </c>
      <c r="AE28" s="3">
        <f>SUMIFS('Y2025B &amp; Y2024A'!$F:$F,'Y2025B &amp; Y2024A'!$B:$B,$D28,'Y2025B &amp; Y2024A'!$C:$C,$AD$4)</f>
        <v>-1551.8559399999997</v>
      </c>
      <c r="AG28" s="3">
        <f>SUMIFS('Y2025B &amp; Y2024A'!$D:$D,'Y2025B &amp; Y2024A'!$B:$B,$D28,'Y2025B &amp; Y2024A'!$C:$C,$AG$4)</f>
        <v>-1680.0155999999995</v>
      </c>
      <c r="AH28" s="3">
        <f>SUMIFS('Y2025B &amp; Y2024A'!$F:$F,'Y2025B &amp; Y2024A'!$B:$B,$D28,'Y2025B &amp; Y2024A'!$C:$C,$AG$4)</f>
        <v>-1278.1314000000002</v>
      </c>
      <c r="AJ28" s="3">
        <f>SUMIFS('Y2025B &amp; Y2024A'!$D:$D,'Y2025B &amp; Y2024A'!$B:$B,$D28,'Y2025B &amp; Y2024A'!$C:$C,$AJ$4)</f>
        <v>6715.1741599999941</v>
      </c>
      <c r="AK28" s="3">
        <f>SUMIFS('Y2025B &amp; Y2024A'!$F:$F,'Y2025B &amp; Y2024A'!$B:$B,$D28,'Y2025B &amp; Y2024A'!$C:$C,$AJ$4)</f>
        <v>5804.4413040161435</v>
      </c>
      <c r="AM28" s="3">
        <f>SUMIFS('Y2025B &amp; Y2024A'!$D:$D,'Y2025B &amp; Y2024A'!$B:$B,$D28,'Y2025B &amp; Y2024A'!$C:$C,$AM$4)</f>
        <v>-2098.6750499999998</v>
      </c>
      <c r="AN28" s="3">
        <f>SUMIFS('Y2025B &amp; Y2024A'!$F:$F,'Y2025B &amp; Y2024A'!$B:$B,$D28,'Y2025B &amp; Y2024A'!$C:$C,$AM$4)</f>
        <v>-620.79372999999998</v>
      </c>
      <c r="AP28" s="3">
        <f>SUMIFS('Y2025B &amp; Y2024A'!$D:$D,'Y2025B &amp; Y2024A'!$B:$B,$D28,'Y2025B &amp; Y2024A'!$C:$C,$AP$4)</f>
        <v>4616.4991099999943</v>
      </c>
      <c r="AQ28" s="3">
        <f>SUMIFS('Y2025B &amp; Y2024A'!$F:$F,'Y2025B &amp; Y2024A'!$B:$B,$D28,'Y2025B &amp; Y2024A'!$C:$C,$AP$4)</f>
        <v>5183.6475740161432</v>
      </c>
    </row>
    <row r="29" spans="2:43" outlineLevel="2" x14ac:dyDescent="0.85">
      <c r="B29" s="1" t="s">
        <v>74</v>
      </c>
      <c r="C29" s="1" t="s">
        <v>74</v>
      </c>
      <c r="D29" s="2">
        <v>70001</v>
      </c>
      <c r="E29" s="1" t="s">
        <v>38</v>
      </c>
      <c r="F29" s="2" t="s">
        <v>15</v>
      </c>
      <c r="G29" s="1" t="s">
        <v>64</v>
      </c>
      <c r="I29" s="3">
        <f>SUMIFS('Y2025B &amp; Y2024A'!$D:$D,'Y2025B &amp; Y2024A'!$B:$B,$D29,'Y2025B &amp; Y2024A'!$C:$C,$I$4)</f>
        <v>89141.940530000007</v>
      </c>
      <c r="J29" s="3">
        <f>SUMIFS('Y2025B &amp; Y2024A'!$F:$F,'Y2025B &amp; Y2024A'!$B:$B,$D29,'Y2025B &amp; Y2024A'!$C:$C,$I$4)</f>
        <v>88054.375780000002</v>
      </c>
      <c r="K29" s="24"/>
      <c r="L29" s="3">
        <f>SUMIFS('Y2025B &amp; Y2024A'!$D:$D,'Y2025B &amp; Y2024A'!$B:$B,$D29,'Y2025B &amp; Y2024A'!$C:$C,$L$4)</f>
        <v>6207.7113300000065</v>
      </c>
      <c r="M29" s="3">
        <f>SUMIFS('Y2025B &amp; Y2024A'!$F:$F,'Y2025B &amp; Y2024A'!$B:$B,$D29,'Y2025B &amp; Y2024A'!$C:$C,$L$4)</f>
        <v>6200.1548677648498</v>
      </c>
      <c r="N29" s="24"/>
      <c r="O29" s="3">
        <f>SUMIFS('Y2025B &amp; Y2024A'!$D:$D,'Y2025B &amp; Y2024A'!$B:$B,$D29,'Y2025B &amp; Y2024A'!$C:$C,$O$4)</f>
        <v>25046.606500000005</v>
      </c>
      <c r="P29" s="3">
        <f>SUMIFS('Y2025B &amp; Y2024A'!$F:$F,'Y2025B &amp; Y2024A'!$B:$B,$D29,'Y2025B &amp; Y2024A'!$C:$C,$O$4)</f>
        <v>24211.543427764831</v>
      </c>
      <c r="Q29" s="24"/>
      <c r="R29" s="3">
        <f>SUMIFS('Y2025B &amp; Y2024A'!$D:$D,'Y2025B &amp; Y2024A'!$B:$B,$D29,'Y2025B &amp; Y2024A'!$C:$C,$R$4)</f>
        <v>-592.40177999999992</v>
      </c>
      <c r="S29" s="3">
        <f>SUMIFS('Y2025B &amp; Y2024A'!$F:$F,'Y2025B &amp; Y2024A'!$B:$B,$D29,'Y2025B &amp; Y2024A'!$C:$C,$R$4)</f>
        <v>-656.78891999999996</v>
      </c>
      <c r="T29" s="24"/>
      <c r="U29" s="3">
        <f>SUMIFS('Y2025B &amp; Y2024A'!$D:$D,'Y2025B &amp; Y2024A'!$B:$B,$D29,'Y2025B &amp; Y2024A'!$C:$C,$U$4)</f>
        <v>-1571.8322500000002</v>
      </c>
      <c r="V29" s="3">
        <f>SUMIFS('Y2025B &amp; Y2024A'!$F:$F,'Y2025B &amp; Y2024A'!$B:$B,$D29,'Y2025B &amp; Y2024A'!$C:$C,$U$4)</f>
        <v>-1508.3995599999998</v>
      </c>
      <c r="X29" s="3">
        <f>SUMIFS('Y2025B &amp; Y2024A'!$D:$D,'Y2025B &amp; Y2024A'!$B:$B,$D29,'Y2025B &amp; Y2024A'!$C:$C,$X$4)</f>
        <v>22882.372470000013</v>
      </c>
      <c r="Y29" s="3">
        <f>SUMIFS('Y2025B &amp; Y2024A'!$F:$F,'Y2025B &amp; Y2024A'!$B:$B,$D29,'Y2025B &amp; Y2024A'!$C:$C,$X$4)</f>
        <v>22046.35494776483</v>
      </c>
      <c r="AA29" s="3">
        <f>SUMIFS('Y2025B &amp; Y2024A'!$D:$D,'Y2025B &amp; Y2024A'!$B:$B,$D29,'Y2025B &amp; Y2024A'!$C:$C,$AA$4)</f>
        <v>-5173.9099600000018</v>
      </c>
      <c r="AB29" s="3">
        <f>SUMIFS('Y2025B &amp; Y2024A'!$F:$F,'Y2025B &amp; Y2024A'!$B:$B,$D29,'Y2025B &amp; Y2024A'!$C:$C,$AA$4)</f>
        <v>-5032.3770800000002</v>
      </c>
      <c r="AD29" s="3">
        <f>SUMIFS('Y2025B &amp; Y2024A'!$D:$D,'Y2025B &amp; Y2024A'!$B:$B,$D29,'Y2025B &amp; Y2024A'!$C:$C,$AD$4)</f>
        <v>-1887.3076099999989</v>
      </c>
      <c r="AE29" s="3">
        <f>SUMIFS('Y2025B &amp; Y2024A'!$F:$F,'Y2025B &amp; Y2024A'!$B:$B,$D29,'Y2025B &amp; Y2024A'!$C:$C,$AD$4)</f>
        <v>-1545.5803999999998</v>
      </c>
      <c r="AG29" s="3">
        <f>SUMIFS('Y2025B &amp; Y2024A'!$D:$D,'Y2025B &amp; Y2024A'!$B:$B,$D29,'Y2025B &amp; Y2024A'!$C:$C,$AG$4)</f>
        <v>-2334.7495899999999</v>
      </c>
      <c r="AH29" s="3">
        <f>SUMIFS('Y2025B &amp; Y2024A'!$F:$F,'Y2025B &amp; Y2024A'!$B:$B,$D29,'Y2025B &amp; Y2024A'!$C:$C,$AG$4)</f>
        <v>-2237.7481700000003</v>
      </c>
      <c r="AJ29" s="3">
        <f>SUMIFS('Y2025B &amp; Y2024A'!$D:$D,'Y2025B &amp; Y2024A'!$B:$B,$D29,'Y2025B &amp; Y2024A'!$C:$C,$AJ$4)</f>
        <v>13486.405310000013</v>
      </c>
      <c r="AK29" s="3">
        <f>SUMIFS('Y2025B &amp; Y2024A'!$F:$F,'Y2025B &amp; Y2024A'!$B:$B,$D29,'Y2025B &amp; Y2024A'!$C:$C,$AJ$4)</f>
        <v>13230.64929776483</v>
      </c>
      <c r="AM29" s="3">
        <f>SUMIFS('Y2025B &amp; Y2024A'!$D:$D,'Y2025B &amp; Y2024A'!$B:$B,$D29,'Y2025B &amp; Y2024A'!$C:$C,$AM$4)</f>
        <v>-993.58343999999988</v>
      </c>
      <c r="AN29" s="3">
        <f>SUMIFS('Y2025B &amp; Y2024A'!$F:$F,'Y2025B &amp; Y2024A'!$B:$B,$D29,'Y2025B &amp; Y2024A'!$C:$C,$AM$4)</f>
        <v>-881.58780000000002</v>
      </c>
      <c r="AP29" s="3">
        <f>SUMIFS('Y2025B &amp; Y2024A'!$D:$D,'Y2025B &amp; Y2024A'!$B:$B,$D29,'Y2025B &amp; Y2024A'!$C:$C,$AP$4)</f>
        <v>12492.821870000012</v>
      </c>
      <c r="AQ29" s="3">
        <f>SUMIFS('Y2025B &amp; Y2024A'!$F:$F,'Y2025B &amp; Y2024A'!$B:$B,$D29,'Y2025B &amp; Y2024A'!$C:$C,$AP$4)</f>
        <v>12349.061497764831</v>
      </c>
    </row>
    <row r="30" spans="2:43" outlineLevel="1" x14ac:dyDescent="0.85">
      <c r="B30" s="25" t="s">
        <v>74</v>
      </c>
      <c r="C30" s="25" t="s">
        <v>75</v>
      </c>
      <c r="D30" s="26"/>
      <c r="E30" s="26"/>
      <c r="F30" s="26"/>
      <c r="G30" s="25"/>
      <c r="H30" s="16"/>
      <c r="I30" s="27">
        <f>SUBTOTAL(9,I28:I29)</f>
        <v>141954.09779</v>
      </c>
      <c r="J30" s="27">
        <f>SUBTOTAL(9,J28:J29)</f>
        <v>135537.54272000003</v>
      </c>
      <c r="K30" s="29"/>
      <c r="L30" s="27">
        <f>SUBTOTAL(9,L28:L29)</f>
        <v>10488.610670000005</v>
      </c>
      <c r="M30" s="27">
        <f>SUBTOTAL(9,M28:M29)</f>
        <v>9975.5540617810057</v>
      </c>
      <c r="N30" s="29"/>
      <c r="O30" s="27">
        <f>SUBTOTAL(9,O28:O29)</f>
        <v>40015.271200000003</v>
      </c>
      <c r="P30" s="27">
        <f>SUBTOTAL(9,P28:P29)</f>
        <v>37400.191311780975</v>
      </c>
      <c r="Q30" s="29"/>
      <c r="R30" s="27">
        <f>SUBTOTAL(9,R28:R29)</f>
        <v>-927.96899999999982</v>
      </c>
      <c r="S30" s="27">
        <f>SUBTOTAL(9,S28:S29)</f>
        <v>-1075.06368</v>
      </c>
      <c r="T30" s="29"/>
      <c r="U30" s="27">
        <f>SUBTOTAL(9,U28:U29)</f>
        <v>-2518.4147800000001</v>
      </c>
      <c r="V30" s="27">
        <f>SUBTOTAL(9,V28:V29)</f>
        <v>-2328.0090299999997</v>
      </c>
      <c r="W30" s="17"/>
      <c r="X30" s="27">
        <f>SUBTOTAL(9,X28:X29)</f>
        <v>36568.887420000006</v>
      </c>
      <c r="Y30" s="27">
        <f>SUBTOTAL(9,Y28:Y29)</f>
        <v>33997.118601780974</v>
      </c>
      <c r="Z30" s="17"/>
      <c r="AA30" s="27">
        <f>SUBTOTAL(9,AA28:AA29)</f>
        <v>-8762.6418000000012</v>
      </c>
      <c r="AB30" s="27">
        <f>SUBTOTAL(9,AB28:AB29)</f>
        <v>-8348.7120900000009</v>
      </c>
      <c r="AC30" s="17"/>
      <c r="AD30" s="27">
        <f>SUBTOTAL(9,AD28:AD29)</f>
        <v>-3589.900959999999</v>
      </c>
      <c r="AE30" s="27">
        <f>SUBTOTAL(9,AE28:AE29)</f>
        <v>-3097.4363399999993</v>
      </c>
      <c r="AF30" s="17"/>
      <c r="AG30" s="27">
        <f>SUBTOTAL(9,AG28:AG29)</f>
        <v>-4014.7651899999992</v>
      </c>
      <c r="AH30" s="27">
        <f>SUBTOTAL(9,AH28:AH29)</f>
        <v>-3515.8795700000005</v>
      </c>
      <c r="AI30" s="17"/>
      <c r="AJ30" s="27">
        <f>SUBTOTAL(9,AJ28:AJ29)</f>
        <v>20201.579470000008</v>
      </c>
      <c r="AK30" s="27">
        <f>SUBTOTAL(9,AK28:AK29)</f>
        <v>19035.090601780976</v>
      </c>
      <c r="AL30" s="17"/>
      <c r="AM30" s="27">
        <f>SUBTOTAL(9,AM28:AM29)</f>
        <v>-3092.2584899999997</v>
      </c>
      <c r="AN30" s="27">
        <f>SUBTOTAL(9,AN28:AN29)</f>
        <v>-1502.3815300000001</v>
      </c>
      <c r="AO30" s="17"/>
      <c r="AP30" s="27">
        <f>SUBTOTAL(9,AP28:AP29)</f>
        <v>17109.320980000008</v>
      </c>
      <c r="AQ30" s="27">
        <f>SUBTOTAL(9,AQ28:AQ29)</f>
        <v>17532.709071780973</v>
      </c>
    </row>
    <row r="31" spans="2:43" x14ac:dyDescent="0.85">
      <c r="B31" s="30" t="s">
        <v>75</v>
      </c>
      <c r="C31" s="30"/>
      <c r="D31" s="31"/>
      <c r="E31" s="31"/>
      <c r="F31" s="31"/>
      <c r="G31" s="30"/>
      <c r="H31" s="16"/>
      <c r="I31" s="32">
        <f>SUBTOTAL(9,I28:I30)</f>
        <v>141954.09779</v>
      </c>
      <c r="J31" s="32">
        <f>SUBTOTAL(9,J28:J30)</f>
        <v>135537.54272000003</v>
      </c>
      <c r="K31" s="29"/>
      <c r="L31" s="32">
        <f>SUBTOTAL(9,L28:L30)</f>
        <v>10488.610670000005</v>
      </c>
      <c r="M31" s="32">
        <f>SUBTOTAL(9,M28:M30)</f>
        <v>9975.5540617810057</v>
      </c>
      <c r="N31" s="29"/>
      <c r="O31" s="32">
        <f>SUBTOTAL(9,O28:O30)</f>
        <v>40015.271200000003</v>
      </c>
      <c r="P31" s="32">
        <f>SUBTOTAL(9,P28:P30)</f>
        <v>37400.191311780975</v>
      </c>
      <c r="Q31" s="29"/>
      <c r="R31" s="32">
        <f>SUBTOTAL(9,R28:R30)</f>
        <v>-927.96899999999982</v>
      </c>
      <c r="S31" s="32">
        <f>SUBTOTAL(9,S28:S30)</f>
        <v>-1075.06368</v>
      </c>
      <c r="T31" s="29"/>
      <c r="U31" s="32">
        <f>SUBTOTAL(9,U28:U30)</f>
        <v>-2518.4147800000001</v>
      </c>
      <c r="V31" s="32">
        <f>SUBTOTAL(9,V28:V30)</f>
        <v>-2328.0090299999997</v>
      </c>
      <c r="W31" s="17"/>
      <c r="X31" s="32">
        <f>SUBTOTAL(9,X28:X30)</f>
        <v>36568.887420000006</v>
      </c>
      <c r="Y31" s="32">
        <f>SUBTOTAL(9,Y28:Y30)</f>
        <v>33997.118601780974</v>
      </c>
      <c r="Z31" s="17"/>
      <c r="AA31" s="32">
        <f>SUBTOTAL(9,AA28:AA30)</f>
        <v>-8762.6418000000012</v>
      </c>
      <c r="AB31" s="32">
        <f>SUBTOTAL(9,AB28:AB30)</f>
        <v>-8348.7120900000009</v>
      </c>
      <c r="AC31" s="17"/>
      <c r="AD31" s="32">
        <f>SUBTOTAL(9,AD28:AD30)</f>
        <v>-3589.900959999999</v>
      </c>
      <c r="AE31" s="32">
        <f>SUBTOTAL(9,AE28:AE30)</f>
        <v>-3097.4363399999993</v>
      </c>
      <c r="AF31" s="17"/>
      <c r="AG31" s="32">
        <f>SUBTOTAL(9,AG28:AG30)</f>
        <v>-4014.7651899999992</v>
      </c>
      <c r="AH31" s="32">
        <f>SUBTOTAL(9,AH28:AH30)</f>
        <v>-3515.8795700000005</v>
      </c>
      <c r="AI31" s="17"/>
      <c r="AJ31" s="32">
        <f>SUBTOTAL(9,AJ28:AJ30)</f>
        <v>20201.579470000008</v>
      </c>
      <c r="AK31" s="32">
        <f>SUBTOTAL(9,AK28:AK30)</f>
        <v>19035.090601780976</v>
      </c>
      <c r="AL31" s="17"/>
      <c r="AM31" s="32">
        <f>SUBTOTAL(9,AM28:AM30)</f>
        <v>-3092.2584899999997</v>
      </c>
      <c r="AN31" s="32">
        <f>SUBTOTAL(9,AN28:AN30)</f>
        <v>-1502.3815300000001</v>
      </c>
      <c r="AO31" s="17"/>
      <c r="AP31" s="32">
        <f>SUBTOTAL(9,AP28:AP30)</f>
        <v>17109.320980000008</v>
      </c>
      <c r="AQ31" s="32">
        <f>SUBTOTAL(9,AQ28:AQ30)</f>
        <v>17532.709071780973</v>
      </c>
    </row>
    <row r="32" spans="2:43" outlineLevel="2" x14ac:dyDescent="0.85">
      <c r="B32" s="1" t="s">
        <v>95</v>
      </c>
      <c r="C32" s="1" t="s">
        <v>76</v>
      </c>
      <c r="D32" s="2">
        <v>236</v>
      </c>
      <c r="E32" s="1" t="s">
        <v>34</v>
      </c>
      <c r="F32" s="2" t="s">
        <v>13</v>
      </c>
      <c r="G32" s="1" t="s">
        <v>64</v>
      </c>
      <c r="I32" s="3">
        <f>SUMIFS('Y2025B &amp; Y2024A'!$D:$D,'Y2025B &amp; Y2024A'!$B:$B,$D32,'Y2025B &amp; Y2024A'!$C:$C,$I$4)</f>
        <v>76127.365309999994</v>
      </c>
      <c r="J32" s="3">
        <f>SUMIFS('Y2025B &amp; Y2024A'!$F:$F,'Y2025B &amp; Y2024A'!$B:$B,$D32,'Y2025B &amp; Y2024A'!$C:$C,$I$4)</f>
        <v>80410.586849999992</v>
      </c>
      <c r="K32" s="24"/>
      <c r="L32" s="3">
        <f>SUMIFS('Y2025B &amp; Y2024A'!$D:$D,'Y2025B &amp; Y2024A'!$B:$B,$D32,'Y2025B &amp; Y2024A'!$C:$C,$L$4)</f>
        <v>7025.7876300000025</v>
      </c>
      <c r="M32" s="3">
        <f>SUMIFS('Y2025B &amp; Y2024A'!$F:$F,'Y2025B &amp; Y2024A'!$B:$B,$D32,'Y2025B &amp; Y2024A'!$C:$C,$L$4)</f>
        <v>7399.0247836452836</v>
      </c>
      <c r="N32" s="24"/>
      <c r="O32" s="3">
        <f>SUMIFS('Y2025B &amp; Y2024A'!$D:$D,'Y2025B &amp; Y2024A'!$B:$B,$D32,'Y2025B &amp; Y2024A'!$C:$C,$O$4)</f>
        <v>21070.946399999986</v>
      </c>
      <c r="P32" s="3">
        <f>SUMIFS('Y2025B &amp; Y2024A'!$F:$F,'Y2025B &amp; Y2024A'!$B:$B,$D32,'Y2025B &amp; Y2024A'!$C:$C,$O$4)</f>
        <v>20577.410783645279</v>
      </c>
      <c r="Q32" s="24"/>
      <c r="R32" s="3">
        <f>SUMIFS('Y2025B &amp; Y2024A'!$D:$D,'Y2025B &amp; Y2024A'!$B:$B,$D32,'Y2025B &amp; Y2024A'!$C:$C,$R$4)</f>
        <v>-401.21316999999999</v>
      </c>
      <c r="S32" s="3">
        <f>SUMIFS('Y2025B &amp; Y2024A'!$F:$F,'Y2025B &amp; Y2024A'!$B:$B,$D32,'Y2025B &amp; Y2024A'!$C:$C,$R$4)</f>
        <v>-178.49934000000002</v>
      </c>
      <c r="T32" s="24"/>
      <c r="U32" s="3">
        <f>SUMIFS('Y2025B &amp; Y2024A'!$D:$D,'Y2025B &amp; Y2024A'!$B:$B,$D32,'Y2025B &amp; Y2024A'!$C:$C,$U$4)</f>
        <v>-1365.5023500000002</v>
      </c>
      <c r="V32" s="3">
        <f>SUMIFS('Y2025B &amp; Y2024A'!$F:$F,'Y2025B &amp; Y2024A'!$B:$B,$D32,'Y2025B &amp; Y2024A'!$C:$C,$U$4)</f>
        <v>-1260.8610799999999</v>
      </c>
      <c r="X32" s="3">
        <f>SUMIFS('Y2025B &amp; Y2024A'!$D:$D,'Y2025B &amp; Y2024A'!$B:$B,$D32,'Y2025B &amp; Y2024A'!$C:$C,$X$4)</f>
        <v>19304.230879999981</v>
      </c>
      <c r="Y32" s="3">
        <f>SUMIFS('Y2025B &amp; Y2024A'!$F:$F,'Y2025B &amp; Y2024A'!$B:$B,$D32,'Y2025B &amp; Y2024A'!$C:$C,$X$4)</f>
        <v>19138.050363645281</v>
      </c>
      <c r="AA32" s="3">
        <f>SUMIFS('Y2025B &amp; Y2024A'!$D:$D,'Y2025B &amp; Y2024A'!$B:$B,$D32,'Y2025B &amp; Y2024A'!$C:$C,$AA$4)</f>
        <v>-5415.1321399999988</v>
      </c>
      <c r="AB32" s="3">
        <f>SUMIFS('Y2025B &amp; Y2024A'!$F:$F,'Y2025B &amp; Y2024A'!$B:$B,$D32,'Y2025B &amp; Y2024A'!$C:$C,$AA$4)</f>
        <v>-5080.0656500000014</v>
      </c>
      <c r="AD32" s="3">
        <f>SUMIFS('Y2025B &amp; Y2024A'!$D:$D,'Y2025B &amp; Y2024A'!$B:$B,$D32,'Y2025B &amp; Y2024A'!$C:$C,$AD$4)</f>
        <v>-2156.23747</v>
      </c>
      <c r="AE32" s="3">
        <f>SUMIFS('Y2025B &amp; Y2024A'!$F:$F,'Y2025B &amp; Y2024A'!$B:$B,$D32,'Y2025B &amp; Y2024A'!$C:$C,$AD$4)</f>
        <v>-2114.0645400000003</v>
      </c>
      <c r="AG32" s="3">
        <f>SUMIFS('Y2025B &amp; Y2024A'!$D:$D,'Y2025B &amp; Y2024A'!$B:$B,$D32,'Y2025B &amp; Y2024A'!$C:$C,$AG$4)</f>
        <v>0</v>
      </c>
      <c r="AH32" s="3">
        <f>SUMIFS('Y2025B &amp; Y2024A'!$F:$F,'Y2025B &amp; Y2024A'!$B:$B,$D32,'Y2025B &amp; Y2024A'!$C:$C,$AG$4)</f>
        <v>0</v>
      </c>
      <c r="AJ32" s="3">
        <f>SUMIFS('Y2025B &amp; Y2024A'!$D:$D,'Y2025B &amp; Y2024A'!$B:$B,$D32,'Y2025B &amp; Y2024A'!$C:$C,$AJ$4)</f>
        <v>11732.861269999983</v>
      </c>
      <c r="AK32" s="3">
        <f>SUMIFS('Y2025B &amp; Y2024A'!$F:$F,'Y2025B &amp; Y2024A'!$B:$B,$D32,'Y2025B &amp; Y2024A'!$C:$C,$AJ$4)</f>
        <v>11943.92017364528</v>
      </c>
      <c r="AM32" s="3">
        <f>SUMIFS('Y2025B &amp; Y2024A'!$D:$D,'Y2025B &amp; Y2024A'!$B:$B,$D32,'Y2025B &amp; Y2024A'!$C:$C,$AM$4)</f>
        <v>-1812.35796</v>
      </c>
      <c r="AN32" s="3">
        <f>SUMIFS('Y2025B &amp; Y2024A'!$F:$F,'Y2025B &amp; Y2024A'!$B:$B,$D32,'Y2025B &amp; Y2024A'!$C:$C,$AM$4)</f>
        <v>-1776.7035600000002</v>
      </c>
      <c r="AP32" s="3">
        <f>SUMIFS('Y2025B &amp; Y2024A'!$D:$D,'Y2025B &amp; Y2024A'!$B:$B,$D32,'Y2025B &amp; Y2024A'!$C:$C,$AP$4)</f>
        <v>9920.5033099999837</v>
      </c>
      <c r="AQ32" s="3">
        <f>SUMIFS('Y2025B &amp; Y2024A'!$F:$F,'Y2025B &amp; Y2024A'!$B:$B,$D32,'Y2025B &amp; Y2024A'!$C:$C,$AP$4)</f>
        <v>10167.21661364528</v>
      </c>
    </row>
    <row r="33" spans="2:43" outlineLevel="2" x14ac:dyDescent="0.85">
      <c r="B33" s="1" t="s">
        <v>95</v>
      </c>
      <c r="C33" s="1" t="s">
        <v>76</v>
      </c>
      <c r="D33" s="2">
        <v>20006</v>
      </c>
      <c r="E33" s="1" t="s">
        <v>35</v>
      </c>
      <c r="F33" s="2" t="s">
        <v>15</v>
      </c>
      <c r="G33" s="1" t="s">
        <v>64</v>
      </c>
      <c r="I33" s="3">
        <f>SUMIFS('Y2025B &amp; Y2024A'!$D:$D,'Y2025B &amp; Y2024A'!$B:$B,$D33,'Y2025B &amp; Y2024A'!$C:$C,$I$4)</f>
        <v>199116.84079000002</v>
      </c>
      <c r="J33" s="3">
        <f>SUMIFS('Y2025B &amp; Y2024A'!$F:$F,'Y2025B &amp; Y2024A'!$B:$B,$D33,'Y2025B &amp; Y2024A'!$C:$C,$I$4)</f>
        <v>195549.07797999997</v>
      </c>
      <c r="K33" s="24"/>
      <c r="L33" s="3">
        <f>SUMIFS('Y2025B &amp; Y2024A'!$D:$D,'Y2025B &amp; Y2024A'!$B:$B,$D33,'Y2025B &amp; Y2024A'!$C:$C,$L$4)</f>
        <v>17236.885110000007</v>
      </c>
      <c r="M33" s="3">
        <f>SUMIFS('Y2025B &amp; Y2024A'!$F:$F,'Y2025B &amp; Y2024A'!$B:$B,$D33,'Y2025B &amp; Y2024A'!$C:$C,$L$4)</f>
        <v>17566.84372995911</v>
      </c>
      <c r="N33" s="24"/>
      <c r="O33" s="3">
        <f>SUMIFS('Y2025B &amp; Y2024A'!$D:$D,'Y2025B &amp; Y2024A'!$B:$B,$D33,'Y2025B &amp; Y2024A'!$C:$C,$O$4)</f>
        <v>55705.272739999979</v>
      </c>
      <c r="P33" s="3">
        <f>SUMIFS('Y2025B &amp; Y2024A'!$F:$F,'Y2025B &amp; Y2024A'!$B:$B,$D33,'Y2025B &amp; Y2024A'!$C:$C,$O$4)</f>
        <v>53750.452019959128</v>
      </c>
      <c r="Q33" s="24"/>
      <c r="R33" s="3">
        <f>SUMIFS('Y2025B &amp; Y2024A'!$D:$D,'Y2025B &amp; Y2024A'!$B:$B,$D33,'Y2025B &amp; Y2024A'!$C:$C,$R$4)</f>
        <v>-1137.6119500000002</v>
      </c>
      <c r="S33" s="3">
        <f>SUMIFS('Y2025B &amp; Y2024A'!$F:$F,'Y2025B &amp; Y2024A'!$B:$B,$D33,'Y2025B &amp; Y2024A'!$C:$C,$R$4)</f>
        <v>-674.98951000000011</v>
      </c>
      <c r="T33" s="24"/>
      <c r="U33" s="3">
        <f>SUMIFS('Y2025B &amp; Y2024A'!$D:$D,'Y2025B &amp; Y2024A'!$B:$B,$D33,'Y2025B &amp; Y2024A'!$C:$C,$U$4)</f>
        <v>-3667.9759299999996</v>
      </c>
      <c r="V33" s="3">
        <f>SUMIFS('Y2025B &amp; Y2024A'!$F:$F,'Y2025B &amp; Y2024A'!$B:$B,$D33,'Y2025B &amp; Y2024A'!$C:$C,$U$4)</f>
        <v>-3335.6879199999998</v>
      </c>
      <c r="X33" s="3">
        <f>SUMIFS('Y2025B &amp; Y2024A'!$D:$D,'Y2025B &amp; Y2024A'!$B:$B,$D33,'Y2025B &amp; Y2024A'!$C:$C,$X$4)</f>
        <v>50899.684859999979</v>
      </c>
      <c r="Y33" s="3">
        <f>SUMIFS('Y2025B &amp; Y2024A'!$F:$F,'Y2025B &amp; Y2024A'!$B:$B,$D33,'Y2025B &amp; Y2024A'!$C:$C,$X$4)</f>
        <v>49739.774589959139</v>
      </c>
      <c r="AA33" s="3">
        <f>SUMIFS('Y2025B &amp; Y2024A'!$D:$D,'Y2025B &amp; Y2024A'!$B:$B,$D33,'Y2025B &amp; Y2024A'!$C:$C,$AA$4)</f>
        <v>-14161.369839999998</v>
      </c>
      <c r="AB33" s="3">
        <f>SUMIFS('Y2025B &amp; Y2024A'!$F:$F,'Y2025B &amp; Y2024A'!$B:$B,$D33,'Y2025B &amp; Y2024A'!$C:$C,$AA$4)</f>
        <v>-13355.86679</v>
      </c>
      <c r="AD33" s="3">
        <f>SUMIFS('Y2025B &amp; Y2024A'!$D:$D,'Y2025B &amp; Y2024A'!$B:$B,$D33,'Y2025B &amp; Y2024A'!$C:$C,$AD$4)</f>
        <v>-5234.7445099999995</v>
      </c>
      <c r="AE33" s="3">
        <f>SUMIFS('Y2025B &amp; Y2024A'!$F:$F,'Y2025B &amp; Y2024A'!$B:$B,$D33,'Y2025B &amp; Y2024A'!$C:$C,$AD$4)</f>
        <v>-5562.4497699999993</v>
      </c>
      <c r="AG33" s="3">
        <f>SUMIFS('Y2025B &amp; Y2024A'!$D:$D,'Y2025B &amp; Y2024A'!$B:$B,$D33,'Y2025B &amp; Y2024A'!$C:$C,$AG$4)</f>
        <v>-11262.88308</v>
      </c>
      <c r="AH33" s="3">
        <f>SUMIFS('Y2025B &amp; Y2024A'!$F:$F,'Y2025B &amp; Y2024A'!$B:$B,$D33,'Y2025B &amp; Y2024A'!$C:$C,$AG$4)</f>
        <v>-11262.88308</v>
      </c>
      <c r="AJ33" s="3">
        <f>SUMIFS('Y2025B &amp; Y2024A'!$D:$D,'Y2025B &amp; Y2024A'!$B:$B,$D33,'Y2025B &amp; Y2024A'!$C:$C,$AJ$4)</f>
        <v>20240.687429999984</v>
      </c>
      <c r="AK33" s="3">
        <f>SUMIFS('Y2025B &amp; Y2024A'!$F:$F,'Y2025B &amp; Y2024A'!$B:$B,$D33,'Y2025B &amp; Y2024A'!$C:$C,$AJ$4)</f>
        <v>19558.57494995914</v>
      </c>
      <c r="AM33" s="3">
        <f>SUMIFS('Y2025B &amp; Y2024A'!$D:$D,'Y2025B &amp; Y2024A'!$B:$B,$D33,'Y2025B &amp; Y2024A'!$C:$C,$AM$4)</f>
        <v>-5330.0470599999999</v>
      </c>
      <c r="AN33" s="3">
        <f>SUMIFS('Y2025B &amp; Y2024A'!$F:$F,'Y2025B &amp; Y2024A'!$B:$B,$D33,'Y2025B &amp; Y2024A'!$C:$C,$AM$4)</f>
        <v>-4603.8289100000002</v>
      </c>
      <c r="AP33" s="3">
        <f>SUMIFS('Y2025B &amp; Y2024A'!$D:$D,'Y2025B &amp; Y2024A'!$B:$B,$D33,'Y2025B &amp; Y2024A'!$C:$C,$AP$4)</f>
        <v>14910.640369999983</v>
      </c>
      <c r="AQ33" s="3">
        <f>SUMIFS('Y2025B &amp; Y2024A'!$F:$F,'Y2025B &amp; Y2024A'!$B:$B,$D33,'Y2025B &amp; Y2024A'!$C:$C,$AP$4)</f>
        <v>14954.74603995914</v>
      </c>
    </row>
    <row r="34" spans="2:43" outlineLevel="1" x14ac:dyDescent="0.85">
      <c r="B34" s="25" t="s">
        <v>95</v>
      </c>
      <c r="C34" s="25" t="s">
        <v>77</v>
      </c>
      <c r="D34" s="26"/>
      <c r="E34" s="26"/>
      <c r="F34" s="26"/>
      <c r="G34" s="25"/>
      <c r="H34" s="16"/>
      <c r="I34" s="27">
        <f>SUBTOTAL(9,I32:I33)</f>
        <v>275244.20610000001</v>
      </c>
      <c r="J34" s="27">
        <f>SUBTOTAL(9,J32:J33)</f>
        <v>275959.66482999997</v>
      </c>
      <c r="K34" s="29"/>
      <c r="L34" s="27">
        <f>SUBTOTAL(9,L32:L33)</f>
        <v>24262.672740000009</v>
      </c>
      <c r="M34" s="27">
        <f>SUBTOTAL(9,M32:M33)</f>
        <v>24965.868513604393</v>
      </c>
      <c r="N34" s="29"/>
      <c r="O34" s="27">
        <f>SUBTOTAL(9,O32:O33)</f>
        <v>76776.219139999972</v>
      </c>
      <c r="P34" s="27">
        <f>SUBTOTAL(9,P32:P33)</f>
        <v>74327.86280360441</v>
      </c>
      <c r="Q34" s="29"/>
      <c r="R34" s="27">
        <f>SUBTOTAL(9,R32:R33)</f>
        <v>-1538.8251200000002</v>
      </c>
      <c r="S34" s="27">
        <f>SUBTOTAL(9,S32:S33)</f>
        <v>-853.48885000000018</v>
      </c>
      <c r="T34" s="29"/>
      <c r="U34" s="27">
        <f>SUBTOTAL(9,U32:U33)</f>
        <v>-5033.4782799999994</v>
      </c>
      <c r="V34" s="27">
        <f>SUBTOTAL(9,V32:V33)</f>
        <v>-4596.549</v>
      </c>
      <c r="W34" s="17"/>
      <c r="X34" s="27">
        <f>SUBTOTAL(9,X32:X33)</f>
        <v>70203.915739999968</v>
      </c>
      <c r="Y34" s="27">
        <f>SUBTOTAL(9,Y32:Y33)</f>
        <v>68877.824953604417</v>
      </c>
      <c r="Z34" s="17"/>
      <c r="AA34" s="27">
        <f>SUBTOTAL(9,AA32:AA33)</f>
        <v>-19576.501979999997</v>
      </c>
      <c r="AB34" s="27">
        <f>SUBTOTAL(9,AB32:AB33)</f>
        <v>-18435.93244</v>
      </c>
      <c r="AC34" s="17"/>
      <c r="AD34" s="27">
        <f>SUBTOTAL(9,AD32:AD33)</f>
        <v>-7390.9819799999996</v>
      </c>
      <c r="AE34" s="27">
        <f>SUBTOTAL(9,AE32:AE33)</f>
        <v>-7676.5143099999996</v>
      </c>
      <c r="AF34" s="17"/>
      <c r="AG34" s="27">
        <f>SUBTOTAL(9,AG32:AG33)</f>
        <v>-11262.88308</v>
      </c>
      <c r="AH34" s="27">
        <f>SUBTOTAL(9,AH32:AH33)</f>
        <v>-11262.88308</v>
      </c>
      <c r="AI34" s="17"/>
      <c r="AJ34" s="27">
        <f>SUBTOTAL(9,AJ32:AJ33)</f>
        <v>31973.548699999967</v>
      </c>
      <c r="AK34" s="27">
        <f>SUBTOTAL(9,AK32:AK33)</f>
        <v>31502.495123604422</v>
      </c>
      <c r="AL34" s="17"/>
      <c r="AM34" s="27">
        <f>SUBTOTAL(9,AM32:AM33)</f>
        <v>-7142.4050200000001</v>
      </c>
      <c r="AN34" s="27">
        <f>SUBTOTAL(9,AN32:AN33)</f>
        <v>-6380.5324700000001</v>
      </c>
      <c r="AO34" s="17"/>
      <c r="AP34" s="27">
        <f>SUBTOTAL(9,AP32:AP33)</f>
        <v>24831.143679999965</v>
      </c>
      <c r="AQ34" s="27">
        <f>SUBTOTAL(9,AQ32:AQ33)</f>
        <v>25121.96265360442</v>
      </c>
    </row>
    <row r="35" spans="2:43" outlineLevel="2" x14ac:dyDescent="0.85">
      <c r="B35" s="1" t="s">
        <v>95</v>
      </c>
      <c r="C35" s="1" t="s">
        <v>78</v>
      </c>
      <c r="D35" s="2">
        <v>201</v>
      </c>
      <c r="E35" s="1" t="s">
        <v>32</v>
      </c>
      <c r="F35" s="2" t="s">
        <v>15</v>
      </c>
      <c r="G35" s="1" t="s">
        <v>64</v>
      </c>
      <c r="I35" s="3">
        <f>SUMIFS('Y2025B &amp; Y2024A'!$D:$D,'Y2025B &amp; Y2024A'!$B:$B,$D35,'Y2025B &amp; Y2024A'!$C:$C,$I$4)</f>
        <v>106964.40358000001</v>
      </c>
      <c r="J35" s="3">
        <f>SUMIFS('Y2025B &amp; Y2024A'!$F:$F,'Y2025B &amp; Y2024A'!$B:$B,$D35,'Y2025B &amp; Y2024A'!$C:$C,$I$4)</f>
        <v>110914.03635999998</v>
      </c>
      <c r="K35" s="24"/>
      <c r="L35" s="3">
        <f>SUMIFS('Y2025B &amp; Y2024A'!$D:$D,'Y2025B &amp; Y2024A'!$B:$B,$D35,'Y2025B &amp; Y2024A'!$C:$C,$L$4)</f>
        <v>6935.5108300000002</v>
      </c>
      <c r="M35" s="3">
        <f>SUMIFS('Y2025B &amp; Y2024A'!$F:$F,'Y2025B &amp; Y2024A'!$B:$B,$D35,'Y2025B &amp; Y2024A'!$C:$C,$L$4)</f>
        <v>6778.5578948025759</v>
      </c>
      <c r="N35" s="24"/>
      <c r="O35" s="3">
        <f>SUMIFS('Y2025B &amp; Y2024A'!$D:$D,'Y2025B &amp; Y2024A'!$B:$B,$D35,'Y2025B &amp; Y2024A'!$C:$C,$O$4)</f>
        <v>28041.929459999992</v>
      </c>
      <c r="P35" s="3">
        <f>SUMIFS('Y2025B &amp; Y2024A'!$F:$F,'Y2025B &amp; Y2024A'!$B:$B,$D35,'Y2025B &amp; Y2024A'!$C:$C,$O$4)</f>
        <v>27675.568534802551</v>
      </c>
      <c r="Q35" s="24"/>
      <c r="R35" s="3">
        <f>SUMIFS('Y2025B &amp; Y2024A'!$D:$D,'Y2025B &amp; Y2024A'!$B:$B,$D35,'Y2025B &amp; Y2024A'!$C:$C,$R$4)</f>
        <v>-626.53607000000011</v>
      </c>
      <c r="S35" s="3">
        <f>SUMIFS('Y2025B &amp; Y2024A'!$F:$F,'Y2025B &amp; Y2024A'!$B:$B,$D35,'Y2025B &amp; Y2024A'!$C:$C,$R$4)</f>
        <v>-674.49849000000017</v>
      </c>
      <c r="T35" s="24"/>
      <c r="U35" s="3">
        <f>SUMIFS('Y2025B &amp; Y2024A'!$D:$D,'Y2025B &amp; Y2024A'!$B:$B,$D35,'Y2025B &amp; Y2024A'!$C:$C,$U$4)</f>
        <v>-2029.5883899999999</v>
      </c>
      <c r="V35" s="3">
        <f>SUMIFS('Y2025B &amp; Y2024A'!$F:$F,'Y2025B &amp; Y2024A'!$B:$B,$D35,'Y2025B &amp; Y2024A'!$C:$C,$U$4)</f>
        <v>-1990.2527599999999</v>
      </c>
      <c r="X35" s="3">
        <f>SUMIFS('Y2025B &amp; Y2024A'!$D:$D,'Y2025B &amp; Y2024A'!$B:$B,$D35,'Y2025B &amp; Y2024A'!$C:$C,$X$4)</f>
        <v>25385.805</v>
      </c>
      <c r="Y35" s="3">
        <f>SUMIFS('Y2025B &amp; Y2024A'!$F:$F,'Y2025B &amp; Y2024A'!$B:$B,$D35,'Y2025B &amp; Y2024A'!$C:$C,$X$4)</f>
        <v>25010.817284802553</v>
      </c>
      <c r="AA35" s="3">
        <f>SUMIFS('Y2025B &amp; Y2024A'!$D:$D,'Y2025B &amp; Y2024A'!$B:$B,$D35,'Y2025B &amp; Y2024A'!$C:$C,$AA$4)</f>
        <v>-7535.2379499999988</v>
      </c>
      <c r="AB35" s="3">
        <f>SUMIFS('Y2025B &amp; Y2024A'!$F:$F,'Y2025B &amp; Y2024A'!$B:$B,$D35,'Y2025B &amp; Y2024A'!$C:$C,$AA$4)</f>
        <v>-7510.5046499999971</v>
      </c>
      <c r="AD35" s="3">
        <f>SUMIFS('Y2025B &amp; Y2024A'!$D:$D,'Y2025B &amp; Y2024A'!$B:$B,$D35,'Y2025B &amp; Y2024A'!$C:$C,$AD$4)</f>
        <v>-2736.9836500000001</v>
      </c>
      <c r="AE35" s="3">
        <f>SUMIFS('Y2025B &amp; Y2024A'!$F:$F,'Y2025B &amp; Y2024A'!$B:$B,$D35,'Y2025B &amp; Y2024A'!$C:$C,$AD$4)</f>
        <v>-2968.2103999999999</v>
      </c>
      <c r="AG35" s="3">
        <f>SUMIFS('Y2025B &amp; Y2024A'!$D:$D,'Y2025B &amp; Y2024A'!$B:$B,$D35,'Y2025B &amp; Y2024A'!$C:$C,$AG$4)</f>
        <v>-6567.2127599999985</v>
      </c>
      <c r="AH35" s="3">
        <f>SUMIFS('Y2025B &amp; Y2024A'!$F:$F,'Y2025B &amp; Y2024A'!$B:$B,$D35,'Y2025B &amp; Y2024A'!$C:$C,$AG$4)</f>
        <v>-6567.2127599999985</v>
      </c>
      <c r="AJ35" s="3">
        <f>SUMIFS('Y2025B &amp; Y2024A'!$D:$D,'Y2025B &amp; Y2024A'!$B:$B,$D35,'Y2025B &amp; Y2024A'!$C:$C,$AJ$4)</f>
        <v>8546.370640000001</v>
      </c>
      <c r="AK35" s="3">
        <f>SUMIFS('Y2025B &amp; Y2024A'!$F:$F,'Y2025B &amp; Y2024A'!$B:$B,$D35,'Y2025B &amp; Y2024A'!$C:$C,$AJ$4)</f>
        <v>7964.8894748025596</v>
      </c>
      <c r="AM35" s="3">
        <f>SUMIFS('Y2025B &amp; Y2024A'!$D:$D,'Y2025B &amp; Y2024A'!$B:$B,$D35,'Y2025B &amp; Y2024A'!$C:$C,$AM$4)</f>
        <v>-1333.34105</v>
      </c>
      <c r="AN35" s="3">
        <f>SUMIFS('Y2025B &amp; Y2024A'!$F:$F,'Y2025B &amp; Y2024A'!$B:$B,$D35,'Y2025B &amp; Y2024A'!$C:$C,$AM$4)</f>
        <v>-1372.32602</v>
      </c>
      <c r="AP35" s="3">
        <f>SUMIFS('Y2025B &amp; Y2024A'!$D:$D,'Y2025B &amp; Y2024A'!$B:$B,$D35,'Y2025B &amp; Y2024A'!$C:$C,$AP$4)</f>
        <v>7213.029590000001</v>
      </c>
      <c r="AQ35" s="3">
        <f>SUMIFS('Y2025B &amp; Y2024A'!$F:$F,'Y2025B &amp; Y2024A'!$B:$B,$D35,'Y2025B &amp; Y2024A'!$C:$C,$AP$4)</f>
        <v>6592.5634548025591</v>
      </c>
    </row>
    <row r="36" spans="2:43" outlineLevel="2" x14ac:dyDescent="0.85">
      <c r="B36" s="1" t="s">
        <v>95</v>
      </c>
      <c r="C36" s="1" t="s">
        <v>78</v>
      </c>
      <c r="D36" s="2">
        <v>20001</v>
      </c>
      <c r="E36" s="1" t="s">
        <v>33</v>
      </c>
      <c r="F36" s="2" t="s">
        <v>15</v>
      </c>
      <c r="G36" s="1" t="s">
        <v>64</v>
      </c>
      <c r="I36" s="3">
        <f>SUMIFS('Y2025B &amp; Y2024A'!$D:$D,'Y2025B &amp; Y2024A'!$B:$B,$D36,'Y2025B &amp; Y2024A'!$C:$C,$I$4)</f>
        <v>56986.863300000005</v>
      </c>
      <c r="J36" s="3">
        <f>SUMIFS('Y2025B &amp; Y2024A'!$F:$F,'Y2025B &amp; Y2024A'!$B:$B,$D36,'Y2025B &amp; Y2024A'!$C:$C,$I$4)</f>
        <v>56242.818140000003</v>
      </c>
      <c r="K36" s="24"/>
      <c r="L36" s="3">
        <f>SUMIFS('Y2025B &amp; Y2024A'!$D:$D,'Y2025B &amp; Y2024A'!$B:$B,$D36,'Y2025B &amp; Y2024A'!$C:$C,$L$4)</f>
        <v>4920.96216</v>
      </c>
      <c r="M36" s="3">
        <f>SUMIFS('Y2025B &amp; Y2024A'!$F:$F,'Y2025B &amp; Y2024A'!$B:$B,$D36,'Y2025B &amp; Y2024A'!$C:$C,$L$4)</f>
        <v>5349.4697446421924</v>
      </c>
      <c r="N36" s="24"/>
      <c r="O36" s="3">
        <f>SUMIFS('Y2025B &amp; Y2024A'!$D:$D,'Y2025B &amp; Y2024A'!$B:$B,$D36,'Y2025B &amp; Y2024A'!$C:$C,$O$4)</f>
        <v>16575.142839999993</v>
      </c>
      <c r="P36" s="3">
        <f>SUMIFS('Y2025B &amp; Y2024A'!$F:$F,'Y2025B &amp; Y2024A'!$B:$B,$D36,'Y2025B &amp; Y2024A'!$C:$C,$O$4)</f>
        <v>16500.386364642171</v>
      </c>
      <c r="Q36" s="24"/>
      <c r="R36" s="3">
        <f>SUMIFS('Y2025B &amp; Y2024A'!$D:$D,'Y2025B &amp; Y2024A'!$B:$B,$D36,'Y2025B &amp; Y2024A'!$C:$C,$R$4)</f>
        <v>-335.17966999999999</v>
      </c>
      <c r="S36" s="3">
        <f>SUMIFS('Y2025B &amp; Y2024A'!$F:$F,'Y2025B &amp; Y2024A'!$B:$B,$D36,'Y2025B &amp; Y2024A'!$C:$C,$R$4)</f>
        <v>-881.21866</v>
      </c>
      <c r="T36" s="24"/>
      <c r="U36" s="3">
        <f>SUMIFS('Y2025B &amp; Y2024A'!$D:$D,'Y2025B &amp; Y2024A'!$B:$B,$D36,'Y2025B &amp; Y2024A'!$C:$C,$U$4)</f>
        <v>-1084.8558499999999</v>
      </c>
      <c r="V36" s="3">
        <f>SUMIFS('Y2025B &amp; Y2024A'!$F:$F,'Y2025B &amp; Y2024A'!$B:$B,$D36,'Y2025B &amp; Y2024A'!$C:$C,$U$4)</f>
        <v>-997.85863000000006</v>
      </c>
      <c r="X36" s="3">
        <f>SUMIFS('Y2025B &amp; Y2024A'!$D:$D,'Y2025B &amp; Y2024A'!$B:$B,$D36,'Y2025B &amp; Y2024A'!$C:$C,$X$4)</f>
        <v>15155.107319999996</v>
      </c>
      <c r="Y36" s="3">
        <f>SUMIFS('Y2025B &amp; Y2024A'!$F:$F,'Y2025B &amp; Y2024A'!$B:$B,$D36,'Y2025B &amp; Y2024A'!$C:$C,$X$4)</f>
        <v>14621.309074642171</v>
      </c>
      <c r="AA36" s="3">
        <f>SUMIFS('Y2025B &amp; Y2024A'!$D:$D,'Y2025B &amp; Y2024A'!$B:$B,$D36,'Y2025B &amp; Y2024A'!$C:$C,$AA$4)</f>
        <v>-5755.8649299999997</v>
      </c>
      <c r="AB36" s="3">
        <f>SUMIFS('Y2025B &amp; Y2024A'!$F:$F,'Y2025B &amp; Y2024A'!$B:$B,$D36,'Y2025B &amp; Y2024A'!$C:$C,$AA$4)</f>
        <v>-6534.1833799999977</v>
      </c>
      <c r="AD36" s="3">
        <f>SUMIFS('Y2025B &amp; Y2024A'!$D:$D,'Y2025B &amp; Y2024A'!$B:$B,$D36,'Y2025B &amp; Y2024A'!$C:$C,$AD$4)</f>
        <v>-3633.4532599999989</v>
      </c>
      <c r="AE36" s="3">
        <f>SUMIFS('Y2025B &amp; Y2024A'!$F:$F,'Y2025B &amp; Y2024A'!$B:$B,$D36,'Y2025B &amp; Y2024A'!$C:$C,$AD$4)</f>
        <v>-3740.6242899999997</v>
      </c>
      <c r="AG36" s="3">
        <f>SUMIFS('Y2025B &amp; Y2024A'!$D:$D,'Y2025B &amp; Y2024A'!$B:$B,$D36,'Y2025B &amp; Y2024A'!$C:$C,$AG$4)</f>
        <v>-3500.0000400000004</v>
      </c>
      <c r="AH36" s="3">
        <f>SUMIFS('Y2025B &amp; Y2024A'!$F:$F,'Y2025B &amp; Y2024A'!$B:$B,$D36,'Y2025B &amp; Y2024A'!$C:$C,$AG$4)</f>
        <v>-3911.4670900000001</v>
      </c>
      <c r="AJ36" s="3">
        <f>SUMIFS('Y2025B &amp; Y2024A'!$D:$D,'Y2025B &amp; Y2024A'!$B:$B,$D36,'Y2025B &amp; Y2024A'!$C:$C,$AJ$4)</f>
        <v>2265.7890899999966</v>
      </c>
      <c r="AK36" s="3">
        <f>SUMIFS('Y2025B &amp; Y2024A'!$F:$F,'Y2025B &amp; Y2024A'!$B:$B,$D36,'Y2025B &amp; Y2024A'!$C:$C,$AJ$4)</f>
        <v>435.03431464217283</v>
      </c>
      <c r="AM36" s="3">
        <f>SUMIFS('Y2025B &amp; Y2024A'!$D:$D,'Y2025B &amp; Y2024A'!$B:$B,$D36,'Y2025B &amp; Y2024A'!$C:$C,$AM$4)</f>
        <v>-3202.3607699999993</v>
      </c>
      <c r="AN36" s="3">
        <f>SUMIFS('Y2025B &amp; Y2024A'!$F:$F,'Y2025B &amp; Y2024A'!$B:$B,$D36,'Y2025B &amp; Y2024A'!$C:$C,$AM$4)</f>
        <v>-736.47233000000006</v>
      </c>
      <c r="AP36" s="3">
        <f>SUMIFS('Y2025B &amp; Y2024A'!$D:$D,'Y2025B &amp; Y2024A'!$B:$B,$D36,'Y2025B &amp; Y2024A'!$C:$C,$AP$4)</f>
        <v>-936.57168000000274</v>
      </c>
      <c r="AQ36" s="3">
        <f>SUMIFS('Y2025B &amp; Y2024A'!$F:$F,'Y2025B &amp; Y2024A'!$B:$B,$D36,'Y2025B &amp; Y2024A'!$C:$C,$AP$4)</f>
        <v>-301.43801535782723</v>
      </c>
    </row>
    <row r="37" spans="2:43" outlineLevel="1" x14ac:dyDescent="0.85">
      <c r="B37" s="25" t="s">
        <v>95</v>
      </c>
      <c r="C37" s="25" t="s">
        <v>79</v>
      </c>
      <c r="D37" s="26"/>
      <c r="E37" s="26"/>
      <c r="F37" s="26"/>
      <c r="G37" s="25"/>
      <c r="H37" s="16"/>
      <c r="I37" s="27">
        <f>SUBTOTAL(9,I35:I36)</f>
        <v>163951.26688000001</v>
      </c>
      <c r="J37" s="27">
        <f>SUBTOTAL(9,J35:J36)</f>
        <v>167156.85449999999</v>
      </c>
      <c r="K37" s="29"/>
      <c r="L37" s="27">
        <f>SUBTOTAL(9,L35:L36)</f>
        <v>11856.47299</v>
      </c>
      <c r="M37" s="27">
        <f>SUBTOTAL(9,M35:M36)</f>
        <v>12128.027639444768</v>
      </c>
      <c r="N37" s="29"/>
      <c r="O37" s="27">
        <f>SUBTOTAL(9,O35:O36)</f>
        <v>44617.072299999985</v>
      </c>
      <c r="P37" s="27">
        <f>SUBTOTAL(9,P35:P36)</f>
        <v>44175.954899444725</v>
      </c>
      <c r="Q37" s="29"/>
      <c r="R37" s="27">
        <f>SUBTOTAL(9,R35:R36)</f>
        <v>-961.7157400000001</v>
      </c>
      <c r="S37" s="27">
        <f>SUBTOTAL(9,S35:S36)</f>
        <v>-1555.7171500000002</v>
      </c>
      <c r="T37" s="29"/>
      <c r="U37" s="27">
        <f>SUBTOTAL(9,U35:U36)</f>
        <v>-3114.4442399999998</v>
      </c>
      <c r="V37" s="27">
        <f>SUBTOTAL(9,V35:V36)</f>
        <v>-2988.11139</v>
      </c>
      <c r="W37" s="17"/>
      <c r="X37" s="27">
        <f>SUBTOTAL(9,X35:X36)</f>
        <v>40540.912319999996</v>
      </c>
      <c r="Y37" s="27">
        <f>SUBTOTAL(9,Y35:Y36)</f>
        <v>39632.126359444723</v>
      </c>
      <c r="Z37" s="17"/>
      <c r="AA37" s="27">
        <f>SUBTOTAL(9,AA35:AA36)</f>
        <v>-13291.102879999999</v>
      </c>
      <c r="AB37" s="27">
        <f>SUBTOTAL(9,AB35:AB36)</f>
        <v>-14044.688029999994</v>
      </c>
      <c r="AC37" s="17"/>
      <c r="AD37" s="27">
        <f>SUBTOTAL(9,AD35:AD36)</f>
        <v>-6370.4369099999985</v>
      </c>
      <c r="AE37" s="27">
        <f>SUBTOTAL(9,AE35:AE36)</f>
        <v>-6708.8346899999997</v>
      </c>
      <c r="AF37" s="17"/>
      <c r="AG37" s="27">
        <f>SUBTOTAL(9,AG35:AG36)</f>
        <v>-10067.212799999999</v>
      </c>
      <c r="AH37" s="27">
        <f>SUBTOTAL(9,AH35:AH36)</f>
        <v>-10478.679849999999</v>
      </c>
      <c r="AI37" s="17"/>
      <c r="AJ37" s="27">
        <f>SUBTOTAL(9,AJ35:AJ36)</f>
        <v>10812.159729999998</v>
      </c>
      <c r="AK37" s="27">
        <f>SUBTOTAL(9,AK35:AK36)</f>
        <v>8399.9237894447324</v>
      </c>
      <c r="AL37" s="17"/>
      <c r="AM37" s="27">
        <f>SUBTOTAL(9,AM35:AM36)</f>
        <v>-4535.7018199999993</v>
      </c>
      <c r="AN37" s="27">
        <f>SUBTOTAL(9,AN35:AN36)</f>
        <v>-2108.79835</v>
      </c>
      <c r="AO37" s="17"/>
      <c r="AP37" s="27">
        <f>SUBTOTAL(9,AP35:AP36)</f>
        <v>6276.4579099999983</v>
      </c>
      <c r="AQ37" s="27">
        <f>SUBTOTAL(9,AQ35:AQ36)</f>
        <v>6291.1254394447315</v>
      </c>
    </row>
    <row r="38" spans="2:43" outlineLevel="2" x14ac:dyDescent="0.85">
      <c r="B38" s="1" t="s">
        <v>95</v>
      </c>
      <c r="C38" s="1" t="s">
        <v>80</v>
      </c>
      <c r="D38" s="2">
        <v>204</v>
      </c>
      <c r="E38" s="1" t="s">
        <v>36</v>
      </c>
      <c r="F38" s="2" t="s">
        <v>13</v>
      </c>
      <c r="G38" s="1" t="s">
        <v>64</v>
      </c>
      <c r="I38" s="3">
        <f>SUMIFS('Y2025B &amp; Y2024A'!$D:$D,'Y2025B &amp; Y2024A'!$B:$B,$D38,'Y2025B &amp; Y2024A'!$C:$C,$I$4)</f>
        <v>98498.129260000002</v>
      </c>
      <c r="J38" s="3">
        <f>SUMIFS('Y2025B &amp; Y2024A'!$F:$F,'Y2025B &amp; Y2024A'!$B:$B,$D38,'Y2025B &amp; Y2024A'!$C:$C,$I$4)</f>
        <v>95907.068849999996</v>
      </c>
      <c r="K38" s="24"/>
      <c r="L38" s="3">
        <f>SUMIFS('Y2025B &amp; Y2024A'!$D:$D,'Y2025B &amp; Y2024A'!$B:$B,$D38,'Y2025B &amp; Y2024A'!$C:$C,$L$4)</f>
        <v>5766.8666499999945</v>
      </c>
      <c r="M38" s="3">
        <f>SUMIFS('Y2025B &amp; Y2024A'!$F:$F,'Y2025B &amp; Y2024A'!$B:$B,$D38,'Y2025B &amp; Y2024A'!$C:$C,$L$4)</f>
        <v>4691.5239317860123</v>
      </c>
      <c r="N38" s="24"/>
      <c r="O38" s="3">
        <f>SUMIFS('Y2025B &amp; Y2024A'!$D:$D,'Y2025B &amp; Y2024A'!$B:$B,$D38,'Y2025B &amp; Y2024A'!$C:$C,$O$4)</f>
        <v>25832.393959999976</v>
      </c>
      <c r="P38" s="3">
        <f>SUMIFS('Y2025B &amp; Y2024A'!$F:$F,'Y2025B &amp; Y2024A'!$B:$B,$D38,'Y2025B &amp; Y2024A'!$C:$C,$O$4)</f>
        <v>23496.479421785989</v>
      </c>
      <c r="Q38" s="24"/>
      <c r="R38" s="3">
        <f>SUMIFS('Y2025B &amp; Y2024A'!$D:$D,'Y2025B &amp; Y2024A'!$B:$B,$D38,'Y2025B &amp; Y2024A'!$C:$C,$R$4)</f>
        <v>-644.26336000000003</v>
      </c>
      <c r="S38" s="3">
        <f>SUMIFS('Y2025B &amp; Y2024A'!$F:$F,'Y2025B &amp; Y2024A'!$B:$B,$D38,'Y2025B &amp; Y2024A'!$C:$C,$R$4)</f>
        <v>-292.46898000000004</v>
      </c>
      <c r="T38" s="24"/>
      <c r="U38" s="3">
        <f>SUMIFS('Y2025B &amp; Y2024A'!$D:$D,'Y2025B &amp; Y2024A'!$B:$B,$D38,'Y2025B &amp; Y2024A'!$C:$C,$U$4)</f>
        <v>-1790.9119100000003</v>
      </c>
      <c r="V38" s="3">
        <f>SUMIFS('Y2025B &amp; Y2024A'!$F:$F,'Y2025B &amp; Y2024A'!$B:$B,$D38,'Y2025B &amp; Y2024A'!$C:$C,$U$4)</f>
        <v>-1690.6142399999999</v>
      </c>
      <c r="X38" s="3">
        <f>SUMIFS('Y2025B &amp; Y2024A'!$D:$D,'Y2025B &amp; Y2024A'!$B:$B,$D38,'Y2025B &amp; Y2024A'!$C:$C,$X$4)</f>
        <v>23397.218689999972</v>
      </c>
      <c r="Y38" s="3">
        <f>SUMIFS('Y2025B &amp; Y2024A'!$F:$F,'Y2025B &amp; Y2024A'!$B:$B,$D38,'Y2025B &amp; Y2024A'!$C:$C,$X$4)</f>
        <v>21513.396201785989</v>
      </c>
      <c r="AA38" s="3">
        <f>SUMIFS('Y2025B &amp; Y2024A'!$D:$D,'Y2025B &amp; Y2024A'!$B:$B,$D38,'Y2025B &amp; Y2024A'!$C:$C,$AA$4)</f>
        <v>-6724.1802500000003</v>
      </c>
      <c r="AB38" s="3">
        <f>SUMIFS('Y2025B &amp; Y2024A'!$F:$F,'Y2025B &amp; Y2024A'!$B:$B,$D38,'Y2025B &amp; Y2024A'!$C:$C,$AA$4)</f>
        <v>-6321.215949999998</v>
      </c>
      <c r="AD38" s="3">
        <f>SUMIFS('Y2025B &amp; Y2024A'!$D:$D,'Y2025B &amp; Y2024A'!$B:$B,$D38,'Y2025B &amp; Y2024A'!$C:$C,$AD$4)</f>
        <v>-2083.3710500000002</v>
      </c>
      <c r="AE38" s="3">
        <f>SUMIFS('Y2025B &amp; Y2024A'!$F:$F,'Y2025B &amp; Y2024A'!$B:$B,$D38,'Y2025B &amp; Y2024A'!$C:$C,$AD$4)</f>
        <v>-2151.0550899999998</v>
      </c>
      <c r="AG38" s="3">
        <f>SUMIFS('Y2025B &amp; Y2024A'!$D:$D,'Y2025B &amp; Y2024A'!$B:$B,$D38,'Y2025B &amp; Y2024A'!$C:$C,$AG$4)</f>
        <v>-1500</v>
      </c>
      <c r="AH38" s="3">
        <f>SUMIFS('Y2025B &amp; Y2024A'!$F:$F,'Y2025B &amp; Y2024A'!$B:$B,$D38,'Y2025B &amp; Y2024A'!$C:$C,$AG$4)</f>
        <v>-1500</v>
      </c>
      <c r="AJ38" s="3">
        <f>SUMIFS('Y2025B &amp; Y2024A'!$D:$D,'Y2025B &amp; Y2024A'!$B:$B,$D38,'Y2025B &amp; Y2024A'!$C:$C,$AJ$4)</f>
        <v>13089.667389999971</v>
      </c>
      <c r="AK38" s="3">
        <f>SUMIFS('Y2025B &amp; Y2024A'!$F:$F,'Y2025B &amp; Y2024A'!$B:$B,$D38,'Y2025B &amp; Y2024A'!$C:$C,$AJ$4)</f>
        <v>11541.125161785991</v>
      </c>
      <c r="AM38" s="3">
        <f>SUMIFS('Y2025B &amp; Y2024A'!$D:$D,'Y2025B &amp; Y2024A'!$B:$B,$D38,'Y2025B &amp; Y2024A'!$C:$C,$AM$4)</f>
        <v>-2568.4252800000004</v>
      </c>
      <c r="AN38" s="3">
        <f>SUMIFS('Y2025B &amp; Y2024A'!$F:$F,'Y2025B &amp; Y2024A'!$B:$B,$D38,'Y2025B &amp; Y2024A'!$C:$C,$AM$4)</f>
        <v>-2696.42308</v>
      </c>
      <c r="AP38" s="3">
        <f>SUMIFS('Y2025B &amp; Y2024A'!$D:$D,'Y2025B &amp; Y2024A'!$B:$B,$D38,'Y2025B &amp; Y2024A'!$C:$C,$AP$4)</f>
        <v>10521.24210999997</v>
      </c>
      <c r="AQ38" s="3">
        <f>SUMIFS('Y2025B &amp; Y2024A'!$F:$F,'Y2025B &amp; Y2024A'!$B:$B,$D38,'Y2025B &amp; Y2024A'!$C:$C,$AP$4)</f>
        <v>8844.7020817859902</v>
      </c>
    </row>
    <row r="39" spans="2:43" outlineLevel="2" x14ac:dyDescent="0.85">
      <c r="B39" s="1" t="s">
        <v>95</v>
      </c>
      <c r="C39" s="1" t="s">
        <v>80</v>
      </c>
      <c r="D39" s="2">
        <v>20010</v>
      </c>
      <c r="E39" s="1" t="s">
        <v>37</v>
      </c>
      <c r="F39" s="2" t="s">
        <v>15</v>
      </c>
      <c r="G39" s="1" t="s">
        <v>64</v>
      </c>
      <c r="I39" s="3">
        <f>SUMIFS('Y2025B &amp; Y2024A'!$D:$D,'Y2025B &amp; Y2024A'!$B:$B,$D39,'Y2025B &amp; Y2024A'!$C:$C,$I$4)</f>
        <v>103623.84657000001</v>
      </c>
      <c r="J39" s="3">
        <f>SUMIFS('Y2025B &amp; Y2024A'!$F:$F,'Y2025B &amp; Y2024A'!$B:$B,$D39,'Y2025B &amp; Y2024A'!$C:$C,$I$4)</f>
        <v>97191.298280000017</v>
      </c>
      <c r="K39" s="24"/>
      <c r="L39" s="3">
        <f>SUMIFS('Y2025B &amp; Y2024A'!$D:$D,'Y2025B &amp; Y2024A'!$B:$B,$D39,'Y2025B &amp; Y2024A'!$C:$C,$L$4)</f>
        <v>4440.6354399999982</v>
      </c>
      <c r="M39" s="3">
        <f>SUMIFS('Y2025B &amp; Y2024A'!$F:$F,'Y2025B &amp; Y2024A'!$B:$B,$D39,'Y2025B &amp; Y2024A'!$C:$C,$L$4)</f>
        <v>1709.0141809750271</v>
      </c>
      <c r="N39" s="24"/>
      <c r="O39" s="3">
        <f>SUMIFS('Y2025B &amp; Y2024A'!$D:$D,'Y2025B &amp; Y2024A'!$B:$B,$D39,'Y2025B &amp; Y2024A'!$C:$C,$O$4)</f>
        <v>26408.257300000019</v>
      </c>
      <c r="P39" s="3">
        <f>SUMIFS('Y2025B &amp; Y2024A'!$F:$F,'Y2025B &amp; Y2024A'!$B:$B,$D39,'Y2025B &amp; Y2024A'!$C:$C,$O$4)</f>
        <v>21546.299260975058</v>
      </c>
      <c r="Q39" s="24"/>
      <c r="R39" s="3">
        <f>SUMIFS('Y2025B &amp; Y2024A'!$D:$D,'Y2025B &amp; Y2024A'!$B:$B,$D39,'Y2025B &amp; Y2024A'!$C:$C,$R$4)</f>
        <v>-704.91415000000006</v>
      </c>
      <c r="S39" s="3">
        <f>SUMIFS('Y2025B &amp; Y2024A'!$F:$F,'Y2025B &amp; Y2024A'!$B:$B,$D39,'Y2025B &amp; Y2024A'!$C:$C,$R$4)</f>
        <v>-376.21395999999999</v>
      </c>
      <c r="T39" s="24"/>
      <c r="U39" s="3">
        <f>SUMIFS('Y2025B &amp; Y2024A'!$D:$D,'Y2025B &amp; Y2024A'!$B:$B,$D39,'Y2025B &amp; Y2024A'!$C:$C,$U$4)</f>
        <v>-1888.7671499999999</v>
      </c>
      <c r="V39" s="3">
        <f>SUMIFS('Y2025B &amp; Y2024A'!$F:$F,'Y2025B &amp; Y2024A'!$B:$B,$D39,'Y2025B &amp; Y2024A'!$C:$C,$U$4)</f>
        <v>-1683.17507</v>
      </c>
      <c r="X39" s="3">
        <f>SUMIFS('Y2025B &amp; Y2024A'!$D:$D,'Y2025B &amp; Y2024A'!$B:$B,$D39,'Y2025B &amp; Y2024A'!$C:$C,$X$4)</f>
        <v>23814.576000000015</v>
      </c>
      <c r="Y39" s="3">
        <f>SUMIFS('Y2025B &amp; Y2024A'!$F:$F,'Y2025B &amp; Y2024A'!$B:$B,$D39,'Y2025B &amp; Y2024A'!$C:$C,$X$4)</f>
        <v>19486.910230975052</v>
      </c>
      <c r="AA39" s="3">
        <f>SUMIFS('Y2025B &amp; Y2024A'!$D:$D,'Y2025B &amp; Y2024A'!$B:$B,$D39,'Y2025B &amp; Y2024A'!$C:$C,$AA$4)</f>
        <v>-6644.8150699999978</v>
      </c>
      <c r="AB39" s="3">
        <f>SUMIFS('Y2025B &amp; Y2024A'!$F:$F,'Y2025B &amp; Y2024A'!$B:$B,$D39,'Y2025B &amp; Y2024A'!$C:$C,$AA$4)</f>
        <v>-6586.2865299999939</v>
      </c>
      <c r="AD39" s="3">
        <f>SUMIFS('Y2025B &amp; Y2024A'!$D:$D,'Y2025B &amp; Y2024A'!$B:$B,$D39,'Y2025B &amp; Y2024A'!$C:$C,$AD$4)</f>
        <v>-2521.6690600000002</v>
      </c>
      <c r="AE39" s="3">
        <f>SUMIFS('Y2025B &amp; Y2024A'!$F:$F,'Y2025B &amp; Y2024A'!$B:$B,$D39,'Y2025B &amp; Y2024A'!$C:$C,$AD$4)</f>
        <v>-2297.6547</v>
      </c>
      <c r="AG39" s="3">
        <f>SUMIFS('Y2025B &amp; Y2024A'!$D:$D,'Y2025B &amp; Y2024A'!$B:$B,$D39,'Y2025B &amp; Y2024A'!$C:$C,$AG$4)</f>
        <v>-2441.2807199999993</v>
      </c>
      <c r="AH39" s="3">
        <f>SUMIFS('Y2025B &amp; Y2024A'!$F:$F,'Y2025B &amp; Y2024A'!$B:$B,$D39,'Y2025B &amp; Y2024A'!$C:$C,$AG$4)</f>
        <v>-2441.2807199999993</v>
      </c>
      <c r="AJ39" s="3">
        <f>SUMIFS('Y2025B &amp; Y2024A'!$D:$D,'Y2025B &amp; Y2024A'!$B:$B,$D39,'Y2025B &amp; Y2024A'!$C:$C,$AJ$4)</f>
        <v>12206.81115000002</v>
      </c>
      <c r="AK39" s="3">
        <f>SUMIFS('Y2025B &amp; Y2024A'!$F:$F,'Y2025B &amp; Y2024A'!$B:$B,$D39,'Y2025B &amp; Y2024A'!$C:$C,$AJ$4)</f>
        <v>8161.6882809750605</v>
      </c>
      <c r="AM39" s="3">
        <f>SUMIFS('Y2025B &amp; Y2024A'!$D:$D,'Y2025B &amp; Y2024A'!$B:$B,$D39,'Y2025B &amp; Y2024A'!$C:$C,$AM$4)</f>
        <v>-2481.6861800000001</v>
      </c>
      <c r="AN39" s="3">
        <f>SUMIFS('Y2025B &amp; Y2024A'!$F:$F,'Y2025B &amp; Y2024A'!$B:$B,$D39,'Y2025B &amp; Y2024A'!$C:$C,$AM$4)</f>
        <v>-2288.0436399999999</v>
      </c>
      <c r="AP39" s="3">
        <f>SUMIFS('Y2025B &amp; Y2024A'!$D:$D,'Y2025B &amp; Y2024A'!$B:$B,$D39,'Y2025B &amp; Y2024A'!$C:$C,$AP$4)</f>
        <v>9725.1249700000189</v>
      </c>
      <c r="AQ39" s="3">
        <f>SUMIFS('Y2025B &amp; Y2024A'!$F:$F,'Y2025B &amp; Y2024A'!$B:$B,$D39,'Y2025B &amp; Y2024A'!$C:$C,$AP$4)</f>
        <v>5873.6446409750606</v>
      </c>
    </row>
    <row r="40" spans="2:43" outlineLevel="1" x14ac:dyDescent="0.85">
      <c r="B40" s="25" t="s">
        <v>95</v>
      </c>
      <c r="C40" s="25" t="s">
        <v>81</v>
      </c>
      <c r="D40" s="26"/>
      <c r="E40" s="26"/>
      <c r="F40" s="26"/>
      <c r="G40" s="25"/>
      <c r="H40" s="16"/>
      <c r="I40" s="27">
        <f>SUBTOTAL(9,I38:I39)</f>
        <v>202121.97583000001</v>
      </c>
      <c r="J40" s="27">
        <f>SUBTOTAL(9,J38:J39)</f>
        <v>193098.36713000003</v>
      </c>
      <c r="K40" s="29"/>
      <c r="L40" s="27">
        <f>SUBTOTAL(9,L38:L39)</f>
        <v>10207.502089999993</v>
      </c>
      <c r="M40" s="27">
        <f>SUBTOTAL(9,M38:M39)</f>
        <v>6400.5381127610399</v>
      </c>
      <c r="N40" s="29"/>
      <c r="O40" s="27">
        <f>SUBTOTAL(9,O38:O39)</f>
        <v>52240.651259999999</v>
      </c>
      <c r="P40" s="27">
        <f>SUBTOTAL(9,P38:P39)</f>
        <v>45042.778682761047</v>
      </c>
      <c r="Q40" s="29"/>
      <c r="R40" s="27">
        <f>SUBTOTAL(9,R38:R39)</f>
        <v>-1349.17751</v>
      </c>
      <c r="S40" s="27">
        <f>SUBTOTAL(9,S38:S39)</f>
        <v>-668.68294000000003</v>
      </c>
      <c r="T40" s="29"/>
      <c r="U40" s="27">
        <f>SUBTOTAL(9,U38:U39)</f>
        <v>-3679.6790600000004</v>
      </c>
      <c r="V40" s="27">
        <f>SUBTOTAL(9,V38:V39)</f>
        <v>-3373.7893100000001</v>
      </c>
      <c r="W40" s="17"/>
      <c r="X40" s="27">
        <f>SUBTOTAL(9,X38:X39)</f>
        <v>47211.794689999988</v>
      </c>
      <c r="Y40" s="27">
        <f>SUBTOTAL(9,Y38:Y39)</f>
        <v>41000.306432761041</v>
      </c>
      <c r="Z40" s="17"/>
      <c r="AA40" s="27">
        <f>SUBTOTAL(9,AA38:AA39)</f>
        <v>-13368.995319999998</v>
      </c>
      <c r="AB40" s="27">
        <f>SUBTOTAL(9,AB38:AB39)</f>
        <v>-12907.502479999992</v>
      </c>
      <c r="AC40" s="17"/>
      <c r="AD40" s="27">
        <f>SUBTOTAL(9,AD38:AD39)</f>
        <v>-4605.0401099999999</v>
      </c>
      <c r="AE40" s="27">
        <f>SUBTOTAL(9,AE38:AE39)</f>
        <v>-4448.7097899999999</v>
      </c>
      <c r="AF40" s="17"/>
      <c r="AG40" s="27">
        <f>SUBTOTAL(9,AG38:AG39)</f>
        <v>-3941.2807199999993</v>
      </c>
      <c r="AH40" s="27">
        <f>SUBTOTAL(9,AH38:AH39)</f>
        <v>-3941.2807199999993</v>
      </c>
      <c r="AI40" s="17"/>
      <c r="AJ40" s="27">
        <f>SUBTOTAL(9,AJ38:AJ39)</f>
        <v>25296.478539999989</v>
      </c>
      <c r="AK40" s="27">
        <f>SUBTOTAL(9,AK38:AK39)</f>
        <v>19702.813442761049</v>
      </c>
      <c r="AL40" s="17"/>
      <c r="AM40" s="27">
        <f>SUBTOTAL(9,AM38:AM39)</f>
        <v>-5050.1114600000001</v>
      </c>
      <c r="AN40" s="27">
        <f>SUBTOTAL(9,AN38:AN39)</f>
        <v>-4984.4667200000004</v>
      </c>
      <c r="AO40" s="17"/>
      <c r="AP40" s="27">
        <f>SUBTOTAL(9,AP38:AP39)</f>
        <v>20246.367079999989</v>
      </c>
      <c r="AQ40" s="27">
        <f>SUBTOTAL(9,AQ38:AQ39)</f>
        <v>14718.346722761051</v>
      </c>
    </row>
    <row r="41" spans="2:43" x14ac:dyDescent="0.85">
      <c r="B41" s="30" t="s">
        <v>96</v>
      </c>
      <c r="C41" s="30"/>
      <c r="D41" s="31"/>
      <c r="E41" s="31"/>
      <c r="F41" s="31"/>
      <c r="G41" s="30"/>
      <c r="H41" s="16"/>
      <c r="I41" s="32">
        <f>SUBTOTAL(9,I32:I40)</f>
        <v>641317.44881000009</v>
      </c>
      <c r="J41" s="32">
        <f>SUBTOTAL(9,J32:J40)</f>
        <v>636214.88645999995</v>
      </c>
      <c r="K41" s="29"/>
      <c r="L41" s="32">
        <f>SUBTOTAL(9,L32:L40)</f>
        <v>46326.647820000006</v>
      </c>
      <c r="M41" s="32">
        <f>SUBTOTAL(9,M32:M40)</f>
        <v>43494.434265810203</v>
      </c>
      <c r="N41" s="29"/>
      <c r="O41" s="32">
        <f>SUBTOTAL(9,O32:O40)</f>
        <v>173633.94269999996</v>
      </c>
      <c r="P41" s="32">
        <f>SUBTOTAL(9,P32:P40)</f>
        <v>163546.59638581017</v>
      </c>
      <c r="Q41" s="29"/>
      <c r="R41" s="32">
        <f>SUBTOTAL(9,R32:R40)</f>
        <v>-3849.7183700000005</v>
      </c>
      <c r="S41" s="32">
        <f>SUBTOTAL(9,S32:S40)</f>
        <v>-3077.8889400000003</v>
      </c>
      <c r="T41" s="29"/>
      <c r="U41" s="32">
        <f>SUBTOTAL(9,U32:U40)</f>
        <v>-11827.601579999999</v>
      </c>
      <c r="V41" s="32">
        <f>SUBTOTAL(9,V32:V40)</f>
        <v>-10958.449699999999</v>
      </c>
      <c r="W41" s="17"/>
      <c r="X41" s="32">
        <f>SUBTOTAL(9,X32:X40)</f>
        <v>157956.62274999992</v>
      </c>
      <c r="Y41" s="32">
        <f>SUBTOTAL(9,Y32:Y40)</f>
        <v>149510.25774581017</v>
      </c>
      <c r="Z41" s="17"/>
      <c r="AA41" s="32">
        <f>SUBTOTAL(9,AA32:AA40)</f>
        <v>-46236.600179999987</v>
      </c>
      <c r="AB41" s="32">
        <f>SUBTOTAL(9,AB32:AB40)</f>
        <v>-45388.12294999999</v>
      </c>
      <c r="AC41" s="17"/>
      <c r="AD41" s="32">
        <f>SUBTOTAL(9,AD32:AD40)</f>
        <v>-18366.458999999995</v>
      </c>
      <c r="AE41" s="32">
        <f>SUBTOTAL(9,AE32:AE40)</f>
        <v>-18834.058789999995</v>
      </c>
      <c r="AF41" s="17"/>
      <c r="AG41" s="32">
        <f>SUBTOTAL(9,AG32:AG40)</f>
        <v>-25271.376599999996</v>
      </c>
      <c r="AH41" s="32">
        <f>SUBTOTAL(9,AH32:AH40)</f>
        <v>-25682.843649999999</v>
      </c>
      <c r="AI41" s="17"/>
      <c r="AJ41" s="32">
        <f>SUBTOTAL(9,AJ32:AJ40)</f>
        <v>68082.186969999952</v>
      </c>
      <c r="AK41" s="32">
        <f>SUBTOTAL(9,AK32:AK40)</f>
        <v>59605.2323558102</v>
      </c>
      <c r="AL41" s="17"/>
      <c r="AM41" s="32">
        <f>SUBTOTAL(9,AM32:AM40)</f>
        <v>-16728.2183</v>
      </c>
      <c r="AN41" s="32">
        <f>SUBTOTAL(9,AN32:AN40)</f>
        <v>-13473.797540000001</v>
      </c>
      <c r="AO41" s="17"/>
      <c r="AP41" s="32">
        <f>SUBTOTAL(9,AP32:AP40)</f>
        <v>51353.968669999951</v>
      </c>
      <c r="AQ41" s="32">
        <f>SUBTOTAL(9,AQ32:AQ40)</f>
        <v>46131.434815810208</v>
      </c>
    </row>
    <row r="42" spans="2:43" outlineLevel="3" x14ac:dyDescent="0.85">
      <c r="B42" s="1" t="s">
        <v>82</v>
      </c>
      <c r="C42" s="1" t="s">
        <v>82</v>
      </c>
      <c r="D42" s="2">
        <v>501</v>
      </c>
      <c r="E42" s="1" t="s">
        <v>40</v>
      </c>
      <c r="F42" s="2" t="s">
        <v>13</v>
      </c>
      <c r="G42" s="1" t="s">
        <v>64</v>
      </c>
      <c r="I42" s="3">
        <f>SUMIFS('Y2025B &amp; Y2024A'!$D:$D,'Y2025B &amp; Y2024A'!$B:$B,$D42,'Y2025B &amp; Y2024A'!$C:$C,$I$4)</f>
        <v>56038.712840000007</v>
      </c>
      <c r="J42" s="3">
        <f>SUMIFS('Y2025B &amp; Y2024A'!$F:$F,'Y2025B &amp; Y2024A'!$B:$B,$D42,'Y2025B &amp; Y2024A'!$C:$C,$I$4)</f>
        <v>54944.552569999993</v>
      </c>
      <c r="K42" s="24"/>
      <c r="L42" s="3">
        <f>SUMIFS('Y2025B &amp; Y2024A'!$D:$D,'Y2025B &amp; Y2024A'!$B:$B,$D42,'Y2025B &amp; Y2024A'!$C:$C,$L$4)</f>
        <v>3773.2461200000089</v>
      </c>
      <c r="M42" s="3">
        <f>SUMIFS('Y2025B &amp; Y2024A'!$F:$F,'Y2025B &amp; Y2024A'!$B:$B,$D42,'Y2025B &amp; Y2024A'!$C:$C,$L$4)</f>
        <v>3132.4683591159801</v>
      </c>
      <c r="N42" s="24"/>
      <c r="O42" s="3">
        <f>SUMIFS('Y2025B &amp; Y2024A'!$D:$D,'Y2025B &amp; Y2024A'!$B:$B,$D42,'Y2025B &amp; Y2024A'!$C:$C,$O$4)</f>
        <v>15058.367380000003</v>
      </c>
      <c r="P42" s="3">
        <f>SUMIFS('Y2025B &amp; Y2024A'!$F:$F,'Y2025B &amp; Y2024A'!$B:$B,$D42,'Y2025B &amp; Y2024A'!$C:$C,$O$4)</f>
        <v>13655.828509115989</v>
      </c>
      <c r="Q42" s="24"/>
      <c r="R42" s="3">
        <f>SUMIFS('Y2025B &amp; Y2024A'!$D:$D,'Y2025B &amp; Y2024A'!$B:$B,$D42,'Y2025B &amp; Y2024A'!$C:$C,$R$4)</f>
        <v>-369.55085000000003</v>
      </c>
      <c r="S42" s="3">
        <f>SUMIFS('Y2025B &amp; Y2024A'!$F:$F,'Y2025B &amp; Y2024A'!$B:$B,$D42,'Y2025B &amp; Y2024A'!$C:$C,$R$4)</f>
        <v>-187.85622000000006</v>
      </c>
      <c r="T42" s="24"/>
      <c r="U42" s="3">
        <f>SUMIFS('Y2025B &amp; Y2024A'!$D:$D,'Y2025B &amp; Y2024A'!$B:$B,$D42,'Y2025B &amp; Y2024A'!$C:$C,$U$4)</f>
        <v>-1026.4492300000002</v>
      </c>
      <c r="V42" s="3">
        <f>SUMIFS('Y2025B &amp; Y2024A'!$F:$F,'Y2025B &amp; Y2024A'!$B:$B,$D42,'Y2025B &amp; Y2024A'!$C:$C,$U$4)</f>
        <v>-945.1277399999999</v>
      </c>
      <c r="X42" s="3">
        <f>SUMIFS('Y2025B &amp; Y2024A'!$D:$D,'Y2025B &amp; Y2024A'!$B:$B,$D42,'Y2025B &amp; Y2024A'!$C:$C,$X$4)</f>
        <v>13662.367300000004</v>
      </c>
      <c r="Y42" s="3">
        <f>SUMIFS('Y2025B &amp; Y2024A'!$F:$F,'Y2025B &amp; Y2024A'!$B:$B,$D42,'Y2025B &amp; Y2024A'!$C:$C,$X$4)</f>
        <v>12522.844549115986</v>
      </c>
      <c r="AA42" s="3">
        <f>SUMIFS('Y2025B &amp; Y2024A'!$D:$D,'Y2025B &amp; Y2024A'!$B:$B,$D42,'Y2025B &amp; Y2024A'!$C:$C,$AA$4)</f>
        <v>-3799.80078</v>
      </c>
      <c r="AB42" s="3">
        <f>SUMIFS('Y2025B &amp; Y2024A'!$F:$F,'Y2025B &amp; Y2024A'!$B:$B,$D42,'Y2025B &amp; Y2024A'!$C:$C,$AA$4)</f>
        <v>-3543.6623400000003</v>
      </c>
      <c r="AD42" s="3">
        <f>SUMIFS('Y2025B &amp; Y2024A'!$D:$D,'Y2025B &amp; Y2024A'!$B:$B,$D42,'Y2025B &amp; Y2024A'!$C:$C,$AD$4)</f>
        <v>-236.49359000000084</v>
      </c>
      <c r="AE42" s="3">
        <f>SUMIFS('Y2025B &amp; Y2024A'!$F:$F,'Y2025B &amp; Y2024A'!$B:$B,$D42,'Y2025B &amp; Y2024A'!$C:$C,$AD$4)</f>
        <v>-507.60722000000021</v>
      </c>
      <c r="AG42" s="3">
        <f>SUMIFS('Y2025B &amp; Y2024A'!$D:$D,'Y2025B &amp; Y2024A'!$B:$B,$D42,'Y2025B &amp; Y2024A'!$C:$C,$AG$4)</f>
        <v>-2808.1231700000003</v>
      </c>
      <c r="AH42" s="3">
        <f>SUMIFS('Y2025B &amp; Y2024A'!$F:$F,'Y2025B &amp; Y2024A'!$B:$B,$D42,'Y2025B &amp; Y2024A'!$C:$C,$AG$4)</f>
        <v>-2772.78087</v>
      </c>
      <c r="AJ42" s="3">
        <f>SUMIFS('Y2025B &amp; Y2024A'!$D:$D,'Y2025B &amp; Y2024A'!$B:$B,$D42,'Y2025B &amp; Y2024A'!$C:$C,$AJ$4)</f>
        <v>6817.9497600000022</v>
      </c>
      <c r="AK42" s="3">
        <f>SUMIFS('Y2025B &amp; Y2024A'!$F:$F,'Y2025B &amp; Y2024A'!$B:$B,$D42,'Y2025B &amp; Y2024A'!$C:$C,$AJ$4)</f>
        <v>5698.7941191159844</v>
      </c>
      <c r="AM42" s="3">
        <f>SUMIFS('Y2025B &amp; Y2024A'!$D:$D,'Y2025B &amp; Y2024A'!$B:$B,$D42,'Y2025B &amp; Y2024A'!$C:$C,$AM$4)</f>
        <v>-1480.7227</v>
      </c>
      <c r="AN42" s="3">
        <f>SUMIFS('Y2025B &amp; Y2024A'!$F:$F,'Y2025B &amp; Y2024A'!$B:$B,$D42,'Y2025B &amp; Y2024A'!$C:$C,$AM$4)</f>
        <v>-1987.2515299999995</v>
      </c>
      <c r="AP42" s="3">
        <f>SUMIFS('Y2025B &amp; Y2024A'!$D:$D,'Y2025B &amp; Y2024A'!$B:$B,$D42,'Y2025B &amp; Y2024A'!$C:$C,$AP$4)</f>
        <v>5337.227060000002</v>
      </c>
      <c r="AQ42" s="3">
        <f>SUMIFS('Y2025B &amp; Y2024A'!$F:$F,'Y2025B &amp; Y2024A'!$B:$B,$D42,'Y2025B &amp; Y2024A'!$C:$C,$AP$4)</f>
        <v>3711.5425891159848</v>
      </c>
    </row>
    <row r="43" spans="2:43" outlineLevel="3" x14ac:dyDescent="0.85">
      <c r="B43" s="1" t="s">
        <v>82</v>
      </c>
      <c r="C43" s="1" t="s">
        <v>82</v>
      </c>
      <c r="D43" s="2">
        <v>50001</v>
      </c>
      <c r="E43" s="1" t="s">
        <v>41</v>
      </c>
      <c r="F43" s="2" t="s">
        <v>15</v>
      </c>
      <c r="G43" s="1" t="s">
        <v>64</v>
      </c>
      <c r="I43" s="3">
        <f>SUMIFS('Y2025B &amp; Y2024A'!$D:$D,'Y2025B &amp; Y2024A'!$B:$B,$D43,'Y2025B &amp; Y2024A'!$C:$C,$I$4)</f>
        <v>130111.17465999999</v>
      </c>
      <c r="J43" s="3">
        <f>SUMIFS('Y2025B &amp; Y2024A'!$F:$F,'Y2025B &amp; Y2024A'!$B:$B,$D43,'Y2025B &amp; Y2024A'!$C:$C,$I$4)</f>
        <v>123769.43052000002</v>
      </c>
      <c r="K43" s="24"/>
      <c r="L43" s="3">
        <f>SUMIFS('Y2025B &amp; Y2024A'!$D:$D,'Y2025B &amp; Y2024A'!$B:$B,$D43,'Y2025B &amp; Y2024A'!$C:$C,$L$4)</f>
        <v>8180.4646000000057</v>
      </c>
      <c r="M43" s="3">
        <f>SUMIFS('Y2025B &amp; Y2024A'!$F:$F,'Y2025B &amp; Y2024A'!$B:$B,$D43,'Y2025B &amp; Y2024A'!$C:$C,$L$4)</f>
        <v>7654.4641434470523</v>
      </c>
      <c r="N43" s="24"/>
      <c r="O43" s="3">
        <f>SUMIFS('Y2025B &amp; Y2024A'!$D:$D,'Y2025B &amp; Y2024A'!$B:$B,$D43,'Y2025B &amp; Y2024A'!$C:$C,$O$4)</f>
        <v>35890.683490000018</v>
      </c>
      <c r="P43" s="3">
        <f>SUMIFS('Y2025B &amp; Y2024A'!$F:$F,'Y2025B &amp; Y2024A'!$B:$B,$D43,'Y2025B &amp; Y2024A'!$C:$C,$O$4)</f>
        <v>33146.97453344705</v>
      </c>
      <c r="Q43" s="24"/>
      <c r="R43" s="3">
        <f>SUMIFS('Y2025B &amp; Y2024A'!$D:$D,'Y2025B &amp; Y2024A'!$B:$B,$D43,'Y2025B &amp; Y2024A'!$C:$C,$R$4)</f>
        <v>-866.94392999999991</v>
      </c>
      <c r="S43" s="3">
        <f>SUMIFS('Y2025B &amp; Y2024A'!$F:$F,'Y2025B &amp; Y2024A'!$B:$B,$D43,'Y2025B &amp; Y2024A'!$C:$C,$R$4)</f>
        <v>-872.13867000000005</v>
      </c>
      <c r="T43" s="24"/>
      <c r="U43" s="3">
        <f>SUMIFS('Y2025B &amp; Y2024A'!$D:$D,'Y2025B &amp; Y2024A'!$B:$B,$D43,'Y2025B &amp; Y2024A'!$C:$C,$U$4)</f>
        <v>-2461.0197200000002</v>
      </c>
      <c r="V43" s="3">
        <f>SUMIFS('Y2025B &amp; Y2024A'!$F:$F,'Y2025B &amp; Y2024A'!$B:$B,$D43,'Y2025B &amp; Y2024A'!$C:$C,$U$4)</f>
        <v>-2241.9096799999993</v>
      </c>
      <c r="X43" s="3">
        <f>SUMIFS('Y2025B &amp; Y2024A'!$D:$D,'Y2025B &amp; Y2024A'!$B:$B,$D43,'Y2025B &amp; Y2024A'!$C:$C,$X$4)</f>
        <v>32562.71984000002</v>
      </c>
      <c r="Y43" s="3">
        <f>SUMIFS('Y2025B &amp; Y2024A'!$F:$F,'Y2025B &amp; Y2024A'!$B:$B,$D43,'Y2025B &amp; Y2024A'!$C:$C,$X$4)</f>
        <v>30032.926183447045</v>
      </c>
      <c r="AA43" s="3">
        <f>SUMIFS('Y2025B &amp; Y2024A'!$D:$D,'Y2025B &amp; Y2024A'!$B:$B,$D43,'Y2025B &amp; Y2024A'!$C:$C,$AA$4)</f>
        <v>-10145.721560000002</v>
      </c>
      <c r="AB43" s="3">
        <f>SUMIFS('Y2025B &amp; Y2024A'!$F:$F,'Y2025B &amp; Y2024A'!$B:$B,$D43,'Y2025B &amp; Y2024A'!$C:$C,$AA$4)</f>
        <v>-8774.9914099999951</v>
      </c>
      <c r="AD43" s="3">
        <f>SUMIFS('Y2025B &amp; Y2024A'!$D:$D,'Y2025B &amp; Y2024A'!$B:$B,$D43,'Y2025B &amp; Y2024A'!$C:$C,$AD$4)</f>
        <v>-3508.03647</v>
      </c>
      <c r="AE43" s="3">
        <f>SUMIFS('Y2025B &amp; Y2024A'!$F:$F,'Y2025B &amp; Y2024A'!$B:$B,$D43,'Y2025B &amp; Y2024A'!$C:$C,$AD$4)</f>
        <v>-3974.4202399999999</v>
      </c>
      <c r="AG43" s="3">
        <f>SUMIFS('Y2025B &amp; Y2024A'!$D:$D,'Y2025B &amp; Y2024A'!$B:$B,$D43,'Y2025B &amp; Y2024A'!$C:$C,$AG$4)</f>
        <v>-3657.3339700000001</v>
      </c>
      <c r="AH43" s="3">
        <f>SUMIFS('Y2025B &amp; Y2024A'!$F:$F,'Y2025B &amp; Y2024A'!$B:$B,$D43,'Y2025B &amp; Y2024A'!$C:$C,$AG$4)</f>
        <v>-3240.5805800000003</v>
      </c>
      <c r="AJ43" s="3">
        <f>SUMIFS('Y2025B &amp; Y2024A'!$D:$D,'Y2025B &amp; Y2024A'!$B:$B,$D43,'Y2025B &amp; Y2024A'!$C:$C,$AJ$4)</f>
        <v>15251.627840000019</v>
      </c>
      <c r="AK43" s="3">
        <f>SUMIFS('Y2025B &amp; Y2024A'!$F:$F,'Y2025B &amp; Y2024A'!$B:$B,$D43,'Y2025B &amp; Y2024A'!$C:$C,$AJ$4)</f>
        <v>14042.933953447051</v>
      </c>
      <c r="AM43" s="3">
        <f>SUMIFS('Y2025B &amp; Y2024A'!$D:$D,'Y2025B &amp; Y2024A'!$B:$B,$D43,'Y2025B &amp; Y2024A'!$C:$C,$AM$4)</f>
        <v>-3490.8274100000003</v>
      </c>
      <c r="AN43" s="3">
        <f>SUMIFS('Y2025B &amp; Y2024A'!$F:$F,'Y2025B &amp; Y2024A'!$B:$B,$D43,'Y2025B &amp; Y2024A'!$C:$C,$AM$4)</f>
        <v>-3167.6141799999996</v>
      </c>
      <c r="AP43" s="3">
        <f>SUMIFS('Y2025B &amp; Y2024A'!$D:$D,'Y2025B &amp; Y2024A'!$B:$B,$D43,'Y2025B &amp; Y2024A'!$C:$C,$AP$4)</f>
        <v>11760.800430000019</v>
      </c>
      <c r="AQ43" s="3">
        <f>SUMIFS('Y2025B &amp; Y2024A'!$F:$F,'Y2025B &amp; Y2024A'!$B:$B,$D43,'Y2025B &amp; Y2024A'!$C:$C,$AP$4)</f>
        <v>10875.319773447052</v>
      </c>
    </row>
    <row r="44" spans="2:43" outlineLevel="1" x14ac:dyDescent="0.85">
      <c r="B44" s="25" t="s">
        <v>82</v>
      </c>
      <c r="C44" s="25" t="s">
        <v>83</v>
      </c>
      <c r="D44" s="26"/>
      <c r="E44" s="26"/>
      <c r="F44" s="26"/>
      <c r="G44" s="25"/>
      <c r="H44" s="16"/>
      <c r="I44" s="27">
        <f>SUBTOTAL(9,I42:I43)</f>
        <v>186149.88750000001</v>
      </c>
      <c r="J44" s="27">
        <f>SUBTOTAL(9,J42:J43)</f>
        <v>178713.98309000002</v>
      </c>
      <c r="K44" s="29"/>
      <c r="L44" s="27">
        <f>SUBTOTAL(9,L42:L43)</f>
        <v>11953.710720000014</v>
      </c>
      <c r="M44" s="27">
        <f>SUBTOTAL(9,M42:M43)</f>
        <v>10786.932502563031</v>
      </c>
      <c r="N44" s="29"/>
      <c r="O44" s="27">
        <f>SUBTOTAL(9,O42:O43)</f>
        <v>50949.050870000021</v>
      </c>
      <c r="P44" s="27">
        <f>SUBTOTAL(9,P42:P43)</f>
        <v>46802.803042563042</v>
      </c>
      <c r="Q44" s="29"/>
      <c r="R44" s="27">
        <f>SUBTOTAL(9,R42:R43)</f>
        <v>-1236.49478</v>
      </c>
      <c r="S44" s="27">
        <f>SUBTOTAL(9,S42:S43)</f>
        <v>-1059.9948900000002</v>
      </c>
      <c r="T44" s="29"/>
      <c r="U44" s="27">
        <f>SUBTOTAL(9,U42:U43)</f>
        <v>-3487.4689500000004</v>
      </c>
      <c r="V44" s="27">
        <f>SUBTOTAL(9,V42:V43)</f>
        <v>-3187.0374199999992</v>
      </c>
      <c r="W44" s="17"/>
      <c r="X44" s="27">
        <f>SUBTOTAL(9,X42:X43)</f>
        <v>46225.087140000025</v>
      </c>
      <c r="Y44" s="27">
        <f>SUBTOTAL(9,Y42:Y43)</f>
        <v>42555.770732563033</v>
      </c>
      <c r="Z44" s="17"/>
      <c r="AA44" s="27">
        <f>SUBTOTAL(9,AA42:AA43)</f>
        <v>-13945.522340000001</v>
      </c>
      <c r="AB44" s="27">
        <f>SUBTOTAL(9,AB42:AB43)</f>
        <v>-12318.653749999996</v>
      </c>
      <c r="AC44" s="17"/>
      <c r="AD44" s="27">
        <f>SUBTOTAL(9,AD42:AD43)</f>
        <v>-3744.530060000001</v>
      </c>
      <c r="AE44" s="27">
        <f>SUBTOTAL(9,AE42:AE43)</f>
        <v>-4482.0274600000002</v>
      </c>
      <c r="AF44" s="17"/>
      <c r="AG44" s="27">
        <f>SUBTOTAL(9,AG42:AG43)</f>
        <v>-6465.4571400000004</v>
      </c>
      <c r="AH44" s="27">
        <f>SUBTOTAL(9,AH42:AH43)</f>
        <v>-6013.3614500000003</v>
      </c>
      <c r="AI44" s="17"/>
      <c r="AJ44" s="27">
        <f>SUBTOTAL(9,AJ42:AJ43)</f>
        <v>22069.577600000022</v>
      </c>
      <c r="AK44" s="27">
        <f>SUBTOTAL(9,AK42:AK43)</f>
        <v>19741.728072563033</v>
      </c>
      <c r="AL44" s="17"/>
      <c r="AM44" s="27">
        <f>SUBTOTAL(9,AM42:AM43)</f>
        <v>-4971.5501100000001</v>
      </c>
      <c r="AN44" s="27">
        <f>SUBTOTAL(9,AN42:AN43)</f>
        <v>-5154.8657099999991</v>
      </c>
      <c r="AO44" s="17"/>
      <c r="AP44" s="27">
        <f>SUBTOTAL(9,AP42:AP43)</f>
        <v>17098.027490000022</v>
      </c>
      <c r="AQ44" s="27">
        <f>SUBTOTAL(9,AQ42:AQ43)</f>
        <v>14586.862362563037</v>
      </c>
    </row>
    <row r="45" spans="2:43" x14ac:dyDescent="0.85">
      <c r="B45" s="30" t="s">
        <v>83</v>
      </c>
      <c r="C45" s="30"/>
      <c r="D45" s="31"/>
      <c r="E45" s="31"/>
      <c r="F45" s="31"/>
      <c r="G45" s="30"/>
      <c r="H45" s="16"/>
      <c r="I45" s="32">
        <f>SUBTOTAL(9,I42:I44)</f>
        <v>186149.88750000001</v>
      </c>
      <c r="J45" s="32">
        <f>SUBTOTAL(9,J42:J44)</f>
        <v>178713.98309000002</v>
      </c>
      <c r="K45" s="29"/>
      <c r="L45" s="32">
        <f>SUBTOTAL(9,L42:L44)</f>
        <v>11953.710720000014</v>
      </c>
      <c r="M45" s="32">
        <f>SUBTOTAL(9,M42:M44)</f>
        <v>10786.932502563031</v>
      </c>
      <c r="N45" s="29"/>
      <c r="O45" s="32">
        <f>SUBTOTAL(9,O42:O44)</f>
        <v>50949.050870000021</v>
      </c>
      <c r="P45" s="32">
        <f>SUBTOTAL(9,P42:P44)</f>
        <v>46802.803042563042</v>
      </c>
      <c r="Q45" s="29"/>
      <c r="R45" s="32">
        <f>SUBTOTAL(9,R42:R44)</f>
        <v>-1236.49478</v>
      </c>
      <c r="S45" s="32">
        <f>SUBTOTAL(9,S42:S44)</f>
        <v>-1059.9948900000002</v>
      </c>
      <c r="T45" s="29"/>
      <c r="U45" s="32">
        <f>SUBTOTAL(9,U42:U44)</f>
        <v>-3487.4689500000004</v>
      </c>
      <c r="V45" s="32">
        <f>SUBTOTAL(9,V42:V44)</f>
        <v>-3187.0374199999992</v>
      </c>
      <c r="W45" s="17"/>
      <c r="X45" s="32">
        <f>SUBTOTAL(9,X42:X44)</f>
        <v>46225.087140000025</v>
      </c>
      <c r="Y45" s="32">
        <f>SUBTOTAL(9,Y42:Y44)</f>
        <v>42555.770732563033</v>
      </c>
      <c r="Z45" s="17"/>
      <c r="AA45" s="32">
        <f>SUBTOTAL(9,AA42:AA44)</f>
        <v>-13945.522340000001</v>
      </c>
      <c r="AB45" s="32">
        <f>SUBTOTAL(9,AB42:AB44)</f>
        <v>-12318.653749999996</v>
      </c>
      <c r="AC45" s="17"/>
      <c r="AD45" s="32">
        <f>SUBTOTAL(9,AD42:AD44)</f>
        <v>-3744.530060000001</v>
      </c>
      <c r="AE45" s="32">
        <f>SUBTOTAL(9,AE42:AE44)</f>
        <v>-4482.0274600000002</v>
      </c>
      <c r="AF45" s="17"/>
      <c r="AG45" s="32">
        <f>SUBTOTAL(9,AG42:AG44)</f>
        <v>-6465.4571400000004</v>
      </c>
      <c r="AH45" s="32">
        <f>SUBTOTAL(9,AH42:AH44)</f>
        <v>-6013.3614500000003</v>
      </c>
      <c r="AI45" s="17"/>
      <c r="AJ45" s="32">
        <f>SUBTOTAL(9,AJ42:AJ44)</f>
        <v>22069.577600000022</v>
      </c>
      <c r="AK45" s="32">
        <f>SUBTOTAL(9,AK42:AK44)</f>
        <v>19741.728072563033</v>
      </c>
      <c r="AL45" s="17"/>
      <c r="AM45" s="32">
        <f>SUBTOTAL(9,AM42:AM44)</f>
        <v>-4971.5501100000001</v>
      </c>
      <c r="AN45" s="32">
        <f>SUBTOTAL(9,AN42:AN44)</f>
        <v>-5154.8657099999991</v>
      </c>
      <c r="AO45" s="17"/>
      <c r="AP45" s="32">
        <f>SUBTOTAL(9,AP42:AP44)</f>
        <v>17098.027490000022</v>
      </c>
      <c r="AQ45" s="32">
        <f>SUBTOTAL(9,AQ42:AQ44)</f>
        <v>14586.862362563037</v>
      </c>
    </row>
    <row r="46" spans="2:43" x14ac:dyDescent="0.85">
      <c r="B46" s="34" t="s">
        <v>42</v>
      </c>
      <c r="C46" s="34"/>
      <c r="D46" s="35"/>
      <c r="E46" s="35"/>
      <c r="F46" s="35"/>
      <c r="G46" s="34"/>
      <c r="H46" s="16"/>
      <c r="I46" s="36">
        <f>SUBTOTAL(9,I6:I45)</f>
        <v>1811498.2261200002</v>
      </c>
      <c r="J46" s="36">
        <f>SUBTOTAL(9,J6:J45)</f>
        <v>1775253.8330999999</v>
      </c>
      <c r="K46" s="29"/>
      <c r="L46" s="36">
        <f>SUBTOTAL(9,L6:L45)</f>
        <v>138725.48807000002</v>
      </c>
      <c r="M46" s="36">
        <f>SUBTOTAL(9,M6:M45)</f>
        <v>132964.07476288811</v>
      </c>
      <c r="N46" s="29"/>
      <c r="O46" s="36">
        <f>SUBTOTAL(9,O6:O45)</f>
        <v>499578.74373999989</v>
      </c>
      <c r="P46" s="36">
        <f>SUBTOTAL(9,P6:P45)</f>
        <v>475255.53592288785</v>
      </c>
      <c r="Q46" s="29"/>
      <c r="R46" s="36">
        <f>SUBTOTAL(9,R6:R45)</f>
        <v>-11152.08987</v>
      </c>
      <c r="S46" s="36">
        <f>SUBTOTAL(9,S6:S45)</f>
        <v>-10377.59402</v>
      </c>
      <c r="T46" s="29"/>
      <c r="U46" s="36">
        <f>SUBTOTAL(9,U6:U45)</f>
        <v>-33726.558940000003</v>
      </c>
      <c r="V46" s="36">
        <f>SUBTOTAL(9,V6:V45)</f>
        <v>-30996.71226</v>
      </c>
      <c r="W46" s="17"/>
      <c r="X46" s="36">
        <f>SUBTOTAL(9,X6:X45)</f>
        <v>454700.09492999985</v>
      </c>
      <c r="Y46" s="36">
        <f>SUBTOTAL(9,Y6:Y45)</f>
        <v>433881.22964288807</v>
      </c>
      <c r="Z46" s="17"/>
      <c r="AA46" s="36">
        <f>SUBTOTAL(9,AA6:AA45)</f>
        <v>-134491.15568999999</v>
      </c>
      <c r="AB46" s="36">
        <f>SUBTOTAL(9,AB6:AB45)</f>
        <v>-132335.75584999999</v>
      </c>
      <c r="AC46" s="17"/>
      <c r="AD46" s="36">
        <f>SUBTOTAL(9,AD6:AD45)</f>
        <v>-54932.521309999996</v>
      </c>
      <c r="AE46" s="36">
        <f>SUBTOTAL(9,AE6:AE45)</f>
        <v>-56756.94541</v>
      </c>
      <c r="AF46" s="17"/>
      <c r="AG46" s="36">
        <f>SUBTOTAL(9,AG6:AG45)</f>
        <v>-78084.32710000001</v>
      </c>
      <c r="AH46" s="36">
        <f>SUBTOTAL(9,AH6:AH45)</f>
        <v>-78808.08279</v>
      </c>
      <c r="AI46" s="17"/>
      <c r="AJ46" s="36">
        <f>SUBTOTAL(9,AJ6:AJ45)</f>
        <v>187192.09082999988</v>
      </c>
      <c r="AK46" s="36">
        <f>SUBTOTAL(9,AK6:AK45)</f>
        <v>165980.44559288802</v>
      </c>
      <c r="AL46" s="17"/>
      <c r="AM46" s="36">
        <f>SUBTOTAL(9,AM6:AM45)</f>
        <v>-48074.239639999993</v>
      </c>
      <c r="AN46" s="36">
        <f>SUBTOTAL(9,AN6:AN45)</f>
        <v>-38370.400060000007</v>
      </c>
      <c r="AO46" s="17"/>
      <c r="AP46" s="36">
        <f>SUBTOTAL(9,AP6:AP45)</f>
        <v>139117.8511899999</v>
      </c>
      <c r="AQ46" s="36">
        <f>SUBTOTAL(9,AQ6:AQ45)</f>
        <v>127610.04553288801</v>
      </c>
    </row>
  </sheetData>
  <autoFilter ref="A5:AQ45" xr:uid="{127A730B-D219-4918-AA6D-F0DA25AE0BB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F71A-5A0D-43D9-BA38-2536DD935DDA}">
  <sheetPr>
    <tabColor rgb="FFC00000"/>
  </sheetPr>
  <dimension ref="B2:W291"/>
  <sheetViews>
    <sheetView showGridLines="0" workbookViewId="0">
      <pane ySplit="3" topLeftCell="A4" activePane="bottomLeft" state="frozen"/>
      <selection activeCell="B3" sqref="B3"/>
      <selection pane="bottomLeft" activeCell="B3" sqref="B3"/>
    </sheetView>
  </sheetViews>
  <sheetFormatPr defaultRowHeight="14.25" x14ac:dyDescent="0.45"/>
  <sheetData>
    <row r="2" spans="2:23" ht="18.399999999999999" x14ac:dyDescent="0.45">
      <c r="B2" s="57"/>
      <c r="C2" s="57"/>
      <c r="D2" s="57" t="s">
        <v>86</v>
      </c>
      <c r="E2" s="57"/>
      <c r="F2" s="57"/>
      <c r="G2" s="57"/>
      <c r="H2" s="57"/>
      <c r="I2" s="57"/>
      <c r="J2" s="57"/>
      <c r="K2" s="57"/>
      <c r="L2" s="57"/>
      <c r="M2" s="57"/>
      <c r="N2" s="57" t="s">
        <v>49</v>
      </c>
      <c r="O2" s="57"/>
      <c r="P2" s="57"/>
      <c r="Q2" s="57"/>
      <c r="R2" s="57"/>
      <c r="S2" s="57"/>
      <c r="T2" s="57"/>
      <c r="U2" s="57"/>
      <c r="V2" s="57"/>
      <c r="W2" s="57"/>
    </row>
    <row r="3" spans="2:23" ht="36.75" x14ac:dyDescent="0.45">
      <c r="B3" s="57" t="s">
        <v>50</v>
      </c>
      <c r="C3" s="57" t="s">
        <v>85</v>
      </c>
      <c r="D3" s="45" t="s">
        <v>12</v>
      </c>
      <c r="E3" s="46" t="s">
        <v>51</v>
      </c>
      <c r="F3" s="47" t="s">
        <v>43</v>
      </c>
      <c r="G3" s="46" t="s">
        <v>51</v>
      </c>
      <c r="H3" s="47" t="s">
        <v>52</v>
      </c>
      <c r="I3" s="46" t="s">
        <v>53</v>
      </c>
      <c r="J3" s="47" t="s">
        <v>54</v>
      </c>
      <c r="K3" s="46" t="s">
        <v>51</v>
      </c>
      <c r="L3" s="47" t="s">
        <v>55</v>
      </c>
      <c r="M3" s="38" t="s">
        <v>53</v>
      </c>
      <c r="N3" s="45" t="s">
        <v>12</v>
      </c>
      <c r="O3" s="46" t="s">
        <v>51</v>
      </c>
      <c r="P3" s="47" t="s">
        <v>43</v>
      </c>
      <c r="Q3" s="46" t="s">
        <v>51</v>
      </c>
      <c r="R3" s="47" t="s">
        <v>52</v>
      </c>
      <c r="S3" s="46" t="s">
        <v>53</v>
      </c>
      <c r="T3" s="47" t="s">
        <v>54</v>
      </c>
      <c r="U3" s="46" t="s">
        <v>51</v>
      </c>
      <c r="V3" s="47" t="s">
        <v>55</v>
      </c>
      <c r="W3" s="38" t="s">
        <v>53</v>
      </c>
    </row>
    <row r="4" spans="2:23" ht="18.399999999999999" x14ac:dyDescent="0.85">
      <c r="B4" s="48">
        <v>1</v>
      </c>
      <c r="C4" s="49" t="s">
        <v>1</v>
      </c>
      <c r="D4" s="41">
        <v>2169.7169500000005</v>
      </c>
      <c r="E4" s="40">
        <v>1</v>
      </c>
      <c r="F4" s="41">
        <v>1921.3926299999998</v>
      </c>
      <c r="G4" s="40">
        <v>1</v>
      </c>
      <c r="H4" s="42">
        <v>248.32432000000063</v>
      </c>
      <c r="I4" s="43">
        <v>0.12924184059142593</v>
      </c>
      <c r="J4" s="41">
        <v>2511.16876</v>
      </c>
      <c r="K4" s="40">
        <v>1</v>
      </c>
      <c r="L4" s="42">
        <v>-341.45180999999957</v>
      </c>
      <c r="M4" s="44">
        <v>-0.13597326290408279</v>
      </c>
      <c r="N4" s="39">
        <v>10253.061020000001</v>
      </c>
      <c r="O4" s="40">
        <v>1</v>
      </c>
      <c r="P4" s="41">
        <v>9830.5962</v>
      </c>
      <c r="Q4" s="40">
        <v>1</v>
      </c>
      <c r="R4" s="42">
        <v>422.46482000000105</v>
      </c>
      <c r="S4" s="43">
        <v>4.2974486125266852E-2</v>
      </c>
      <c r="T4" s="41">
        <v>11521.286310000001</v>
      </c>
      <c r="U4" s="40">
        <v>1</v>
      </c>
      <c r="V4" s="42">
        <v>-1268.2252900000003</v>
      </c>
      <c r="W4" s="44">
        <v>-0.11007670982876565</v>
      </c>
    </row>
    <row r="5" spans="2:23" ht="18.399999999999999" x14ac:dyDescent="0.85">
      <c r="B5" s="48">
        <v>1</v>
      </c>
      <c r="C5" s="49" t="s">
        <v>56</v>
      </c>
      <c r="D5" s="41">
        <v>194.85185000000018</v>
      </c>
      <c r="E5" s="40">
        <v>8.9805193253433419E-2</v>
      </c>
      <c r="F5" s="41">
        <v>188.20139</v>
      </c>
      <c r="G5" s="40">
        <v>9.795051103115765E-2</v>
      </c>
      <c r="H5" s="42">
        <v>6.6504600000001801</v>
      </c>
      <c r="I5" s="43">
        <v>3.5336933483860987E-2</v>
      </c>
      <c r="J5" s="41">
        <v>271.32633299864642</v>
      </c>
      <c r="K5" s="40">
        <v>0.10804782909080408</v>
      </c>
      <c r="L5" s="42">
        <v>-76.474482998646238</v>
      </c>
      <c r="M5" s="44">
        <v>-0.2818542607105804</v>
      </c>
      <c r="N5" s="39">
        <v>642.44875000000013</v>
      </c>
      <c r="O5" s="40">
        <v>6.2659214525966025E-2</v>
      </c>
      <c r="P5" s="41">
        <v>574.10996999999975</v>
      </c>
      <c r="Q5" s="40">
        <v>5.8400320623483624E-2</v>
      </c>
      <c r="R5" s="42">
        <v>68.338780000000384</v>
      </c>
      <c r="S5" s="43">
        <v>0.11903430278349009</v>
      </c>
      <c r="T5" s="41">
        <v>997.30919832272559</v>
      </c>
      <c r="U5" s="40">
        <v>8.6562313572322414E-2</v>
      </c>
      <c r="V5" s="42">
        <v>-354.86044832272546</v>
      </c>
      <c r="W5" s="44">
        <v>-0.35581788368093836</v>
      </c>
    </row>
    <row r="6" spans="2:23" ht="18.399999999999999" x14ac:dyDescent="0.85">
      <c r="B6" s="48">
        <v>1</v>
      </c>
      <c r="C6" s="49" t="s">
        <v>57</v>
      </c>
      <c r="D6" s="41">
        <v>623.7583400000002</v>
      </c>
      <c r="E6" s="40">
        <v>0.28748373837426122</v>
      </c>
      <c r="F6" s="41">
        <v>550.11470999999983</v>
      </c>
      <c r="G6" s="40">
        <v>0.28631040913277567</v>
      </c>
      <c r="H6" s="42">
        <v>73.643630000000371</v>
      </c>
      <c r="I6" s="43">
        <v>0.13386958876267896</v>
      </c>
      <c r="J6" s="41">
        <v>660.91601299864624</v>
      </c>
      <c r="K6" s="40">
        <v>0.26319060014056811</v>
      </c>
      <c r="L6" s="42">
        <v>-37.157672998646035</v>
      </c>
      <c r="M6" s="44">
        <v>-5.6221474843766793E-2</v>
      </c>
      <c r="N6" s="39">
        <v>2693.4643100000012</v>
      </c>
      <c r="O6" s="40">
        <v>0.2626985545824832</v>
      </c>
      <c r="P6" s="41">
        <v>2413.5338199999987</v>
      </c>
      <c r="Q6" s="40">
        <v>0.24551245630453206</v>
      </c>
      <c r="R6" s="42">
        <v>279.93049000000246</v>
      </c>
      <c r="S6" s="43">
        <v>0.11598366166669362</v>
      </c>
      <c r="T6" s="41">
        <v>2879.7903283227301</v>
      </c>
      <c r="U6" s="40">
        <v>0.24995388976864422</v>
      </c>
      <c r="V6" s="42">
        <v>-186.32601832272894</v>
      </c>
      <c r="W6" s="44">
        <v>-6.4701244562915941E-2</v>
      </c>
    </row>
    <row r="7" spans="2:23" ht="18.399999999999999" x14ac:dyDescent="0.85">
      <c r="B7" s="48">
        <v>1</v>
      </c>
      <c r="C7" s="49" t="s">
        <v>2</v>
      </c>
      <c r="D7" s="41">
        <v>-8.3466699999999996</v>
      </c>
      <c r="E7" s="40">
        <v>-3.8468934853460946E-3</v>
      </c>
      <c r="F7" s="41">
        <v>-10.723929999999999</v>
      </c>
      <c r="G7" s="40">
        <v>-5.5813319113230909E-3</v>
      </c>
      <c r="H7" s="42">
        <v>2.3772599999999997</v>
      </c>
      <c r="I7" s="43">
        <v>0.22167806018875541</v>
      </c>
      <c r="J7" s="41">
        <v>-10.1951</v>
      </c>
      <c r="K7" s="40">
        <v>-4.0599023699227606E-3</v>
      </c>
      <c r="L7" s="42">
        <v>1.8484300000000005</v>
      </c>
      <c r="M7" s="44">
        <v>0.18130572529940858</v>
      </c>
      <c r="N7" s="39">
        <v>-23.334129999999995</v>
      </c>
      <c r="O7" s="40">
        <v>-2.2758208455488146E-3</v>
      </c>
      <c r="P7" s="41">
        <v>-54.824960000000004</v>
      </c>
      <c r="Q7" s="40">
        <v>-5.5769720253589505E-3</v>
      </c>
      <c r="R7" s="42">
        <v>31.49083000000001</v>
      </c>
      <c r="S7" s="43">
        <v>0.57438856316539044</v>
      </c>
      <c r="T7" s="41">
        <v>-25.909479999999999</v>
      </c>
      <c r="U7" s="40">
        <v>-2.2488357031377336E-3</v>
      </c>
      <c r="V7" s="42">
        <v>2.5753500000000038</v>
      </c>
      <c r="W7" s="44">
        <v>9.9397980970671887E-2</v>
      </c>
    </row>
    <row r="8" spans="2:23" ht="18.399999999999999" x14ac:dyDescent="0.85">
      <c r="B8" s="48">
        <v>1</v>
      </c>
      <c r="C8" s="49" t="s">
        <v>58</v>
      </c>
      <c r="D8" s="41">
        <v>-42.306859999999986</v>
      </c>
      <c r="E8" s="40">
        <v>-1.9498792227253411E-2</v>
      </c>
      <c r="F8" s="41">
        <v>-34.96246</v>
      </c>
      <c r="G8" s="40">
        <v>-1.8196416210881378E-2</v>
      </c>
      <c r="H8" s="42">
        <v>-7.3443999999999861</v>
      </c>
      <c r="I8" s="43">
        <v>-0.21006531004969289</v>
      </c>
      <c r="J8" s="41">
        <v>-36.712639999999993</v>
      </c>
      <c r="K8" s="40">
        <v>-1.4619742243050201E-2</v>
      </c>
      <c r="L8" s="42">
        <v>-5.5942199999999929</v>
      </c>
      <c r="M8" s="44">
        <v>-0.15237858132784768</v>
      </c>
      <c r="N8" s="39">
        <v>-185.92355000000001</v>
      </c>
      <c r="O8" s="40">
        <v>-1.8133467618824332E-2</v>
      </c>
      <c r="P8" s="41">
        <v>-181.03862999999998</v>
      </c>
      <c r="Q8" s="40">
        <v>-1.8415834229871021E-2</v>
      </c>
      <c r="R8" s="42">
        <v>-4.8849200000000224</v>
      </c>
      <c r="S8" s="43">
        <v>-2.6982749482803881E-2</v>
      </c>
      <c r="T8" s="41">
        <v>-172.93645000000001</v>
      </c>
      <c r="U8" s="40">
        <v>-1.5010168599828849E-2</v>
      </c>
      <c r="V8" s="42">
        <v>-12.987099999999998</v>
      </c>
      <c r="W8" s="44">
        <v>-7.5097528600824165E-2</v>
      </c>
    </row>
    <row r="9" spans="2:23" ht="18.399999999999999" x14ac:dyDescent="0.85">
      <c r="B9" s="48">
        <v>1</v>
      </c>
      <c r="C9" s="49" t="s">
        <v>59</v>
      </c>
      <c r="D9" s="41">
        <v>573.10481000000027</v>
      </c>
      <c r="E9" s="40">
        <v>0.26413805266166179</v>
      </c>
      <c r="F9" s="41">
        <v>504.42831999999976</v>
      </c>
      <c r="G9" s="40">
        <v>0.26253266101057116</v>
      </c>
      <c r="H9" s="42">
        <v>68.676490000000513</v>
      </c>
      <c r="I9" s="43">
        <v>0.13614717349731781</v>
      </c>
      <c r="J9" s="41">
        <v>614.00827299864613</v>
      </c>
      <c r="K9" s="40">
        <v>0.24451095552759511</v>
      </c>
      <c r="L9" s="42">
        <v>-40.903462998645864</v>
      </c>
      <c r="M9" s="44">
        <v>-6.6617120318077622E-2</v>
      </c>
      <c r="N9" s="39">
        <v>2484.2066300000015</v>
      </c>
      <c r="O9" s="40">
        <v>0.24228926611811008</v>
      </c>
      <c r="P9" s="41">
        <v>2177.6702299999993</v>
      </c>
      <c r="Q9" s="40">
        <v>0.22151965004930213</v>
      </c>
      <c r="R9" s="42">
        <v>306.53640000000223</v>
      </c>
      <c r="S9" s="43">
        <v>0.14076346169272946</v>
      </c>
      <c r="T9" s="41">
        <v>2680.9443983227297</v>
      </c>
      <c r="U9" s="40">
        <v>0.2326948854656776</v>
      </c>
      <c r="V9" s="42">
        <v>-196.73776832272824</v>
      </c>
      <c r="W9" s="44">
        <v>-7.3383755532495432E-2</v>
      </c>
    </row>
    <row r="10" spans="2:23" ht="18.399999999999999" x14ac:dyDescent="0.85">
      <c r="B10" s="48">
        <v>1</v>
      </c>
      <c r="C10" s="49" t="s">
        <v>3</v>
      </c>
      <c r="D10" s="41">
        <v>-191.46569</v>
      </c>
      <c r="E10" s="40">
        <v>-8.8244547289912614E-2</v>
      </c>
      <c r="F10" s="41">
        <v>-203.72172000000003</v>
      </c>
      <c r="G10" s="40">
        <v>-0.1060281572954717</v>
      </c>
      <c r="H10" s="42">
        <v>12.256030000000038</v>
      </c>
      <c r="I10" s="43">
        <v>6.0160644628368717E-2</v>
      </c>
      <c r="J10" s="41">
        <v>-245.90577999999999</v>
      </c>
      <c r="K10" s="40">
        <v>-9.7924832419466701E-2</v>
      </c>
      <c r="L10" s="42">
        <v>54.440089999999998</v>
      </c>
      <c r="M10" s="44">
        <v>0.22138597148875475</v>
      </c>
      <c r="N10" s="39">
        <v>-803.39477999999986</v>
      </c>
      <c r="O10" s="40">
        <v>-7.8356578433783644E-2</v>
      </c>
      <c r="P10" s="41">
        <v>-843.97976000000006</v>
      </c>
      <c r="Q10" s="40">
        <v>-8.5852347388655839E-2</v>
      </c>
      <c r="R10" s="42">
        <v>40.584980000000201</v>
      </c>
      <c r="S10" s="43">
        <v>4.8087622385636589E-2</v>
      </c>
      <c r="T10" s="41">
        <v>-886.5438700000002</v>
      </c>
      <c r="U10" s="40">
        <v>-7.6948341196114253E-2</v>
      </c>
      <c r="V10" s="42">
        <v>83.149090000000342</v>
      </c>
      <c r="W10" s="44">
        <v>9.3790158404682578E-2</v>
      </c>
    </row>
    <row r="11" spans="2:23" ht="18.399999999999999" x14ac:dyDescent="0.85">
      <c r="B11" s="48">
        <v>1</v>
      </c>
      <c r="C11" s="49" t="s">
        <v>4</v>
      </c>
      <c r="D11" s="41">
        <v>-77.542590000000004</v>
      </c>
      <c r="E11" s="40">
        <v>-3.5738574102949228E-2</v>
      </c>
      <c r="F11" s="41">
        <v>-75.000959999999992</v>
      </c>
      <c r="G11" s="40">
        <v>-3.9034687043636676E-2</v>
      </c>
      <c r="H11" s="42">
        <v>-2.541630000000012</v>
      </c>
      <c r="I11" s="43">
        <v>-3.3887966234032368E-2</v>
      </c>
      <c r="J11" s="41">
        <v>-95.534239999999997</v>
      </c>
      <c r="K11" s="40">
        <v>-3.8043735459659028E-2</v>
      </c>
      <c r="L11" s="42">
        <v>17.991649999999993</v>
      </c>
      <c r="M11" s="44">
        <v>0.1883267192998028</v>
      </c>
      <c r="N11" s="39">
        <v>-307.08120000000002</v>
      </c>
      <c r="O11" s="40">
        <v>-2.9950197253385703E-2</v>
      </c>
      <c r="P11" s="41">
        <v>-321.89330000000001</v>
      </c>
      <c r="Q11" s="40">
        <v>-3.274402624736026E-2</v>
      </c>
      <c r="R11" s="42">
        <v>14.812099999999987</v>
      </c>
      <c r="S11" s="43">
        <v>4.6015558571737857E-2</v>
      </c>
      <c r="T11" s="41">
        <v>-335.57576</v>
      </c>
      <c r="U11" s="40">
        <v>-2.9126588036331853E-2</v>
      </c>
      <c r="V11" s="42">
        <v>28.494559999999979</v>
      </c>
      <c r="W11" s="44">
        <v>8.4912450172205459E-2</v>
      </c>
    </row>
    <row r="12" spans="2:23" ht="18.399999999999999" x14ac:dyDescent="0.85">
      <c r="B12" s="48">
        <v>1</v>
      </c>
      <c r="C12" s="49" t="s">
        <v>60</v>
      </c>
      <c r="D12" s="41">
        <v>-187.09288000000001</v>
      </c>
      <c r="E12" s="40">
        <v>-8.6229164592183313E-2</v>
      </c>
      <c r="F12" s="41">
        <v>-187.09288000000001</v>
      </c>
      <c r="G12" s="40">
        <v>-9.73735805367381E-2</v>
      </c>
      <c r="H12" s="42">
        <v>0</v>
      </c>
      <c r="I12" s="43">
        <v>0</v>
      </c>
      <c r="J12" s="41">
        <v>-148.84717999999998</v>
      </c>
      <c r="K12" s="40">
        <v>-5.9274064878060993E-2</v>
      </c>
      <c r="L12" s="42">
        <v>-38.245700000000028</v>
      </c>
      <c r="M12" s="44">
        <v>-0.25694608389624873</v>
      </c>
      <c r="N12" s="39">
        <v>-748.37152000000003</v>
      </c>
      <c r="O12" s="40">
        <v>-7.2990058143631326E-2</v>
      </c>
      <c r="P12" s="41">
        <v>-748.37152000000003</v>
      </c>
      <c r="Q12" s="40">
        <v>-7.6126768384607232E-2</v>
      </c>
      <c r="R12" s="42">
        <v>0</v>
      </c>
      <c r="S12" s="43">
        <v>0</v>
      </c>
      <c r="T12" s="41">
        <v>-595.38871999999992</v>
      </c>
      <c r="U12" s="40">
        <v>-5.1677278385420133E-2</v>
      </c>
      <c r="V12" s="42">
        <v>-152.98280000000011</v>
      </c>
      <c r="W12" s="44">
        <v>-0.25694608389624873</v>
      </c>
    </row>
    <row r="13" spans="2:23" ht="18.399999999999999" x14ac:dyDescent="0.85">
      <c r="B13" s="48">
        <v>1</v>
      </c>
      <c r="C13" s="49" t="s">
        <v>61</v>
      </c>
      <c r="D13" s="41">
        <v>117.00365000000022</v>
      </c>
      <c r="E13" s="40">
        <v>5.3925766676616596E-2</v>
      </c>
      <c r="F13" s="41">
        <v>38.612759999999753</v>
      </c>
      <c r="G13" s="40">
        <v>2.0096236134724717E-2</v>
      </c>
      <c r="H13" s="42">
        <v>78.390890000000468</v>
      </c>
      <c r="I13" s="43">
        <v>2.0301809557255419</v>
      </c>
      <c r="J13" s="41">
        <v>123.72107299864615</v>
      </c>
      <c r="K13" s="40">
        <v>4.9268322770408372E-2</v>
      </c>
      <c r="L13" s="42">
        <v>-6.7174229986459295</v>
      </c>
      <c r="M13" s="44">
        <v>-5.4294897674541154E-2</v>
      </c>
      <c r="N13" s="39">
        <v>625.35913000000164</v>
      </c>
      <c r="O13" s="40">
        <v>6.0992432287309412E-2</v>
      </c>
      <c r="P13" s="41">
        <v>263.42564999999922</v>
      </c>
      <c r="Q13" s="40">
        <v>2.6796508028678792E-2</v>
      </c>
      <c r="R13" s="42">
        <v>361.93348000000242</v>
      </c>
      <c r="S13" s="43">
        <v>1.3739492718344</v>
      </c>
      <c r="T13" s="41">
        <v>863.43604832272968</v>
      </c>
      <c r="U13" s="40">
        <v>7.494267784781139E-2</v>
      </c>
      <c r="V13" s="42">
        <v>-238.07691832272803</v>
      </c>
      <c r="W13" s="44">
        <v>-0.27573196507744269</v>
      </c>
    </row>
    <row r="14" spans="2:23" ht="18.399999999999999" x14ac:dyDescent="0.85">
      <c r="B14" s="48">
        <v>1</v>
      </c>
      <c r="C14" s="49" t="s">
        <v>62</v>
      </c>
      <c r="D14" s="41">
        <v>-12.84389</v>
      </c>
      <c r="E14" s="40">
        <v>-5.919615459518808E-3</v>
      </c>
      <c r="F14" s="41">
        <v>-14.528689999999999</v>
      </c>
      <c r="G14" s="40">
        <v>-7.5615414429897132E-3</v>
      </c>
      <c r="H14" s="42">
        <v>1.6847999999999992</v>
      </c>
      <c r="I14" s="43">
        <v>0.11596365536053142</v>
      </c>
      <c r="J14" s="41">
        <v>-14.896170000000001</v>
      </c>
      <c r="K14" s="40">
        <v>-5.9319669140834646E-3</v>
      </c>
      <c r="L14" s="42">
        <v>2.0522800000000014</v>
      </c>
      <c r="M14" s="44">
        <v>0.13777232671216838</v>
      </c>
      <c r="N14" s="39">
        <v>-51.834090000000003</v>
      </c>
      <c r="O14" s="40">
        <v>-5.0554746430251912E-3</v>
      </c>
      <c r="P14" s="41">
        <v>-58.077679999999994</v>
      </c>
      <c r="Q14" s="40">
        <v>-5.9078492106104403E-3</v>
      </c>
      <c r="R14" s="42">
        <v>6.2435899999999904</v>
      </c>
      <c r="S14" s="43">
        <v>0.10750412206548181</v>
      </c>
      <c r="T14" s="41">
        <v>-60.23895000000001</v>
      </c>
      <c r="U14" s="40">
        <v>-5.2284917134395913E-3</v>
      </c>
      <c r="V14" s="42">
        <v>8.4048600000000064</v>
      </c>
      <c r="W14" s="44">
        <v>0.13952534033212738</v>
      </c>
    </row>
    <row r="15" spans="2:23" ht="18.399999999999999" x14ac:dyDescent="0.85">
      <c r="B15" s="48">
        <v>1</v>
      </c>
      <c r="C15" s="50" t="s">
        <v>5</v>
      </c>
      <c r="D15" s="51">
        <v>104.15976000000022</v>
      </c>
      <c r="E15" s="52">
        <v>4.8006151217097788E-2</v>
      </c>
      <c r="F15" s="51">
        <v>24.084069999999755</v>
      </c>
      <c r="G15" s="52">
        <v>1.2534694691735003E-2</v>
      </c>
      <c r="H15" s="53">
        <v>80.075690000000463</v>
      </c>
      <c r="I15" s="54">
        <v>3.3248404443269464</v>
      </c>
      <c r="J15" s="51">
        <v>108.82490299864615</v>
      </c>
      <c r="K15" s="52">
        <v>4.3336355856324907E-2</v>
      </c>
      <c r="L15" s="53">
        <v>-4.6651429986459334</v>
      </c>
      <c r="M15" s="55">
        <v>-4.2868340518566514E-2</v>
      </c>
      <c r="N15" s="56">
        <v>573.52504000000158</v>
      </c>
      <c r="O15" s="52">
        <v>5.5936957644284219E-2</v>
      </c>
      <c r="P15" s="51">
        <v>205.34796999999924</v>
      </c>
      <c r="Q15" s="52">
        <v>2.0888658818068354E-2</v>
      </c>
      <c r="R15" s="53">
        <v>368.17707000000235</v>
      </c>
      <c r="S15" s="54">
        <v>1.792942340749722</v>
      </c>
      <c r="T15" s="51">
        <v>803.19709832272963</v>
      </c>
      <c r="U15" s="52">
        <v>6.9714186134371789E-2</v>
      </c>
      <c r="V15" s="53">
        <v>-229.67205832272805</v>
      </c>
      <c r="W15" s="55">
        <v>-0.28594732077884621</v>
      </c>
    </row>
    <row r="16" spans="2:23" ht="18.399999999999999" x14ac:dyDescent="0.85">
      <c r="B16" s="48">
        <v>102</v>
      </c>
      <c r="C16" s="49" t="s">
        <v>1</v>
      </c>
      <c r="D16" s="41">
        <v>2084.0244299999999</v>
      </c>
      <c r="E16" s="40">
        <v>1</v>
      </c>
      <c r="F16" s="41">
        <v>2204.4511700000003</v>
      </c>
      <c r="G16" s="40">
        <v>1</v>
      </c>
      <c r="H16" s="42">
        <v>-120.42674000000034</v>
      </c>
      <c r="I16" s="43">
        <v>-5.4628898856489673E-2</v>
      </c>
      <c r="J16" s="41">
        <v>2321.5940699999996</v>
      </c>
      <c r="K16" s="40">
        <v>1</v>
      </c>
      <c r="L16" s="42">
        <v>-237.56963999999971</v>
      </c>
      <c r="M16" s="44">
        <v>-0.10233039576983402</v>
      </c>
      <c r="N16" s="39">
        <v>10993.125419999998</v>
      </c>
      <c r="O16" s="40">
        <v>1</v>
      </c>
      <c r="P16" s="41">
        <v>11612.471630000002</v>
      </c>
      <c r="Q16" s="40">
        <v>1</v>
      </c>
      <c r="R16" s="42">
        <v>-619.34621000000334</v>
      </c>
      <c r="S16" s="43">
        <v>-5.3334572495313232E-2</v>
      </c>
      <c r="T16" s="41">
        <v>11815.729899999998</v>
      </c>
      <c r="U16" s="40">
        <v>1</v>
      </c>
      <c r="V16" s="42">
        <v>-822.60447999999997</v>
      </c>
      <c r="W16" s="44">
        <v>-6.961943840642465E-2</v>
      </c>
    </row>
    <row r="17" spans="2:23" ht="18.399999999999999" x14ac:dyDescent="0.85">
      <c r="B17" s="48">
        <v>102</v>
      </c>
      <c r="C17" s="49" t="s">
        <v>56</v>
      </c>
      <c r="D17" s="41">
        <v>170.26754999999991</v>
      </c>
      <c r="E17" s="40">
        <v>8.1701321514738634E-2</v>
      </c>
      <c r="F17" s="41">
        <v>207.02017999999973</v>
      </c>
      <c r="G17" s="40">
        <v>9.3910077400353439E-2</v>
      </c>
      <c r="H17" s="42">
        <v>-36.752629999999812</v>
      </c>
      <c r="I17" s="43">
        <v>-0.17753163000824296</v>
      </c>
      <c r="J17" s="41">
        <v>226.56948552342456</v>
      </c>
      <c r="K17" s="40">
        <v>9.7592205481221189E-2</v>
      </c>
      <c r="L17" s="42">
        <v>-56.301935523424646</v>
      </c>
      <c r="M17" s="44">
        <v>-0.2484974328884359</v>
      </c>
      <c r="N17" s="39">
        <v>395.85013999999723</v>
      </c>
      <c r="O17" s="40">
        <v>3.6008880539088517E-2</v>
      </c>
      <c r="P17" s="41">
        <v>551.63802000000101</v>
      </c>
      <c r="Q17" s="40">
        <v>4.7503928326066529E-2</v>
      </c>
      <c r="R17" s="42">
        <v>-155.78788000000378</v>
      </c>
      <c r="S17" s="43">
        <v>-0.28240961346355986</v>
      </c>
      <c r="T17" s="41">
        <v>661.04016345758475</v>
      </c>
      <c r="U17" s="40">
        <v>5.594577474706703E-2</v>
      </c>
      <c r="V17" s="42">
        <v>-265.19002345758753</v>
      </c>
      <c r="W17" s="44">
        <v>-0.40117081853318176</v>
      </c>
    </row>
    <row r="18" spans="2:23" ht="18.399999999999999" x14ac:dyDescent="0.85">
      <c r="B18" s="48">
        <v>102</v>
      </c>
      <c r="C18" s="49" t="s">
        <v>57</v>
      </c>
      <c r="D18" s="41">
        <v>591.78148999999996</v>
      </c>
      <c r="E18" s="40">
        <v>0.2839609178669753</v>
      </c>
      <c r="F18" s="41">
        <v>642.84266999999977</v>
      </c>
      <c r="G18" s="40">
        <v>0.29161120860753731</v>
      </c>
      <c r="H18" s="42">
        <v>-51.061179999999808</v>
      </c>
      <c r="I18" s="43">
        <v>-7.9430290462827902E-2</v>
      </c>
      <c r="J18" s="41">
        <v>644.6077455234248</v>
      </c>
      <c r="K18" s="40">
        <v>0.27765738802194001</v>
      </c>
      <c r="L18" s="42">
        <v>-52.826255523424834</v>
      </c>
      <c r="M18" s="44">
        <v>-8.1951009571766223E-2</v>
      </c>
      <c r="N18" s="39">
        <v>2655.0970999999968</v>
      </c>
      <c r="O18" s="40">
        <v>0.24152340654365037</v>
      </c>
      <c r="P18" s="41">
        <v>2773.7705200000019</v>
      </c>
      <c r="Q18" s="40">
        <v>0.23886133877254531</v>
      </c>
      <c r="R18" s="42">
        <v>-118.67342000000508</v>
      </c>
      <c r="S18" s="43">
        <v>-4.2784152165552973E-2</v>
      </c>
      <c r="T18" s="41">
        <v>2784.3140334575814</v>
      </c>
      <c r="U18" s="40">
        <v>0.23564469203528271</v>
      </c>
      <c r="V18" s="42">
        <v>-129.21693345758467</v>
      </c>
      <c r="W18" s="44">
        <v>-4.6408893502979671E-2</v>
      </c>
    </row>
    <row r="19" spans="2:23" ht="18.399999999999999" x14ac:dyDescent="0.85">
      <c r="B19" s="48">
        <v>102</v>
      </c>
      <c r="C19" s="49" t="s">
        <v>2</v>
      </c>
      <c r="D19" s="41">
        <v>17.813330000000004</v>
      </c>
      <c r="E19" s="40">
        <v>8.5475629477145838E-3</v>
      </c>
      <c r="F19" s="41">
        <v>-13.64781</v>
      </c>
      <c r="G19" s="40">
        <v>-6.1910239545020168E-3</v>
      </c>
      <c r="H19" s="42">
        <v>31.461140000000004</v>
      </c>
      <c r="I19" s="43">
        <v>2.3052152689698935</v>
      </c>
      <c r="J19" s="41">
        <v>-16.798660000000002</v>
      </c>
      <c r="K19" s="40">
        <v>-7.2358299915884971E-3</v>
      </c>
      <c r="L19" s="42">
        <v>34.611990000000006</v>
      </c>
      <c r="M19" s="44">
        <v>2.0604018415754592</v>
      </c>
      <c r="N19" s="39">
        <v>-5.2221299999999999</v>
      </c>
      <c r="O19" s="40">
        <v>-4.7503597025276188E-4</v>
      </c>
      <c r="P19" s="41">
        <v>-70.92855999999999</v>
      </c>
      <c r="Q19" s="40">
        <v>-6.1079641147850951E-3</v>
      </c>
      <c r="R19" s="42">
        <v>65.706429999999983</v>
      </c>
      <c r="S19" s="43">
        <v>0.92637479176230264</v>
      </c>
      <c r="T19" s="41">
        <v>-52.023569999999992</v>
      </c>
      <c r="U19" s="40">
        <v>-4.4029078559082498E-3</v>
      </c>
      <c r="V19" s="42">
        <v>46.801439999999992</v>
      </c>
      <c r="W19" s="44">
        <v>0.89961992227753684</v>
      </c>
    </row>
    <row r="20" spans="2:23" ht="18.399999999999999" x14ac:dyDescent="0.85">
      <c r="B20" s="48">
        <v>102</v>
      </c>
      <c r="C20" s="49" t="s">
        <v>58</v>
      </c>
      <c r="D20" s="41">
        <v>-38.150460000000002</v>
      </c>
      <c r="E20" s="40">
        <v>-1.8306148167370574E-2</v>
      </c>
      <c r="F20" s="41">
        <v>-39.96134</v>
      </c>
      <c r="G20" s="40">
        <v>-1.8127568686404603E-2</v>
      </c>
      <c r="H20" s="42">
        <v>1.8108799999999974</v>
      </c>
      <c r="I20" s="43">
        <v>4.5315797718494859E-2</v>
      </c>
      <c r="J20" s="41">
        <v>-37.489809999999999</v>
      </c>
      <c r="K20" s="40">
        <v>-1.6148305375366507E-2</v>
      </c>
      <c r="L20" s="42">
        <v>-0.66065000000000396</v>
      </c>
      <c r="M20" s="44">
        <v>-1.7622121851244486E-2</v>
      </c>
      <c r="N20" s="39">
        <v>-195.52833999999999</v>
      </c>
      <c r="O20" s="40">
        <v>-1.7786419469414186E-2</v>
      </c>
      <c r="P20" s="41">
        <v>-212.42066</v>
      </c>
      <c r="Q20" s="40">
        <v>-1.8292458898347377E-2</v>
      </c>
      <c r="R20" s="42">
        <v>16.892320000000012</v>
      </c>
      <c r="S20" s="43">
        <v>7.9522961655424718E-2</v>
      </c>
      <c r="T20" s="41">
        <v>-190.27485999999999</v>
      </c>
      <c r="U20" s="40">
        <v>-1.610352145913559E-2</v>
      </c>
      <c r="V20" s="42">
        <v>-5.2534799999999962</v>
      </c>
      <c r="W20" s="44">
        <v>-2.7609953306495648E-2</v>
      </c>
    </row>
    <row r="21" spans="2:23" ht="18.399999999999999" x14ac:dyDescent="0.85">
      <c r="B21" s="48">
        <v>102</v>
      </c>
      <c r="C21" s="49" t="s">
        <v>59</v>
      </c>
      <c r="D21" s="41">
        <v>571.44435999999973</v>
      </c>
      <c r="E21" s="40">
        <v>0.27420233264731919</v>
      </c>
      <c r="F21" s="41">
        <v>589.23351999999977</v>
      </c>
      <c r="G21" s="40">
        <v>0.26729261596663068</v>
      </c>
      <c r="H21" s="42">
        <v>-17.789160000000038</v>
      </c>
      <c r="I21" s="43">
        <v>-3.0190339476953119E-2</v>
      </c>
      <c r="J21" s="41">
        <v>590.31927552342484</v>
      </c>
      <c r="K21" s="40">
        <v>0.25427325265498502</v>
      </c>
      <c r="L21" s="42">
        <v>-18.874915523425102</v>
      </c>
      <c r="M21" s="44">
        <v>-3.1974079631211558E-2</v>
      </c>
      <c r="N21" s="39">
        <v>2454.3466299999968</v>
      </c>
      <c r="O21" s="40">
        <v>0.22326195110398342</v>
      </c>
      <c r="P21" s="41">
        <v>2490.4213000000022</v>
      </c>
      <c r="Q21" s="40">
        <v>0.21446091575941287</v>
      </c>
      <c r="R21" s="42">
        <v>-36.074670000005426</v>
      </c>
      <c r="S21" s="43">
        <v>-1.4485368399316771E-2</v>
      </c>
      <c r="T21" s="41">
        <v>2542.0156034575821</v>
      </c>
      <c r="U21" s="40">
        <v>0.21513826272023892</v>
      </c>
      <c r="V21" s="42">
        <v>-87.668973457585253</v>
      </c>
      <c r="W21" s="44">
        <v>-3.4487976131358219E-2</v>
      </c>
    </row>
    <row r="22" spans="2:23" ht="18.399999999999999" x14ac:dyDescent="0.85">
      <c r="B22" s="48">
        <v>102</v>
      </c>
      <c r="C22" s="49" t="s">
        <v>3</v>
      </c>
      <c r="D22" s="41">
        <v>-208.22120999999993</v>
      </c>
      <c r="E22" s="40">
        <v>-9.9913037007920258E-2</v>
      </c>
      <c r="F22" s="41">
        <v>-188.65868000000003</v>
      </c>
      <c r="G22" s="40">
        <v>-8.5580793336420338E-2</v>
      </c>
      <c r="H22" s="42">
        <v>-19.562529999999896</v>
      </c>
      <c r="I22" s="43">
        <v>-0.10369271109073748</v>
      </c>
      <c r="J22" s="41">
        <v>-210.83404999999996</v>
      </c>
      <c r="K22" s="40">
        <v>-9.0814347229961692E-2</v>
      </c>
      <c r="L22" s="42">
        <v>2.612840000000034</v>
      </c>
      <c r="M22" s="44">
        <v>1.2392874870069775E-2</v>
      </c>
      <c r="N22" s="39">
        <v>-903.23324999999988</v>
      </c>
      <c r="O22" s="40">
        <v>-8.2163462663377859E-2</v>
      </c>
      <c r="P22" s="41">
        <v>-796.75625000000002</v>
      </c>
      <c r="Q22" s="40">
        <v>-6.861211595485292E-2</v>
      </c>
      <c r="R22" s="42">
        <v>-106.47699999999986</v>
      </c>
      <c r="S22" s="43">
        <v>-0.13363811077729212</v>
      </c>
      <c r="T22" s="41">
        <v>-798.84040999999991</v>
      </c>
      <c r="U22" s="40">
        <v>-6.7608215214872175E-2</v>
      </c>
      <c r="V22" s="42">
        <v>-104.39283999999998</v>
      </c>
      <c r="W22" s="44">
        <v>-0.13068046970733491</v>
      </c>
    </row>
    <row r="23" spans="2:23" ht="18.399999999999999" x14ac:dyDescent="0.85">
      <c r="B23" s="48">
        <v>102</v>
      </c>
      <c r="C23" s="49" t="s">
        <v>4</v>
      </c>
      <c r="D23" s="41">
        <v>-57.801049999999975</v>
      </c>
      <c r="E23" s="40">
        <v>-2.7735303467627766E-2</v>
      </c>
      <c r="F23" s="41">
        <v>-58.800559999999997</v>
      </c>
      <c r="G23" s="40">
        <v>-2.6673559750475213E-2</v>
      </c>
      <c r="H23" s="42">
        <v>0.9995100000000221</v>
      </c>
      <c r="I23" s="43">
        <v>1.699830749911263E-2</v>
      </c>
      <c r="J23" s="41">
        <v>-59.54164999999999</v>
      </c>
      <c r="K23" s="40">
        <v>-2.5646882359584938E-2</v>
      </c>
      <c r="L23" s="42">
        <v>1.7406000000000148</v>
      </c>
      <c r="M23" s="44">
        <v>2.9233318189872386E-2</v>
      </c>
      <c r="N23" s="39">
        <v>-238.59392999999997</v>
      </c>
      <c r="O23" s="40">
        <v>-2.1703921394903909E-2</v>
      </c>
      <c r="P23" s="41">
        <v>-260.27438000000001</v>
      </c>
      <c r="Q23" s="40">
        <v>-2.2413349052031222E-2</v>
      </c>
      <c r="R23" s="42">
        <v>21.680450000000036</v>
      </c>
      <c r="S23" s="43">
        <v>8.3298440668651427E-2</v>
      </c>
      <c r="T23" s="41">
        <v>-240.64897000000002</v>
      </c>
      <c r="U23" s="40">
        <v>-2.0366830660203231E-2</v>
      </c>
      <c r="V23" s="42">
        <v>2.0550400000000479</v>
      </c>
      <c r="W23" s="44">
        <v>8.5395752992420779E-3</v>
      </c>
    </row>
    <row r="24" spans="2:23" ht="18.399999999999999" x14ac:dyDescent="0.85">
      <c r="B24" s="48">
        <v>102</v>
      </c>
      <c r="C24" s="49" t="s">
        <v>60</v>
      </c>
      <c r="D24" s="41">
        <v>-206.85839999999999</v>
      </c>
      <c r="E24" s="40">
        <v>-9.9259105134386544E-2</v>
      </c>
      <c r="F24" s="41">
        <v>-206.85839999999999</v>
      </c>
      <c r="G24" s="40">
        <v>-9.3836689519414471E-2</v>
      </c>
      <c r="H24" s="42">
        <v>0</v>
      </c>
      <c r="I24" s="43">
        <v>0</v>
      </c>
      <c r="J24" s="41">
        <v>-206.85839999999999</v>
      </c>
      <c r="K24" s="40">
        <v>-8.910188162222521E-2</v>
      </c>
      <c r="L24" s="42">
        <v>0</v>
      </c>
      <c r="M24" s="44">
        <v>0</v>
      </c>
      <c r="N24" s="39">
        <v>-827.43359999999996</v>
      </c>
      <c r="O24" s="40">
        <v>-7.5268276162358205E-2</v>
      </c>
      <c r="P24" s="41">
        <v>-827.43359999999996</v>
      </c>
      <c r="Q24" s="40">
        <v>-7.1253874830779662E-2</v>
      </c>
      <c r="R24" s="42">
        <v>0</v>
      </c>
      <c r="S24" s="43">
        <v>0</v>
      </c>
      <c r="T24" s="41">
        <v>-827.43359999999996</v>
      </c>
      <c r="U24" s="40">
        <v>-7.0028141046115155E-2</v>
      </c>
      <c r="V24" s="42">
        <v>0</v>
      </c>
      <c r="W24" s="44">
        <v>0</v>
      </c>
    </row>
    <row r="25" spans="2:23" ht="18.399999999999999" x14ac:dyDescent="0.85">
      <c r="B25" s="48">
        <v>102</v>
      </c>
      <c r="C25" s="49" t="s">
        <v>61</v>
      </c>
      <c r="D25" s="41">
        <v>98.563699999999812</v>
      </c>
      <c r="E25" s="40">
        <v>4.7294887037384596E-2</v>
      </c>
      <c r="F25" s="41">
        <v>134.91587999999979</v>
      </c>
      <c r="G25" s="40">
        <v>6.1201573360320685E-2</v>
      </c>
      <c r="H25" s="42">
        <v>-36.352179999999976</v>
      </c>
      <c r="I25" s="43">
        <v>-0.26944330052177723</v>
      </c>
      <c r="J25" s="41">
        <v>113.08517552342494</v>
      </c>
      <c r="K25" s="40">
        <v>4.871014144321318E-2</v>
      </c>
      <c r="L25" s="42">
        <v>-14.521475523425124</v>
      </c>
      <c r="M25" s="44">
        <v>-0.12841184051058122</v>
      </c>
      <c r="N25" s="39">
        <v>485.08584999999721</v>
      </c>
      <c r="O25" s="40">
        <v>4.4126290883343459E-2</v>
      </c>
      <c r="P25" s="41">
        <v>605.9570700000022</v>
      </c>
      <c r="Q25" s="40">
        <v>5.2181575921749067E-2</v>
      </c>
      <c r="R25" s="42">
        <v>-120.871220000005</v>
      </c>
      <c r="S25" s="43">
        <v>-0.19947158962928604</v>
      </c>
      <c r="T25" s="41">
        <v>675.09262345758225</v>
      </c>
      <c r="U25" s="40">
        <v>5.7135075799048383E-2</v>
      </c>
      <c r="V25" s="42">
        <v>-190.00677345758504</v>
      </c>
      <c r="W25" s="44">
        <v>-0.28145289528485512</v>
      </c>
    </row>
    <row r="26" spans="2:23" ht="18.399999999999999" x14ac:dyDescent="0.85">
      <c r="B26" s="48">
        <v>102</v>
      </c>
      <c r="C26" s="49" t="s">
        <v>62</v>
      </c>
      <c r="D26" s="41">
        <v>-43.947110000000002</v>
      </c>
      <c r="E26" s="40">
        <v>-2.1087617480568595E-2</v>
      </c>
      <c r="F26" s="41">
        <v>-73.238399999999999</v>
      </c>
      <c r="G26" s="40">
        <v>-3.3222963155949602E-2</v>
      </c>
      <c r="H26" s="42">
        <v>29.291289999999996</v>
      </c>
      <c r="I26" s="43">
        <v>0.39994442805959712</v>
      </c>
      <c r="J26" s="41">
        <v>-15.958949999999998</v>
      </c>
      <c r="K26" s="40">
        <v>-6.8741345466996305E-3</v>
      </c>
      <c r="L26" s="42">
        <v>-27.988160000000004</v>
      </c>
      <c r="M26" s="44">
        <v>-1.7537594891894521</v>
      </c>
      <c r="N26" s="39">
        <v>-88.805839999999975</v>
      </c>
      <c r="O26" s="40">
        <v>-8.0783068151331974E-3</v>
      </c>
      <c r="P26" s="41">
        <v>-292.64342000000005</v>
      </c>
      <c r="Q26" s="40">
        <v>-2.5200786647691469E-2</v>
      </c>
      <c r="R26" s="42">
        <v>203.83758000000006</v>
      </c>
      <c r="S26" s="43">
        <v>0.69653908500659278</v>
      </c>
      <c r="T26" s="41">
        <v>-63.603929999999991</v>
      </c>
      <c r="U26" s="40">
        <v>-5.3829878084806259E-3</v>
      </c>
      <c r="V26" s="42">
        <v>-25.201909999999984</v>
      </c>
      <c r="W26" s="44">
        <v>-0.39623196239603414</v>
      </c>
    </row>
    <row r="27" spans="2:23" ht="18.399999999999999" x14ac:dyDescent="0.85">
      <c r="B27" s="48">
        <v>102</v>
      </c>
      <c r="C27" s="50" t="s">
        <v>5</v>
      </c>
      <c r="D27" s="51">
        <v>54.61658999999981</v>
      </c>
      <c r="E27" s="52">
        <v>2.6207269556815998E-2</v>
      </c>
      <c r="F27" s="51">
        <v>61.67747999999979</v>
      </c>
      <c r="G27" s="52">
        <v>2.7978610204371087E-2</v>
      </c>
      <c r="H27" s="53">
        <v>-7.0608899999999792</v>
      </c>
      <c r="I27" s="54">
        <v>-0.11448084454812361</v>
      </c>
      <c r="J27" s="51">
        <v>97.126225523424935</v>
      </c>
      <c r="K27" s="52">
        <v>4.1836006896513546E-2</v>
      </c>
      <c r="L27" s="53">
        <v>-42.509635523425125</v>
      </c>
      <c r="M27" s="55">
        <v>-0.43767412245596465</v>
      </c>
      <c r="N27" s="56">
        <v>396.28000999999722</v>
      </c>
      <c r="O27" s="52">
        <v>3.6047984068210262E-2</v>
      </c>
      <c r="P27" s="51">
        <v>313.31365000000216</v>
      </c>
      <c r="Q27" s="52">
        <v>2.6980789274057594E-2</v>
      </c>
      <c r="R27" s="53">
        <v>82.966359999995063</v>
      </c>
      <c r="S27" s="54">
        <v>0.26480289001131768</v>
      </c>
      <c r="T27" s="51">
        <v>611.48869345758226</v>
      </c>
      <c r="U27" s="52">
        <v>5.1752087990567755E-2</v>
      </c>
      <c r="V27" s="53">
        <v>-215.20868345758504</v>
      </c>
      <c r="W27" s="55">
        <v>-0.35194221211305787</v>
      </c>
    </row>
    <row r="28" spans="2:23" ht="18.399999999999999" x14ac:dyDescent="0.85">
      <c r="B28" s="48">
        <v>110</v>
      </c>
      <c r="C28" s="49" t="s">
        <v>1</v>
      </c>
      <c r="D28" s="41">
        <v>5673.5622100000001</v>
      </c>
      <c r="E28" s="40">
        <v>1</v>
      </c>
      <c r="F28" s="41">
        <v>5240.07186</v>
      </c>
      <c r="G28" s="40">
        <v>1</v>
      </c>
      <c r="H28" s="42">
        <v>433.49035000000003</v>
      </c>
      <c r="I28" s="43">
        <v>8.2726031547208603E-2</v>
      </c>
      <c r="J28" s="41">
        <v>5281.7167199999994</v>
      </c>
      <c r="K28" s="40">
        <v>1</v>
      </c>
      <c r="L28" s="42">
        <v>391.84549000000061</v>
      </c>
      <c r="M28" s="44">
        <v>7.4189039430346548E-2</v>
      </c>
      <c r="N28" s="39">
        <v>27870.317920000001</v>
      </c>
      <c r="O28" s="40">
        <v>1</v>
      </c>
      <c r="P28" s="41">
        <v>27368.312519999999</v>
      </c>
      <c r="Q28" s="40">
        <v>1</v>
      </c>
      <c r="R28" s="42">
        <v>502.00540000000183</v>
      </c>
      <c r="S28" s="43">
        <v>1.8342577739608543E-2</v>
      </c>
      <c r="T28" s="41">
        <v>26172.750379999998</v>
      </c>
      <c r="U28" s="40">
        <v>1</v>
      </c>
      <c r="V28" s="42">
        <v>1697.5675400000036</v>
      </c>
      <c r="W28" s="44">
        <v>6.4860112726143074E-2</v>
      </c>
    </row>
    <row r="29" spans="2:23" ht="18.399999999999999" x14ac:dyDescent="0.85">
      <c r="B29" s="48">
        <v>110</v>
      </c>
      <c r="C29" s="49" t="s">
        <v>56</v>
      </c>
      <c r="D29" s="41">
        <v>678.49735000000032</v>
      </c>
      <c r="E29" s="40">
        <v>0.11958930296104048</v>
      </c>
      <c r="F29" s="41">
        <v>631.94974000000002</v>
      </c>
      <c r="G29" s="40">
        <v>0.12059944155040653</v>
      </c>
      <c r="H29" s="42">
        <v>46.547610000000304</v>
      </c>
      <c r="I29" s="43">
        <v>7.3657139252878409E-2</v>
      </c>
      <c r="J29" s="41">
        <v>788.04114121439852</v>
      </c>
      <c r="K29" s="40">
        <v>0.14920170523920082</v>
      </c>
      <c r="L29" s="42">
        <v>-109.5437912143982</v>
      </c>
      <c r="M29" s="44">
        <v>-0.13900770592457576</v>
      </c>
      <c r="N29" s="39">
        <v>2321.9001299999991</v>
      </c>
      <c r="O29" s="40">
        <v>8.3310859124925224E-2</v>
      </c>
      <c r="P29" s="41">
        <v>2116.8049299999993</v>
      </c>
      <c r="Q29" s="40">
        <v>7.7345102240158115E-2</v>
      </c>
      <c r="R29" s="42">
        <v>205.09519999999975</v>
      </c>
      <c r="S29" s="43">
        <v>9.6889041164506265E-2</v>
      </c>
      <c r="T29" s="41">
        <v>2527.3581241715638</v>
      </c>
      <c r="U29" s="40">
        <v>9.6564483574598015E-2</v>
      </c>
      <c r="V29" s="42">
        <v>-205.45799417156468</v>
      </c>
      <c r="W29" s="44">
        <v>-8.1293581707543416E-2</v>
      </c>
    </row>
    <row r="30" spans="2:23" ht="18.399999999999999" x14ac:dyDescent="0.85">
      <c r="B30" s="48">
        <v>110</v>
      </c>
      <c r="C30" s="49" t="s">
        <v>57</v>
      </c>
      <c r="D30" s="41">
        <v>1754.0473000000002</v>
      </c>
      <c r="E30" s="40">
        <v>0.30916155231511955</v>
      </c>
      <c r="F30" s="41">
        <v>1631.5840500000002</v>
      </c>
      <c r="G30" s="40">
        <v>0.31136673190584835</v>
      </c>
      <c r="H30" s="42">
        <v>122.46325000000002</v>
      </c>
      <c r="I30" s="43">
        <v>7.5057886230255805E-2</v>
      </c>
      <c r="J30" s="41">
        <v>1725.3517993036601</v>
      </c>
      <c r="K30" s="40">
        <v>0.32666496345219748</v>
      </c>
      <c r="L30" s="42">
        <v>28.695500696340105</v>
      </c>
      <c r="M30" s="44">
        <v>1.6631680975393776E-2</v>
      </c>
      <c r="N30" s="39">
        <v>7660.7427100000004</v>
      </c>
      <c r="O30" s="40">
        <v>0.27487101984231688</v>
      </c>
      <c r="P30" s="41">
        <v>7189.9921600000007</v>
      </c>
      <c r="Q30" s="40">
        <v>0.2627122938159141</v>
      </c>
      <c r="R30" s="42">
        <v>470.75054999999975</v>
      </c>
      <c r="S30" s="43">
        <v>6.5473026885748326E-2</v>
      </c>
      <c r="T30" s="41">
        <v>7029.3761268639319</v>
      </c>
      <c r="U30" s="40">
        <v>0.26857613452178319</v>
      </c>
      <c r="V30" s="42">
        <v>631.36658313606858</v>
      </c>
      <c r="W30" s="44">
        <v>8.981829564122995E-2</v>
      </c>
    </row>
    <row r="31" spans="2:23" ht="18.399999999999999" x14ac:dyDescent="0.85">
      <c r="B31" s="48">
        <v>110</v>
      </c>
      <c r="C31" s="49" t="s">
        <v>2</v>
      </c>
      <c r="D31" s="41">
        <v>-49.032339999999998</v>
      </c>
      <c r="E31" s="40">
        <v>-8.6422494695797113E-3</v>
      </c>
      <c r="F31" s="41">
        <v>-28.573070000000001</v>
      </c>
      <c r="G31" s="40">
        <v>-5.4528011758983785E-3</v>
      </c>
      <c r="H31" s="42">
        <v>-20.459269999999997</v>
      </c>
      <c r="I31" s="43">
        <v>-0.71603331388611713</v>
      </c>
      <c r="J31" s="41">
        <v>-40.546779999999998</v>
      </c>
      <c r="K31" s="40">
        <v>-7.6768183811266582E-3</v>
      </c>
      <c r="L31" s="42">
        <v>-8.4855599999999995</v>
      </c>
      <c r="M31" s="44">
        <v>-0.20927827067895405</v>
      </c>
      <c r="N31" s="39">
        <v>-130.1943</v>
      </c>
      <c r="O31" s="40">
        <v>-4.6714321800603266E-3</v>
      </c>
      <c r="P31" s="41">
        <v>-149.21150999999998</v>
      </c>
      <c r="Q31" s="40">
        <v>-5.4519806396890694E-3</v>
      </c>
      <c r="R31" s="42">
        <v>19.017209999999977</v>
      </c>
      <c r="S31" s="43">
        <v>0.12745136082330366</v>
      </c>
      <c r="T31" s="41">
        <v>-125.05086000000001</v>
      </c>
      <c r="U31" s="40">
        <v>-4.7779029022321663E-3</v>
      </c>
      <c r="V31" s="42">
        <v>-5.143439999999984</v>
      </c>
      <c r="W31" s="44">
        <v>-4.1130784706318563E-2</v>
      </c>
    </row>
    <row r="32" spans="2:23" ht="18.399999999999999" x14ac:dyDescent="0.85">
      <c r="B32" s="48">
        <v>110</v>
      </c>
      <c r="C32" s="49" t="s">
        <v>58</v>
      </c>
      <c r="D32" s="41">
        <v>-103.76619000000002</v>
      </c>
      <c r="E32" s="40">
        <v>-1.8289424907883406E-2</v>
      </c>
      <c r="F32" s="41">
        <v>-96.333600000000018</v>
      </c>
      <c r="G32" s="40">
        <v>-1.838402269544449E-2</v>
      </c>
      <c r="H32" s="42">
        <v>-7.4325900000000047</v>
      </c>
      <c r="I32" s="43">
        <v>-7.715469991778573E-2</v>
      </c>
      <c r="J32" s="41">
        <v>-85.660061797944834</v>
      </c>
      <c r="K32" s="40">
        <v>-1.621822341845415E-2</v>
      </c>
      <c r="L32" s="42">
        <v>-18.106128202055189</v>
      </c>
      <c r="M32" s="44">
        <v>-0.21137187881983985</v>
      </c>
      <c r="N32" s="39">
        <v>-473.35512</v>
      </c>
      <c r="O32" s="40">
        <v>-1.6984202381857865E-2</v>
      </c>
      <c r="P32" s="41">
        <v>-505.86612000000002</v>
      </c>
      <c r="Q32" s="40">
        <v>-1.8483643068250087E-2</v>
      </c>
      <c r="R32" s="42">
        <v>32.511000000000024</v>
      </c>
      <c r="S32" s="43">
        <v>6.4267992487814798E-2</v>
      </c>
      <c r="T32" s="41">
        <v>-401.52716407784101</v>
      </c>
      <c r="U32" s="40">
        <v>-1.5341420303487457E-2</v>
      </c>
      <c r="V32" s="42">
        <v>-71.827955922158992</v>
      </c>
      <c r="W32" s="44">
        <v>-0.17888691562654588</v>
      </c>
    </row>
    <row r="33" spans="2:23" ht="18.399999999999999" x14ac:dyDescent="0.85">
      <c r="B33" s="48">
        <v>110</v>
      </c>
      <c r="C33" s="49" t="s">
        <v>59</v>
      </c>
      <c r="D33" s="41">
        <v>1601.2487699999999</v>
      </c>
      <c r="E33" s="40">
        <v>0.28222987793765636</v>
      </c>
      <c r="F33" s="41">
        <v>1506.6773800000003</v>
      </c>
      <c r="G33" s="40">
        <v>0.28752990803450551</v>
      </c>
      <c r="H33" s="42">
        <v>94.57138999999961</v>
      </c>
      <c r="I33" s="43">
        <v>6.2768175360805908E-2</v>
      </c>
      <c r="J33" s="41">
        <v>1599.144957505715</v>
      </c>
      <c r="K33" s="40">
        <v>0.30276992165261662</v>
      </c>
      <c r="L33" s="42">
        <v>2.1038124942849663</v>
      </c>
      <c r="M33" s="44">
        <v>1.3155858600626253E-3</v>
      </c>
      <c r="N33" s="39">
        <v>7057.1932899999993</v>
      </c>
      <c r="O33" s="40">
        <v>0.25321538528039866</v>
      </c>
      <c r="P33" s="41">
        <v>6534.91453</v>
      </c>
      <c r="Q33" s="40">
        <v>0.23877667010797493</v>
      </c>
      <c r="R33" s="42">
        <v>522.27875999999924</v>
      </c>
      <c r="S33" s="43">
        <v>7.992128398961619E-2</v>
      </c>
      <c r="T33" s="41">
        <v>6502.7981027860906</v>
      </c>
      <c r="U33" s="40">
        <v>0.24845681131606356</v>
      </c>
      <c r="V33" s="42">
        <v>554.39518721390868</v>
      </c>
      <c r="W33" s="44">
        <v>8.5254866974323079E-2</v>
      </c>
    </row>
    <row r="34" spans="2:23" ht="18.399999999999999" x14ac:dyDescent="0.85">
      <c r="B34" s="48">
        <v>110</v>
      </c>
      <c r="C34" s="49" t="s">
        <v>3</v>
      </c>
      <c r="D34" s="41">
        <v>-456.58341000000001</v>
      </c>
      <c r="E34" s="40">
        <v>-8.0475615336559433E-2</v>
      </c>
      <c r="F34" s="41">
        <v>-432.32251000000002</v>
      </c>
      <c r="G34" s="40">
        <v>-8.2503164374543525E-2</v>
      </c>
      <c r="H34" s="42">
        <v>-24.260899999999992</v>
      </c>
      <c r="I34" s="43">
        <v>-5.6117596097413458E-2</v>
      </c>
      <c r="J34" s="41">
        <v>-437.84300000000002</v>
      </c>
      <c r="K34" s="40">
        <v>-8.2897857498120439E-2</v>
      </c>
      <c r="L34" s="42">
        <v>-18.740409999999997</v>
      </c>
      <c r="M34" s="44">
        <v>-4.2801666350723883E-2</v>
      </c>
      <c r="N34" s="39">
        <v>-1860.5426199999997</v>
      </c>
      <c r="O34" s="40">
        <v>-6.6757136583105031E-2</v>
      </c>
      <c r="P34" s="41">
        <v>-1796.46901</v>
      </c>
      <c r="Q34" s="40">
        <v>-6.5640474131797147E-2</v>
      </c>
      <c r="R34" s="42">
        <v>-64.07360999999969</v>
      </c>
      <c r="S34" s="43">
        <v>-3.5666415420102175E-2</v>
      </c>
      <c r="T34" s="41">
        <v>-1761.5087199999998</v>
      </c>
      <c r="U34" s="40">
        <v>-6.730315669636551E-2</v>
      </c>
      <c r="V34" s="42">
        <v>-99.033899999999903</v>
      </c>
      <c r="W34" s="44">
        <v>-5.6221067131589288E-2</v>
      </c>
    </row>
    <row r="35" spans="2:23" ht="18.399999999999999" x14ac:dyDescent="0.85">
      <c r="B35" s="48">
        <v>110</v>
      </c>
      <c r="C35" s="49" t="s">
        <v>4</v>
      </c>
      <c r="D35" s="41">
        <v>-166.31486000000001</v>
      </c>
      <c r="E35" s="40">
        <v>-2.9314010112881095E-2</v>
      </c>
      <c r="F35" s="41">
        <v>-150.09319000000002</v>
      </c>
      <c r="G35" s="40">
        <v>-2.8643345742208965E-2</v>
      </c>
      <c r="H35" s="42">
        <v>-16.221669999999989</v>
      </c>
      <c r="I35" s="43">
        <v>-0.1080773218291915</v>
      </c>
      <c r="J35" s="41">
        <v>-139.76313999999999</v>
      </c>
      <c r="K35" s="40">
        <v>-2.646168800965153E-2</v>
      </c>
      <c r="L35" s="42">
        <v>-26.551720000000017</v>
      </c>
      <c r="M35" s="44">
        <v>-0.18997655605047239</v>
      </c>
      <c r="N35" s="39">
        <v>-645.63851999999997</v>
      </c>
      <c r="O35" s="40">
        <v>-2.3165811091687753E-2</v>
      </c>
      <c r="P35" s="41">
        <v>-668.14439000000004</v>
      </c>
      <c r="Q35" s="40">
        <v>-2.4413064908979636E-2</v>
      </c>
      <c r="R35" s="42">
        <v>22.505870000000073</v>
      </c>
      <c r="S35" s="43">
        <v>3.3684141237794528E-2</v>
      </c>
      <c r="T35" s="41">
        <v>-646.61740999999995</v>
      </c>
      <c r="U35" s="40">
        <v>-2.4705749323697939E-2</v>
      </c>
      <c r="V35" s="42">
        <v>0.9788899999999785</v>
      </c>
      <c r="W35" s="44">
        <v>1.5138627337608782E-3</v>
      </c>
    </row>
    <row r="36" spans="2:23" ht="18.399999999999999" x14ac:dyDescent="0.85">
      <c r="B36" s="48">
        <v>110</v>
      </c>
      <c r="C36" s="49" t="s">
        <v>60</v>
      </c>
      <c r="D36" s="41">
        <v>-225.62214</v>
      </c>
      <c r="E36" s="40">
        <v>-3.976728052832966E-2</v>
      </c>
      <c r="F36" s="41">
        <v>-225.62214</v>
      </c>
      <c r="G36" s="40">
        <v>-4.3057069831862957E-2</v>
      </c>
      <c r="H36" s="42">
        <v>0</v>
      </c>
      <c r="I36" s="43">
        <v>0</v>
      </c>
      <c r="J36" s="41">
        <v>-225.62214</v>
      </c>
      <c r="K36" s="40">
        <v>-4.2717576871483566E-2</v>
      </c>
      <c r="L36" s="42">
        <v>0</v>
      </c>
      <c r="M36" s="44">
        <v>0</v>
      </c>
      <c r="N36" s="39">
        <v>-902.48856000000001</v>
      </c>
      <c r="O36" s="40">
        <v>-3.2381710269345935E-2</v>
      </c>
      <c r="P36" s="41">
        <v>-902.48856000000001</v>
      </c>
      <c r="Q36" s="40">
        <v>-3.2975674307302888E-2</v>
      </c>
      <c r="R36" s="42">
        <v>0</v>
      </c>
      <c r="S36" s="43">
        <v>0</v>
      </c>
      <c r="T36" s="41">
        <v>-902.48856000000001</v>
      </c>
      <c r="U36" s="40">
        <v>-3.4481991647681016E-2</v>
      </c>
      <c r="V36" s="42">
        <v>0</v>
      </c>
      <c r="W36" s="44">
        <v>0</v>
      </c>
    </row>
    <row r="37" spans="2:23" ht="18.399999999999999" x14ac:dyDescent="0.85">
      <c r="B37" s="48">
        <v>110</v>
      </c>
      <c r="C37" s="49" t="s">
        <v>61</v>
      </c>
      <c r="D37" s="41">
        <v>752.72835999999984</v>
      </c>
      <c r="E37" s="40">
        <v>0.13267297195988617</v>
      </c>
      <c r="F37" s="41">
        <v>698.63954000000035</v>
      </c>
      <c r="G37" s="40">
        <v>0.13332632808589009</v>
      </c>
      <c r="H37" s="42">
        <v>54.088819999999487</v>
      </c>
      <c r="I37" s="43">
        <v>7.7420210141555201E-2</v>
      </c>
      <c r="J37" s="41">
        <v>795.91667750571492</v>
      </c>
      <c r="K37" s="40">
        <v>0.15069279927336107</v>
      </c>
      <c r="L37" s="42">
        <v>-43.188317505715077</v>
      </c>
      <c r="M37" s="44">
        <v>-5.4262360277536677E-2</v>
      </c>
      <c r="N37" s="39">
        <v>3648.5235899999998</v>
      </c>
      <c r="O37" s="40">
        <v>0.13091072733625994</v>
      </c>
      <c r="P37" s="41">
        <v>3167.8125700000001</v>
      </c>
      <c r="Q37" s="40">
        <v>0.11574745675989526</v>
      </c>
      <c r="R37" s="42">
        <v>480.71101999999973</v>
      </c>
      <c r="S37" s="43">
        <v>0.15174856762437802</v>
      </c>
      <c r="T37" s="41">
        <v>3192.1834127860911</v>
      </c>
      <c r="U37" s="40">
        <v>0.12196591364831912</v>
      </c>
      <c r="V37" s="42">
        <v>456.34017721390865</v>
      </c>
      <c r="W37" s="44">
        <v>0.14295550042208308</v>
      </c>
    </row>
    <row r="38" spans="2:23" ht="18.399999999999999" x14ac:dyDescent="0.85">
      <c r="B38" s="48">
        <v>110</v>
      </c>
      <c r="C38" s="49" t="s">
        <v>62</v>
      </c>
      <c r="D38" s="41">
        <v>-207.84029999999998</v>
      </c>
      <c r="E38" s="40">
        <v>-3.6633122596887856E-2</v>
      </c>
      <c r="F38" s="41">
        <v>-208.58108000000001</v>
      </c>
      <c r="G38" s="40">
        <v>-3.9805003742830351E-2</v>
      </c>
      <c r="H38" s="42">
        <v>0.7407800000000293</v>
      </c>
      <c r="I38" s="43">
        <v>3.5515205885405772E-3</v>
      </c>
      <c r="J38" s="41">
        <v>-216.08507999999998</v>
      </c>
      <c r="K38" s="40">
        <v>-4.0911902598214318E-2</v>
      </c>
      <c r="L38" s="42">
        <v>8.2447799999999916</v>
      </c>
      <c r="M38" s="44">
        <v>3.8155248849203252E-2</v>
      </c>
      <c r="N38" s="39">
        <v>-835.34059999999988</v>
      </c>
      <c r="O38" s="40">
        <v>-2.997241016043637E-2</v>
      </c>
      <c r="P38" s="41">
        <v>-836.24459000000002</v>
      </c>
      <c r="Q38" s="40">
        <v>-3.0555211958680162E-2</v>
      </c>
      <c r="R38" s="42">
        <v>0.9039900000001353</v>
      </c>
      <c r="S38" s="43">
        <v>1.0810114777545351E-3</v>
      </c>
      <c r="T38" s="41">
        <v>-912.70720999999992</v>
      </c>
      <c r="U38" s="40">
        <v>-3.487242252909914E-2</v>
      </c>
      <c r="V38" s="42">
        <v>77.366610000000037</v>
      </c>
      <c r="W38" s="44">
        <v>8.476607739299008E-2</v>
      </c>
    </row>
    <row r="39" spans="2:23" ht="18.399999999999999" x14ac:dyDescent="0.85">
      <c r="B39" s="48">
        <v>110</v>
      </c>
      <c r="C39" s="50" t="s">
        <v>5</v>
      </c>
      <c r="D39" s="51">
        <v>544.88805999999988</v>
      </c>
      <c r="E39" s="52">
        <v>9.6039849362998322E-2</v>
      </c>
      <c r="F39" s="51">
        <v>490.05846000000031</v>
      </c>
      <c r="G39" s="52">
        <v>9.3521324343059736E-2</v>
      </c>
      <c r="H39" s="53">
        <v>54.829599999999573</v>
      </c>
      <c r="I39" s="54">
        <v>0.11188379443546294</v>
      </c>
      <c r="J39" s="51">
        <v>579.83159750571497</v>
      </c>
      <c r="K39" s="52">
        <v>0.10978089667514676</v>
      </c>
      <c r="L39" s="53">
        <v>-34.943537505715085</v>
      </c>
      <c r="M39" s="55">
        <v>-6.026497634146382E-2</v>
      </c>
      <c r="N39" s="56">
        <v>2813.1829899999998</v>
      </c>
      <c r="O39" s="52">
        <v>0.10093831717582358</v>
      </c>
      <c r="P39" s="51">
        <v>2331.5679799999998</v>
      </c>
      <c r="Q39" s="52">
        <v>8.5192244801215095E-2</v>
      </c>
      <c r="R39" s="53">
        <v>481.61500999999998</v>
      </c>
      <c r="S39" s="54">
        <v>0.20656271407535801</v>
      </c>
      <c r="T39" s="51">
        <v>2279.4762027860911</v>
      </c>
      <c r="U39" s="52">
        <v>8.7093491119219976E-2</v>
      </c>
      <c r="V39" s="53">
        <v>533.70678721390868</v>
      </c>
      <c r="W39" s="55">
        <v>0.23413571352997029</v>
      </c>
    </row>
    <row r="40" spans="2:23" ht="18.399999999999999" x14ac:dyDescent="0.85">
      <c r="B40" s="48">
        <v>201</v>
      </c>
      <c r="C40" s="49" t="s">
        <v>1</v>
      </c>
      <c r="D40" s="41">
        <v>6702.5721300000005</v>
      </c>
      <c r="E40" s="40">
        <v>1</v>
      </c>
      <c r="F40" s="41">
        <v>7499.0724299999993</v>
      </c>
      <c r="G40" s="40">
        <v>1</v>
      </c>
      <c r="H40" s="42">
        <v>-796.50029999999879</v>
      </c>
      <c r="I40" s="43">
        <v>-0.10621317602075739</v>
      </c>
      <c r="J40" s="41">
        <v>7679.5133999999998</v>
      </c>
      <c r="K40" s="40">
        <v>1</v>
      </c>
      <c r="L40" s="42">
        <v>-976.94126999999935</v>
      </c>
      <c r="M40" s="44">
        <v>-0.12721395472791275</v>
      </c>
      <c r="N40" s="39">
        <v>39927.804550000001</v>
      </c>
      <c r="O40" s="40">
        <v>1</v>
      </c>
      <c r="P40" s="41">
        <v>39886.821509999987</v>
      </c>
      <c r="Q40" s="40">
        <v>1</v>
      </c>
      <c r="R40" s="42">
        <v>40.983040000013716</v>
      </c>
      <c r="S40" s="43">
        <v>1.0274832249979832E-3</v>
      </c>
      <c r="T40" s="41">
        <v>44368.74336</v>
      </c>
      <c r="U40" s="40">
        <v>1</v>
      </c>
      <c r="V40" s="42">
        <v>-4440.9388099999996</v>
      </c>
      <c r="W40" s="44">
        <v>-0.10009160669634073</v>
      </c>
    </row>
    <row r="41" spans="2:23" ht="18.399999999999999" x14ac:dyDescent="0.85">
      <c r="B41" s="48">
        <v>201</v>
      </c>
      <c r="C41" s="49" t="s">
        <v>56</v>
      </c>
      <c r="D41" s="41">
        <v>600.39704000000063</v>
      </c>
      <c r="E41" s="40">
        <v>8.9577109854989442E-2</v>
      </c>
      <c r="F41" s="41">
        <v>663.32488000000012</v>
      </c>
      <c r="G41" s="40">
        <v>8.8454257002022335E-2</v>
      </c>
      <c r="H41" s="42">
        <v>-62.927839999999492</v>
      </c>
      <c r="I41" s="43">
        <v>-9.4867299414427939E-2</v>
      </c>
      <c r="J41" s="41">
        <v>887.15319828990346</v>
      </c>
      <c r="K41" s="40">
        <v>0.11552205876610665</v>
      </c>
      <c r="L41" s="42">
        <v>-286.75615828990283</v>
      </c>
      <c r="M41" s="44">
        <v>-0.32323183734518512</v>
      </c>
      <c r="N41" s="39">
        <v>501.69015999999834</v>
      </c>
      <c r="O41" s="40">
        <v>1.2564932273492566E-2</v>
      </c>
      <c r="P41" s="41">
        <v>1539.2643099999962</v>
      </c>
      <c r="Q41" s="40">
        <v>3.8590798958851327E-2</v>
      </c>
      <c r="R41" s="42">
        <v>-1037.5741499999979</v>
      </c>
      <c r="S41" s="43">
        <v>-0.67407146599793533</v>
      </c>
      <c r="T41" s="41">
        <v>1275.2753712518765</v>
      </c>
      <c r="U41" s="40">
        <v>2.8742652477319938E-2</v>
      </c>
      <c r="V41" s="42">
        <v>-773.58521125187826</v>
      </c>
      <c r="W41" s="44">
        <v>-0.60660248656138227</v>
      </c>
    </row>
    <row r="42" spans="2:23" ht="18.399999999999999" x14ac:dyDescent="0.85">
      <c r="B42" s="48">
        <v>201</v>
      </c>
      <c r="C42" s="49" t="s">
        <v>57</v>
      </c>
      <c r="D42" s="41">
        <v>1896.0826000000004</v>
      </c>
      <c r="E42" s="40">
        <v>0.28288880197399685</v>
      </c>
      <c r="F42" s="41">
        <v>2153.0671800000009</v>
      </c>
      <c r="G42" s="40">
        <v>0.28711113275645495</v>
      </c>
      <c r="H42" s="42">
        <v>-256.98458000000051</v>
      </c>
      <c r="I42" s="43">
        <v>-0.11935743686362837</v>
      </c>
      <c r="J42" s="41">
        <v>2281.1190435819049</v>
      </c>
      <c r="K42" s="40">
        <v>0.2970395290386374</v>
      </c>
      <c r="L42" s="42">
        <v>-385.03644358190445</v>
      </c>
      <c r="M42" s="44">
        <v>-0.16879278819982352</v>
      </c>
      <c r="N42" s="39">
        <v>8440.9289300000019</v>
      </c>
      <c r="O42" s="40">
        <v>0.21140478483934078</v>
      </c>
      <c r="P42" s="41">
        <v>9204.1570399999928</v>
      </c>
      <c r="Q42" s="40">
        <v>0.23075684377840003</v>
      </c>
      <c r="R42" s="42">
        <v>-763.22810999999092</v>
      </c>
      <c r="S42" s="43">
        <v>-8.2922108638858197E-2</v>
      </c>
      <c r="T42" s="41">
        <v>9235.9684262646115</v>
      </c>
      <c r="U42" s="40">
        <v>0.20816384974723368</v>
      </c>
      <c r="V42" s="42">
        <v>-795.03949626460962</v>
      </c>
      <c r="W42" s="44">
        <v>-8.6080794083675194E-2</v>
      </c>
    </row>
    <row r="43" spans="2:23" ht="18.399999999999999" x14ac:dyDescent="0.85">
      <c r="B43" s="48">
        <v>201</v>
      </c>
      <c r="C43" s="49" t="s">
        <v>2</v>
      </c>
      <c r="D43" s="41">
        <v>-31.126799999999999</v>
      </c>
      <c r="E43" s="40">
        <v>-4.6440082100242903E-3</v>
      </c>
      <c r="F43" s="41">
        <v>-44.164160000000003</v>
      </c>
      <c r="G43" s="40">
        <v>-5.8892830296346406E-3</v>
      </c>
      <c r="H43" s="42">
        <v>13.037360000000003</v>
      </c>
      <c r="I43" s="43">
        <v>0.29520226355488255</v>
      </c>
      <c r="J43" s="41">
        <v>-76.505020000000016</v>
      </c>
      <c r="K43" s="40">
        <v>-9.9622223460147895E-3</v>
      </c>
      <c r="L43" s="42">
        <v>45.378220000000013</v>
      </c>
      <c r="M43" s="44">
        <v>0.59314042398786382</v>
      </c>
      <c r="N43" s="39">
        <v>-93.336120000000008</v>
      </c>
      <c r="O43" s="40">
        <v>-2.3376221420619032E-3</v>
      </c>
      <c r="P43" s="41">
        <v>-235.35553000000004</v>
      </c>
      <c r="Q43" s="40">
        <v>-5.9005837289139293E-3</v>
      </c>
      <c r="R43" s="42">
        <v>142.01941000000005</v>
      </c>
      <c r="S43" s="43">
        <v>0.60342499706720309</v>
      </c>
      <c r="T43" s="41">
        <v>-226.24707000000001</v>
      </c>
      <c r="U43" s="40">
        <v>-5.0992444875950617E-3</v>
      </c>
      <c r="V43" s="42">
        <v>132.91095000000001</v>
      </c>
      <c r="W43" s="44">
        <v>0.58745932046766403</v>
      </c>
    </row>
    <row r="44" spans="2:23" ht="18.399999999999999" x14ac:dyDescent="0.85">
      <c r="B44" s="48">
        <v>201</v>
      </c>
      <c r="C44" s="49" t="s">
        <v>58</v>
      </c>
      <c r="D44" s="41">
        <v>-125.61027</v>
      </c>
      <c r="E44" s="40">
        <v>-1.8740606973520178E-2</v>
      </c>
      <c r="F44" s="41">
        <v>-140.95634999999999</v>
      </c>
      <c r="G44" s="40">
        <v>-1.8796504676512373E-2</v>
      </c>
      <c r="H44" s="42">
        <v>15.346079999999986</v>
      </c>
      <c r="I44" s="43">
        <v>0.10887115053702787</v>
      </c>
      <c r="J44" s="41">
        <v>-135.8492697000147</v>
      </c>
      <c r="K44" s="40">
        <v>-1.7689827808623226E-2</v>
      </c>
      <c r="L44" s="42">
        <v>10.238999700014702</v>
      </c>
      <c r="M44" s="44">
        <v>7.5370296230702474E-2</v>
      </c>
      <c r="N44" s="39">
        <v>-692.23964999999987</v>
      </c>
      <c r="O44" s="40">
        <v>-1.7337283073832314E-2</v>
      </c>
      <c r="P44" s="41">
        <v>-750.77171999999996</v>
      </c>
      <c r="Q44" s="40">
        <v>-1.8822550696644874E-2</v>
      </c>
      <c r="R44" s="42">
        <v>58.53207000000009</v>
      </c>
      <c r="S44" s="43">
        <v>7.7962539665186237E-2</v>
      </c>
      <c r="T44" s="41">
        <v>-754.89077332127124</v>
      </c>
      <c r="U44" s="40">
        <v>-1.7014021947753248E-2</v>
      </c>
      <c r="V44" s="42">
        <v>62.651123321271371</v>
      </c>
      <c r="W44" s="44">
        <v>8.2993627072201481E-2</v>
      </c>
    </row>
    <row r="45" spans="2:23" ht="18.399999999999999" x14ac:dyDescent="0.85">
      <c r="B45" s="48">
        <v>201</v>
      </c>
      <c r="C45" s="49" t="s">
        <v>59</v>
      </c>
      <c r="D45" s="41">
        <v>1739.3455300000003</v>
      </c>
      <c r="E45" s="40">
        <v>0.25950418679045234</v>
      </c>
      <c r="F45" s="41">
        <v>1967.9466700000012</v>
      </c>
      <c r="G45" s="40">
        <v>0.26242534505030796</v>
      </c>
      <c r="H45" s="42">
        <v>-228.6011400000009</v>
      </c>
      <c r="I45" s="43">
        <v>-0.11616226368573329</v>
      </c>
      <c r="J45" s="41">
        <v>2068.7647538818906</v>
      </c>
      <c r="K45" s="40">
        <v>0.26938747888399944</v>
      </c>
      <c r="L45" s="42">
        <v>-329.41922388189028</v>
      </c>
      <c r="M45" s="44">
        <v>-0.15923474298552237</v>
      </c>
      <c r="N45" s="39">
        <v>7655.3531600000015</v>
      </c>
      <c r="O45" s="40">
        <v>0.19172987962344654</v>
      </c>
      <c r="P45" s="41">
        <v>8218.0297899999932</v>
      </c>
      <c r="Q45" s="40">
        <v>0.20603370935284124</v>
      </c>
      <c r="R45" s="42">
        <v>-562.67662999999175</v>
      </c>
      <c r="S45" s="43">
        <v>-6.8468555648785526E-2</v>
      </c>
      <c r="T45" s="41">
        <v>8254.8305829433393</v>
      </c>
      <c r="U45" s="40">
        <v>0.18605058331188534</v>
      </c>
      <c r="V45" s="42">
        <v>-599.47742294333784</v>
      </c>
      <c r="W45" s="44">
        <v>-7.262140838868536E-2</v>
      </c>
    </row>
    <row r="46" spans="2:23" ht="18.399999999999999" x14ac:dyDescent="0.85">
      <c r="B46" s="48">
        <v>201</v>
      </c>
      <c r="C46" s="49" t="s">
        <v>3</v>
      </c>
      <c r="D46" s="41">
        <v>-662.38470000000018</v>
      </c>
      <c r="E46" s="40">
        <v>-9.8825448969841995E-2</v>
      </c>
      <c r="F46" s="41">
        <v>-617.06323999999984</v>
      </c>
      <c r="G46" s="40">
        <v>-8.2285275380384604E-2</v>
      </c>
      <c r="H46" s="42">
        <v>-45.321460000000343</v>
      </c>
      <c r="I46" s="43">
        <v>-7.34470262723807E-2</v>
      </c>
      <c r="J46" s="41">
        <v>-726.61323000000016</v>
      </c>
      <c r="K46" s="40">
        <v>-9.461709253609743E-2</v>
      </c>
      <c r="L46" s="42">
        <v>64.228529999999978</v>
      </c>
      <c r="M46" s="44">
        <v>8.8394385552269625E-2</v>
      </c>
      <c r="N46" s="39">
        <v>-2492.6230400000004</v>
      </c>
      <c r="O46" s="40">
        <v>-6.2428251893454044E-2</v>
      </c>
      <c r="P46" s="41">
        <v>-2593.2813999999998</v>
      </c>
      <c r="Q46" s="40">
        <v>-6.5015995304359878E-2</v>
      </c>
      <c r="R46" s="42">
        <v>100.65835999999945</v>
      </c>
      <c r="S46" s="43">
        <v>3.8815054933876228E-2</v>
      </c>
      <c r="T46" s="41">
        <v>-2736.259250000001</v>
      </c>
      <c r="U46" s="40">
        <v>-6.1670875548547451E-2</v>
      </c>
      <c r="V46" s="42">
        <v>243.63621000000057</v>
      </c>
      <c r="W46" s="44">
        <v>8.903988538366768E-2</v>
      </c>
    </row>
    <row r="47" spans="2:23" ht="18.399999999999999" x14ac:dyDescent="0.85">
      <c r="B47" s="48">
        <v>201</v>
      </c>
      <c r="C47" s="49" t="s">
        <v>4</v>
      </c>
      <c r="D47" s="41">
        <v>-212.21674999999999</v>
      </c>
      <c r="E47" s="40">
        <v>-3.1661986754329782E-2</v>
      </c>
      <c r="F47" s="41">
        <v>-196.30423999999999</v>
      </c>
      <c r="G47" s="40">
        <v>-2.6177136150157175E-2</v>
      </c>
      <c r="H47" s="42">
        <v>-15.912509999999997</v>
      </c>
      <c r="I47" s="43">
        <v>-8.106044984051286E-2</v>
      </c>
      <c r="J47" s="41">
        <v>-231.32572999999999</v>
      </c>
      <c r="K47" s="40">
        <v>-3.0122446299787692E-2</v>
      </c>
      <c r="L47" s="42">
        <v>19.108980000000003</v>
      </c>
      <c r="M47" s="44">
        <v>8.2606375002037186E-2</v>
      </c>
      <c r="N47" s="39">
        <v>-980.46323999999993</v>
      </c>
      <c r="O47" s="40">
        <v>-2.4555901609170743E-2</v>
      </c>
      <c r="P47" s="41">
        <v>-880.76605999999992</v>
      </c>
      <c r="Q47" s="40">
        <v>-2.2081630640315219E-2</v>
      </c>
      <c r="R47" s="42">
        <v>-99.697180000000003</v>
      </c>
      <c r="S47" s="43">
        <v>-0.11319371230085774</v>
      </c>
      <c r="T47" s="41">
        <v>-1043.5678400000002</v>
      </c>
      <c r="U47" s="40">
        <v>-2.3520337989576999E-2</v>
      </c>
      <c r="V47" s="42">
        <v>63.104600000000232</v>
      </c>
      <c r="W47" s="44">
        <v>6.0470050514397057E-2</v>
      </c>
    </row>
    <row r="48" spans="2:23" ht="18.399999999999999" x14ac:dyDescent="0.85">
      <c r="B48" s="48">
        <v>201</v>
      </c>
      <c r="C48" s="49" t="s">
        <v>60</v>
      </c>
      <c r="D48" s="41">
        <v>-547.26773000000003</v>
      </c>
      <c r="E48" s="40">
        <v>-8.1650405155729369E-2</v>
      </c>
      <c r="F48" s="41">
        <v>-547.26773000000003</v>
      </c>
      <c r="G48" s="40">
        <v>-7.2978056300757724E-2</v>
      </c>
      <c r="H48" s="42">
        <v>0</v>
      </c>
      <c r="I48" s="43">
        <v>0</v>
      </c>
      <c r="J48" s="41">
        <v>-547.26773000000003</v>
      </c>
      <c r="K48" s="40">
        <v>-7.1263334210732679E-2</v>
      </c>
      <c r="L48" s="42">
        <v>0</v>
      </c>
      <c r="M48" s="44">
        <v>0</v>
      </c>
      <c r="N48" s="39">
        <v>-2189.0709200000001</v>
      </c>
      <c r="O48" s="40">
        <v>-5.4825727201171646E-2</v>
      </c>
      <c r="P48" s="41">
        <v>-2189.0709200000001</v>
      </c>
      <c r="Q48" s="40">
        <v>-5.488205971616917E-2</v>
      </c>
      <c r="R48" s="42">
        <v>0</v>
      </c>
      <c r="S48" s="43">
        <v>0</v>
      </c>
      <c r="T48" s="41">
        <v>-2189.0709200000001</v>
      </c>
      <c r="U48" s="40">
        <v>-4.9338132077311102E-2</v>
      </c>
      <c r="V48" s="42">
        <v>0</v>
      </c>
      <c r="W48" s="44">
        <v>0</v>
      </c>
    </row>
    <row r="49" spans="2:23" ht="18.399999999999999" x14ac:dyDescent="0.85">
      <c r="B49" s="48">
        <v>201</v>
      </c>
      <c r="C49" s="49" t="s">
        <v>61</v>
      </c>
      <c r="D49" s="41">
        <v>317.47635000000014</v>
      </c>
      <c r="E49" s="40">
        <v>4.7366345910551229E-2</v>
      </c>
      <c r="F49" s="41">
        <v>607.31146000000126</v>
      </c>
      <c r="G49" s="40">
        <v>8.0984877219008447E-2</v>
      </c>
      <c r="H49" s="42">
        <v>-289.83511000000112</v>
      </c>
      <c r="I49" s="43">
        <v>-0.47724294548961832</v>
      </c>
      <c r="J49" s="41">
        <v>563.55806388189035</v>
      </c>
      <c r="K49" s="40">
        <v>7.3384605837381614E-2</v>
      </c>
      <c r="L49" s="42">
        <v>-246.08171388189021</v>
      </c>
      <c r="M49" s="44">
        <v>-0.43665724909840636</v>
      </c>
      <c r="N49" s="39">
        <v>1993.1959600000009</v>
      </c>
      <c r="O49" s="40">
        <v>4.9919998919650113E-2</v>
      </c>
      <c r="P49" s="41">
        <v>2554.9114099999933</v>
      </c>
      <c r="Q49" s="40">
        <v>6.4054023691996961E-2</v>
      </c>
      <c r="R49" s="42">
        <v>-561.71544999999242</v>
      </c>
      <c r="S49" s="43">
        <v>-0.21985711434119506</v>
      </c>
      <c r="T49" s="41">
        <v>2285.9325729433385</v>
      </c>
      <c r="U49" s="40">
        <v>5.1521237696449791E-2</v>
      </c>
      <c r="V49" s="42">
        <v>-292.7366129433376</v>
      </c>
      <c r="W49" s="44">
        <v>-0.12806003834418159</v>
      </c>
    </row>
    <row r="50" spans="2:23" ht="18.399999999999999" x14ac:dyDescent="0.85">
      <c r="B50" s="48">
        <v>201</v>
      </c>
      <c r="C50" s="49" t="s">
        <v>62</v>
      </c>
      <c r="D50" s="41">
        <v>-114.15191999999999</v>
      </c>
      <c r="E50" s="40">
        <v>-1.7031061775384427E-2</v>
      </c>
      <c r="F50" s="41">
        <v>-112.89354000000002</v>
      </c>
      <c r="G50" s="40">
        <v>-1.5054333859794447E-2</v>
      </c>
      <c r="H50" s="42">
        <v>-1.2583799999999741</v>
      </c>
      <c r="I50" s="43">
        <v>-1.114660768012035E-2</v>
      </c>
      <c r="J50" s="41">
        <v>-112.85409999999999</v>
      </c>
      <c r="K50" s="40">
        <v>-1.469547536696791E-2</v>
      </c>
      <c r="L50" s="42">
        <v>-1.2978200000000015</v>
      </c>
      <c r="M50" s="44">
        <v>-1.1499980948853445E-2</v>
      </c>
      <c r="N50" s="39">
        <v>-452.26668000000001</v>
      </c>
      <c r="O50" s="40">
        <v>-1.1327111147161733E-2</v>
      </c>
      <c r="P50" s="41">
        <v>-449.80250999999998</v>
      </c>
      <c r="Q50" s="40">
        <v>-1.1276970512359086E-2</v>
      </c>
      <c r="R50" s="42">
        <v>-2.4641700000000242</v>
      </c>
      <c r="S50" s="43">
        <v>-5.4783375930917422E-3</v>
      </c>
      <c r="T50" s="41">
        <v>-486.20245999999997</v>
      </c>
      <c r="U50" s="40">
        <v>-1.095822020594635E-2</v>
      </c>
      <c r="V50" s="42">
        <v>33.935779999999966</v>
      </c>
      <c r="W50" s="44">
        <v>6.9797631217250453E-2</v>
      </c>
    </row>
    <row r="51" spans="2:23" ht="18.399999999999999" x14ac:dyDescent="0.85">
      <c r="B51" s="48">
        <v>201</v>
      </c>
      <c r="C51" s="50" t="s">
        <v>5</v>
      </c>
      <c r="D51" s="51">
        <v>203.32443000000015</v>
      </c>
      <c r="E51" s="52">
        <v>3.0335284135166798E-2</v>
      </c>
      <c r="F51" s="51">
        <v>494.41792000000123</v>
      </c>
      <c r="G51" s="52">
        <v>6.5930543359214E-2</v>
      </c>
      <c r="H51" s="53">
        <v>-291.09349000000111</v>
      </c>
      <c r="I51" s="54">
        <v>-0.58875999073820051</v>
      </c>
      <c r="J51" s="51">
        <v>450.70396388189033</v>
      </c>
      <c r="K51" s="52">
        <v>5.8689130470413707E-2</v>
      </c>
      <c r="L51" s="53">
        <v>-247.37953388189018</v>
      </c>
      <c r="M51" s="55">
        <v>-0.54887365922239251</v>
      </c>
      <c r="N51" s="56">
        <v>1540.929280000001</v>
      </c>
      <c r="O51" s="52">
        <v>3.8592887772488378E-2</v>
      </c>
      <c r="P51" s="51">
        <v>2105.1088999999934</v>
      </c>
      <c r="Q51" s="52">
        <v>5.2777053179637878E-2</v>
      </c>
      <c r="R51" s="53">
        <v>-564.17961999999238</v>
      </c>
      <c r="S51" s="54">
        <v>-0.2680049568932012</v>
      </c>
      <c r="T51" s="51">
        <v>1799.7301129433386</v>
      </c>
      <c r="U51" s="52">
        <v>4.0563017490503443E-2</v>
      </c>
      <c r="V51" s="53">
        <v>-258.80083294333758</v>
      </c>
      <c r="W51" s="55">
        <v>-0.14379980147139176</v>
      </c>
    </row>
    <row r="52" spans="2:23" ht="18.399999999999999" x14ac:dyDescent="0.85">
      <c r="B52" s="48">
        <v>204</v>
      </c>
      <c r="C52" s="49" t="s">
        <v>1</v>
      </c>
      <c r="D52" s="41">
        <v>5782.4066799999991</v>
      </c>
      <c r="E52" s="40">
        <v>1</v>
      </c>
      <c r="F52" s="41">
        <v>6903.2001800000007</v>
      </c>
      <c r="G52" s="40">
        <v>1</v>
      </c>
      <c r="H52" s="42">
        <v>-1120.7935000000016</v>
      </c>
      <c r="I52" s="43">
        <v>-0.16235853963023877</v>
      </c>
      <c r="J52" s="41">
        <v>6800.6479600000002</v>
      </c>
      <c r="K52" s="40">
        <v>1</v>
      </c>
      <c r="L52" s="42">
        <v>-1018.2412800000011</v>
      </c>
      <c r="M52" s="44">
        <v>-0.14972709747498841</v>
      </c>
      <c r="N52" s="39">
        <v>35952.543960000003</v>
      </c>
      <c r="O52" s="40">
        <v>1</v>
      </c>
      <c r="P52" s="41">
        <v>36985.304250000008</v>
      </c>
      <c r="Q52" s="40">
        <v>1</v>
      </c>
      <c r="R52" s="42">
        <v>-1032.7602900000056</v>
      </c>
      <c r="S52" s="43">
        <v>-2.7923531006237574E-2</v>
      </c>
      <c r="T52" s="41">
        <v>37611.905700000003</v>
      </c>
      <c r="U52" s="40">
        <v>1</v>
      </c>
      <c r="V52" s="42">
        <v>-1659.3617400000003</v>
      </c>
      <c r="W52" s="44">
        <v>-4.4117991607109663E-2</v>
      </c>
    </row>
    <row r="53" spans="2:23" ht="18.399999999999999" x14ac:dyDescent="0.85">
      <c r="B53" s="48">
        <v>204</v>
      </c>
      <c r="C53" s="49" t="s">
        <v>56</v>
      </c>
      <c r="D53" s="41">
        <v>458.69948999999986</v>
      </c>
      <c r="E53" s="40">
        <v>7.9326743237644423E-2</v>
      </c>
      <c r="F53" s="41">
        <v>566.49441999999988</v>
      </c>
      <c r="G53" s="40">
        <v>8.2062580430631499E-2</v>
      </c>
      <c r="H53" s="42">
        <v>-107.79493000000002</v>
      </c>
      <c r="I53" s="43">
        <v>-0.19028418673567879</v>
      </c>
      <c r="J53" s="41">
        <v>730.18709632441801</v>
      </c>
      <c r="K53" s="40">
        <v>0.10737022422263687</v>
      </c>
      <c r="L53" s="42">
        <v>-271.48760632441815</v>
      </c>
      <c r="M53" s="44">
        <v>-0.37180553818469253</v>
      </c>
      <c r="N53" s="39">
        <v>238.42780000000363</v>
      </c>
      <c r="O53" s="40">
        <v>6.6317365543109574E-3</v>
      </c>
      <c r="P53" s="41">
        <v>1137.703320000001</v>
      </c>
      <c r="Q53" s="40">
        <v>3.076095608974207E-2</v>
      </c>
      <c r="R53" s="42">
        <v>-899.27551999999741</v>
      </c>
      <c r="S53" s="43">
        <v>-0.79043060189012782</v>
      </c>
      <c r="T53" s="41">
        <v>358.94498708461117</v>
      </c>
      <c r="U53" s="40">
        <v>9.5433874036489237E-3</v>
      </c>
      <c r="V53" s="42">
        <v>-120.51718708460754</v>
      </c>
      <c r="W53" s="44">
        <v>-0.33575392168995249</v>
      </c>
    </row>
    <row r="54" spans="2:23" ht="18.399999999999999" x14ac:dyDescent="0.85">
      <c r="B54" s="48">
        <v>204</v>
      </c>
      <c r="C54" s="49" t="s">
        <v>57</v>
      </c>
      <c r="D54" s="41">
        <v>1643.2422300000005</v>
      </c>
      <c r="E54" s="40">
        <v>0.2841796367736627</v>
      </c>
      <c r="F54" s="41">
        <v>1991.1071399999992</v>
      </c>
      <c r="G54" s="40">
        <v>0.2884324788622889</v>
      </c>
      <c r="H54" s="42">
        <v>-347.86490999999864</v>
      </c>
      <c r="I54" s="43">
        <v>-0.17470928761774154</v>
      </c>
      <c r="J54" s="41">
        <v>2050.7042663244183</v>
      </c>
      <c r="K54" s="40">
        <v>0.30154542308118804</v>
      </c>
      <c r="L54" s="42">
        <v>-407.4620363244178</v>
      </c>
      <c r="M54" s="44">
        <v>-0.19869370879826215</v>
      </c>
      <c r="N54" s="39">
        <v>7596.3156099999997</v>
      </c>
      <c r="O54" s="40">
        <v>0.21128729078118896</v>
      </c>
      <c r="P54" s="41">
        <v>8441.1115400000072</v>
      </c>
      <c r="Q54" s="40">
        <v>0.22822879819894967</v>
      </c>
      <c r="R54" s="42">
        <v>-844.7959300000075</v>
      </c>
      <c r="S54" s="43">
        <v>-0.10008112391321472</v>
      </c>
      <c r="T54" s="41">
        <v>7370.2393470846309</v>
      </c>
      <c r="U54" s="40">
        <v>0.19595495654676787</v>
      </c>
      <c r="V54" s="42">
        <v>226.07626291536872</v>
      </c>
      <c r="W54" s="44">
        <v>3.067420910893421E-2</v>
      </c>
    </row>
    <row r="55" spans="2:23" ht="18.399999999999999" x14ac:dyDescent="0.85">
      <c r="B55" s="48">
        <v>204</v>
      </c>
      <c r="C55" s="49" t="s">
        <v>2</v>
      </c>
      <c r="D55" s="41">
        <v>-14.281549999999999</v>
      </c>
      <c r="E55" s="40">
        <v>-2.4698280128577885E-3</v>
      </c>
      <c r="F55" s="41">
        <v>-45.796109999999999</v>
      </c>
      <c r="G55" s="40">
        <v>-6.6340405617500136E-3</v>
      </c>
      <c r="H55" s="42">
        <v>31.514559999999999</v>
      </c>
      <c r="I55" s="43">
        <v>0.6881492773076141</v>
      </c>
      <c r="J55" s="41">
        <v>-25.809170000000002</v>
      </c>
      <c r="K55" s="40">
        <v>-3.7951045476554857E-3</v>
      </c>
      <c r="L55" s="42">
        <v>11.527620000000002</v>
      </c>
      <c r="M55" s="44">
        <v>0.44664822619247352</v>
      </c>
      <c r="N55" s="39">
        <v>-74.007199999999997</v>
      </c>
      <c r="O55" s="40">
        <v>-2.0584690775244932E-3</v>
      </c>
      <c r="P55" s="41">
        <v>-242.90847000000002</v>
      </c>
      <c r="Q55" s="40">
        <v>-6.5677023597825335E-3</v>
      </c>
      <c r="R55" s="42">
        <v>168.90127000000001</v>
      </c>
      <c r="S55" s="43">
        <v>0.69532886193717325</v>
      </c>
      <c r="T55" s="41">
        <v>-97.981380000000001</v>
      </c>
      <c r="U55" s="40">
        <v>-2.6050628963477378E-3</v>
      </c>
      <c r="V55" s="42">
        <v>23.974180000000004</v>
      </c>
      <c r="W55" s="44">
        <v>0.24468097918196297</v>
      </c>
    </row>
    <row r="56" spans="2:23" ht="18.399999999999999" x14ac:dyDescent="0.85">
      <c r="B56" s="48">
        <v>204</v>
      </c>
      <c r="C56" s="49" t="s">
        <v>58</v>
      </c>
      <c r="D56" s="41">
        <v>-98.253539999999987</v>
      </c>
      <c r="E56" s="40">
        <v>-1.6991807293637119E-2</v>
      </c>
      <c r="F56" s="41">
        <v>-124.44074000000001</v>
      </c>
      <c r="G56" s="40">
        <v>-1.8026529255305471E-2</v>
      </c>
      <c r="H56" s="42">
        <v>26.187200000000018</v>
      </c>
      <c r="I56" s="43">
        <v>0.21043912146456231</v>
      </c>
      <c r="J56" s="41">
        <v>-117.86849000000001</v>
      </c>
      <c r="K56" s="40">
        <v>-1.733194993966428E-2</v>
      </c>
      <c r="L56" s="42">
        <v>19.614950000000022</v>
      </c>
      <c r="M56" s="44">
        <v>0.16641385666347316</v>
      </c>
      <c r="N56" s="39">
        <v>-633.83064000000002</v>
      </c>
      <c r="O56" s="40">
        <v>-1.7629646478012399E-2</v>
      </c>
      <c r="P56" s="41">
        <v>-671.68992000000003</v>
      </c>
      <c r="Q56" s="40">
        <v>-1.8160994849731427E-2</v>
      </c>
      <c r="R56" s="42">
        <v>37.859280000000012</v>
      </c>
      <c r="S56" s="43">
        <v>5.6364222348312169E-2</v>
      </c>
      <c r="T56" s="41">
        <v>-634.89064999999994</v>
      </c>
      <c r="U56" s="40">
        <v>-1.6880044714139543E-2</v>
      </c>
      <c r="V56" s="42">
        <v>1.0600099999999202</v>
      </c>
      <c r="W56" s="44">
        <v>1.669594598691791E-3</v>
      </c>
    </row>
    <row r="57" spans="2:23" ht="18.399999999999999" x14ac:dyDescent="0.85">
      <c r="B57" s="48">
        <v>204</v>
      </c>
      <c r="C57" s="49" t="s">
        <v>59</v>
      </c>
      <c r="D57" s="41">
        <v>1530.7071400000004</v>
      </c>
      <c r="E57" s="40">
        <v>0.26471800146716779</v>
      </c>
      <c r="F57" s="41">
        <v>1820.8702899999989</v>
      </c>
      <c r="G57" s="40">
        <v>0.2637719090452334</v>
      </c>
      <c r="H57" s="42">
        <v>-290.1631499999985</v>
      </c>
      <c r="I57" s="43">
        <v>-0.1593541020431492</v>
      </c>
      <c r="J57" s="41">
        <v>1907.0266063244185</v>
      </c>
      <c r="K57" s="40">
        <v>0.28041836859386826</v>
      </c>
      <c r="L57" s="42">
        <v>-376.31946632441804</v>
      </c>
      <c r="M57" s="44">
        <v>-0.19733309701941282</v>
      </c>
      <c r="N57" s="39">
        <v>6888.4777699999995</v>
      </c>
      <c r="O57" s="40">
        <v>0.19159917522565206</v>
      </c>
      <c r="P57" s="41">
        <v>7526.5131500000061</v>
      </c>
      <c r="Q57" s="40">
        <v>0.20350010098943566</v>
      </c>
      <c r="R57" s="42">
        <v>-638.03538000000663</v>
      </c>
      <c r="S57" s="43">
        <v>-8.4771708662995701E-2</v>
      </c>
      <c r="T57" s="41">
        <v>6637.3673170846314</v>
      </c>
      <c r="U57" s="40">
        <v>0.17646984893628059</v>
      </c>
      <c r="V57" s="42">
        <v>251.11045291536811</v>
      </c>
      <c r="W57" s="44">
        <v>3.7832839576168703E-2</v>
      </c>
    </row>
    <row r="58" spans="2:23" ht="18.399999999999999" x14ac:dyDescent="0.85">
      <c r="B58" s="48">
        <v>204</v>
      </c>
      <c r="C58" s="49" t="s">
        <v>3</v>
      </c>
      <c r="D58" s="41">
        <v>-505.40528000000012</v>
      </c>
      <c r="E58" s="40">
        <v>-8.740396654356386E-2</v>
      </c>
      <c r="F58" s="41">
        <v>-548.36066000000005</v>
      </c>
      <c r="G58" s="40">
        <v>-7.9435717594966218E-2</v>
      </c>
      <c r="H58" s="42">
        <v>42.955379999999934</v>
      </c>
      <c r="I58" s="43">
        <v>7.8334175175877735E-2</v>
      </c>
      <c r="J58" s="41">
        <v>-580.16990999999996</v>
      </c>
      <c r="K58" s="40">
        <v>-8.531097527947909E-2</v>
      </c>
      <c r="L58" s="42">
        <v>74.76462999999984</v>
      </c>
      <c r="M58" s="44">
        <v>0.12886678318080966</v>
      </c>
      <c r="N58" s="39">
        <v>-2163.5315399999999</v>
      </c>
      <c r="O58" s="40">
        <v>-6.0177425619925444E-2</v>
      </c>
      <c r="P58" s="41">
        <v>-2331.3335200000001</v>
      </c>
      <c r="Q58" s="40">
        <v>-6.303405007138746E-2</v>
      </c>
      <c r="R58" s="42">
        <v>167.80198000000019</v>
      </c>
      <c r="S58" s="43">
        <v>7.197682294723759E-2</v>
      </c>
      <c r="T58" s="41">
        <v>-2259.5549200000005</v>
      </c>
      <c r="U58" s="40">
        <v>-6.0075523373440777E-2</v>
      </c>
      <c r="V58" s="42">
        <v>96.023380000000543</v>
      </c>
      <c r="W58" s="44">
        <v>4.2496590434721773E-2</v>
      </c>
    </row>
    <row r="59" spans="2:23" ht="18.399999999999999" x14ac:dyDescent="0.85">
      <c r="B59" s="48">
        <v>204</v>
      </c>
      <c r="C59" s="49" t="s">
        <v>4</v>
      </c>
      <c r="D59" s="41">
        <v>-181.82165999999998</v>
      </c>
      <c r="E59" s="40">
        <v>-3.1443941953940881E-2</v>
      </c>
      <c r="F59" s="41">
        <v>-152.06641999999999</v>
      </c>
      <c r="G59" s="40">
        <v>-2.2028394952324847E-2</v>
      </c>
      <c r="H59" s="42">
        <v>-29.755239999999986</v>
      </c>
      <c r="I59" s="43">
        <v>-0.19567265409417797</v>
      </c>
      <c r="J59" s="41">
        <v>-163.32051000000001</v>
      </c>
      <c r="K59" s="40">
        <v>-2.4015433670529242E-2</v>
      </c>
      <c r="L59" s="42">
        <v>-18.501149999999967</v>
      </c>
      <c r="M59" s="44">
        <v>-0.11328124067209909</v>
      </c>
      <c r="N59" s="39">
        <v>-741.55259000000012</v>
      </c>
      <c r="O59" s="40">
        <v>-2.0625872562037195E-2</v>
      </c>
      <c r="P59" s="41">
        <v>-689.06020000000012</v>
      </c>
      <c r="Q59" s="40">
        <v>-1.8630648414903871E-2</v>
      </c>
      <c r="R59" s="42">
        <v>-52.49239</v>
      </c>
      <c r="S59" s="43">
        <v>-7.6179686477320832E-2</v>
      </c>
      <c r="T59" s="41">
        <v>-744.86756000000003</v>
      </c>
      <c r="U59" s="40">
        <v>-1.9804036677673581E-2</v>
      </c>
      <c r="V59" s="42">
        <v>3.3149699999999029</v>
      </c>
      <c r="W59" s="44">
        <v>4.4504153194695481E-3</v>
      </c>
    </row>
    <row r="60" spans="2:23" ht="18.399999999999999" x14ac:dyDescent="0.85">
      <c r="B60" s="48">
        <v>204</v>
      </c>
      <c r="C60" s="49" t="s">
        <v>60</v>
      </c>
      <c r="D60" s="41">
        <v>-125</v>
      </c>
      <c r="E60" s="40">
        <v>-2.1617296554451271E-2</v>
      </c>
      <c r="F60" s="41">
        <v>-125</v>
      </c>
      <c r="G60" s="40">
        <v>-1.8107543855116769E-2</v>
      </c>
      <c r="H60" s="42">
        <v>0</v>
      </c>
      <c r="I60" s="43">
        <v>0</v>
      </c>
      <c r="J60" s="41">
        <v>-125</v>
      </c>
      <c r="K60" s="40">
        <v>-1.8380601486097214E-2</v>
      </c>
      <c r="L60" s="42">
        <v>0</v>
      </c>
      <c r="M60" s="44">
        <v>0</v>
      </c>
      <c r="N60" s="39">
        <v>-500</v>
      </c>
      <c r="O60" s="40">
        <v>-1.3907221713052875E-2</v>
      </c>
      <c r="P60" s="41">
        <v>-500</v>
      </c>
      <c r="Q60" s="40">
        <v>-1.3518882976337823E-2</v>
      </c>
      <c r="R60" s="42">
        <v>0</v>
      </c>
      <c r="S60" s="43">
        <v>0</v>
      </c>
      <c r="T60" s="41">
        <v>-500</v>
      </c>
      <c r="U60" s="40">
        <v>-1.3293663022238195E-2</v>
      </c>
      <c r="V60" s="42">
        <v>0</v>
      </c>
      <c r="W60" s="44">
        <v>0</v>
      </c>
    </row>
    <row r="61" spans="2:23" ht="18.399999999999999" x14ac:dyDescent="0.85">
      <c r="B61" s="48">
        <v>204</v>
      </c>
      <c r="C61" s="49" t="s">
        <v>61</v>
      </c>
      <c r="D61" s="41">
        <v>718.48020000000031</v>
      </c>
      <c r="E61" s="40">
        <v>0.12425279641521174</v>
      </c>
      <c r="F61" s="41">
        <v>995.44320999999888</v>
      </c>
      <c r="G61" s="40">
        <v>0.14420025264282554</v>
      </c>
      <c r="H61" s="42">
        <v>-276.96300999999858</v>
      </c>
      <c r="I61" s="43">
        <v>-0.2782308495529332</v>
      </c>
      <c r="J61" s="41">
        <v>1038.5361863244184</v>
      </c>
      <c r="K61" s="40">
        <v>0.15271135815776271</v>
      </c>
      <c r="L61" s="42">
        <v>-320.05598632441809</v>
      </c>
      <c r="M61" s="44">
        <v>-0.30817990796946471</v>
      </c>
      <c r="N61" s="39">
        <v>3483.3936399999993</v>
      </c>
      <c r="O61" s="40">
        <v>9.688865533063655E-2</v>
      </c>
      <c r="P61" s="41">
        <v>4006.1194300000061</v>
      </c>
      <c r="Q61" s="40">
        <v>0.10831651952680652</v>
      </c>
      <c r="R61" s="42">
        <v>-522.72579000000678</v>
      </c>
      <c r="S61" s="43">
        <v>-0.13048182889545207</v>
      </c>
      <c r="T61" s="41">
        <v>3132.9448370846308</v>
      </c>
      <c r="U61" s="40">
        <v>8.3296625862928034E-2</v>
      </c>
      <c r="V61" s="42">
        <v>350.44880291536856</v>
      </c>
      <c r="W61" s="44">
        <v>0.11185923185340203</v>
      </c>
    </row>
    <row r="62" spans="2:23" ht="18.399999999999999" x14ac:dyDescent="0.85">
      <c r="B62" s="48">
        <v>204</v>
      </c>
      <c r="C62" s="49" t="s">
        <v>62</v>
      </c>
      <c r="D62" s="41">
        <v>-239.88775999999999</v>
      </c>
      <c r="E62" s="40">
        <v>-4.148579878162427E-2</v>
      </c>
      <c r="F62" s="41">
        <v>-217.57428000000002</v>
      </c>
      <c r="G62" s="40">
        <v>-3.1517886534763645E-2</v>
      </c>
      <c r="H62" s="42">
        <v>-22.31347999999997</v>
      </c>
      <c r="I62" s="43">
        <v>-0.10255568810798762</v>
      </c>
      <c r="J62" s="41">
        <v>-223.50828000000001</v>
      </c>
      <c r="K62" s="40">
        <v>-3.2865732988184265E-2</v>
      </c>
      <c r="L62" s="42">
        <v>-16.379479999999973</v>
      </c>
      <c r="M62" s="44">
        <v>-7.3283549047936714E-2</v>
      </c>
      <c r="N62" s="39">
        <v>-957.73336999999992</v>
      </c>
      <c r="O62" s="40">
        <v>-2.6638820637158601E-2</v>
      </c>
      <c r="P62" s="41">
        <v>-870.50151000000017</v>
      </c>
      <c r="Q62" s="40">
        <v>-2.3536416088830742E-2</v>
      </c>
      <c r="R62" s="42">
        <v>-87.231859999999756</v>
      </c>
      <c r="S62" s="43">
        <v>-0.10020874059138592</v>
      </c>
      <c r="T62" s="41">
        <v>-915.96396000000004</v>
      </c>
      <c r="U62" s="40">
        <v>-2.4353032449509728E-2</v>
      </c>
      <c r="V62" s="42">
        <v>-41.76940999999988</v>
      </c>
      <c r="W62" s="44">
        <v>-4.5601586769854874E-2</v>
      </c>
    </row>
    <row r="63" spans="2:23" ht="18.399999999999999" x14ac:dyDescent="0.85">
      <c r="B63" s="48">
        <v>204</v>
      </c>
      <c r="C63" s="50" t="s">
        <v>5</v>
      </c>
      <c r="D63" s="51">
        <v>478.59244000000035</v>
      </c>
      <c r="E63" s="52">
        <v>8.2766997633587483E-2</v>
      </c>
      <c r="F63" s="51">
        <v>777.86892999999884</v>
      </c>
      <c r="G63" s="52">
        <v>0.1126823661080619</v>
      </c>
      <c r="H63" s="53">
        <v>-299.27648999999849</v>
      </c>
      <c r="I63" s="54">
        <v>-0.38473896881316361</v>
      </c>
      <c r="J63" s="51">
        <v>815.02790632441838</v>
      </c>
      <c r="K63" s="52">
        <v>0.11984562516957845</v>
      </c>
      <c r="L63" s="53">
        <v>-336.43546632441803</v>
      </c>
      <c r="M63" s="55">
        <v>-0.41279011885821409</v>
      </c>
      <c r="N63" s="56">
        <v>2525.6602699999994</v>
      </c>
      <c r="O63" s="52">
        <v>7.0249834693477953E-2</v>
      </c>
      <c r="P63" s="51">
        <v>3135.6179200000061</v>
      </c>
      <c r="Q63" s="52">
        <v>8.478010343797579E-2</v>
      </c>
      <c r="R63" s="53">
        <v>-609.95765000000665</v>
      </c>
      <c r="S63" s="54">
        <v>-0.19452550201014462</v>
      </c>
      <c r="T63" s="51">
        <v>2216.9808770846307</v>
      </c>
      <c r="U63" s="52">
        <v>5.8943593413418309E-2</v>
      </c>
      <c r="V63" s="53">
        <v>308.67939291536868</v>
      </c>
      <c r="W63" s="55">
        <v>0.13923412515911621</v>
      </c>
    </row>
    <row r="64" spans="2:23" ht="18.399999999999999" x14ac:dyDescent="0.85">
      <c r="B64" s="48">
        <v>236</v>
      </c>
      <c r="C64" s="49" t="s">
        <v>1</v>
      </c>
      <c r="D64" s="41">
        <v>5297.5279100000007</v>
      </c>
      <c r="E64" s="40">
        <v>1</v>
      </c>
      <c r="F64" s="41">
        <v>5480.4357600000003</v>
      </c>
      <c r="G64" s="40">
        <v>1</v>
      </c>
      <c r="H64" s="42">
        <v>-182.9078499999996</v>
      </c>
      <c r="I64" s="43">
        <v>-3.3374690993549679E-2</v>
      </c>
      <c r="J64" s="41">
        <v>6481.0231999999996</v>
      </c>
      <c r="K64" s="40">
        <v>1</v>
      </c>
      <c r="L64" s="42">
        <v>-1183.4952899999989</v>
      </c>
      <c r="M64" s="44">
        <v>-0.18260932779873384</v>
      </c>
      <c r="N64" s="39">
        <v>26973.040709999997</v>
      </c>
      <c r="O64" s="40">
        <v>1</v>
      </c>
      <c r="P64" s="41">
        <v>28094.919819999999</v>
      </c>
      <c r="Q64" s="40">
        <v>1</v>
      </c>
      <c r="R64" s="42">
        <v>-1121.8791100000017</v>
      </c>
      <c r="S64" s="43">
        <v>-3.9931742720310838E-2</v>
      </c>
      <c r="T64" s="41">
        <v>29323.443519999997</v>
      </c>
      <c r="U64" s="40">
        <v>1</v>
      </c>
      <c r="V64" s="42">
        <v>-2350.4028099999996</v>
      </c>
      <c r="W64" s="44">
        <v>-8.0154392794860946E-2</v>
      </c>
    </row>
    <row r="65" spans="2:23" ht="18.399999999999999" x14ac:dyDescent="0.85">
      <c r="B65" s="48">
        <v>236</v>
      </c>
      <c r="C65" s="49" t="s">
        <v>56</v>
      </c>
      <c r="D65" s="41">
        <v>559.50946999999996</v>
      </c>
      <c r="E65" s="40">
        <v>0.10561708772573505</v>
      </c>
      <c r="F65" s="41">
        <v>606.22651000000019</v>
      </c>
      <c r="G65" s="40">
        <v>0.11061647951877465</v>
      </c>
      <c r="H65" s="42">
        <v>-46.717040000000225</v>
      </c>
      <c r="I65" s="43">
        <v>-7.7062020926798813E-2</v>
      </c>
      <c r="J65" s="41">
        <v>754.2055802586043</v>
      </c>
      <c r="K65" s="40">
        <v>0.11637137485614993</v>
      </c>
      <c r="L65" s="42">
        <v>-194.69611025860434</v>
      </c>
      <c r="M65" s="44">
        <v>-0.25814726827113416</v>
      </c>
      <c r="N65" s="39">
        <v>2042.6262099999997</v>
      </c>
      <c r="O65" s="40">
        <v>7.5728436847786143E-2</v>
      </c>
      <c r="P65" s="41">
        <v>1964.2786500000018</v>
      </c>
      <c r="Q65" s="40">
        <v>6.9915794833544459E-2</v>
      </c>
      <c r="R65" s="42">
        <v>78.347559999997884</v>
      </c>
      <c r="S65" s="43">
        <v>3.9886173990639165E-2</v>
      </c>
      <c r="T65" s="41">
        <v>2458.4744773847269</v>
      </c>
      <c r="U65" s="40">
        <v>8.3839896760690105E-2</v>
      </c>
      <c r="V65" s="42">
        <v>-415.84826738472725</v>
      </c>
      <c r="W65" s="44">
        <v>-0.16914890563643264</v>
      </c>
    </row>
    <row r="66" spans="2:23" ht="18.399999999999999" x14ac:dyDescent="0.85">
      <c r="B66" s="48">
        <v>236</v>
      </c>
      <c r="C66" s="49" t="s">
        <v>57</v>
      </c>
      <c r="D66" s="41">
        <v>1606.1236199999996</v>
      </c>
      <c r="E66" s="40">
        <v>0.30318360701189762</v>
      </c>
      <c r="F66" s="41">
        <v>1601.9531400000003</v>
      </c>
      <c r="G66" s="40">
        <v>0.29230397182869272</v>
      </c>
      <c r="H66" s="42">
        <v>4.1704799999993156</v>
      </c>
      <c r="I66" s="43">
        <v>2.6033720312189125E-3</v>
      </c>
      <c r="J66" s="41">
        <v>1724.685020258604</v>
      </c>
      <c r="K66" s="40">
        <v>0.26611307613566393</v>
      </c>
      <c r="L66" s="42">
        <v>-118.56140025860441</v>
      </c>
      <c r="M66" s="44">
        <v>-6.8743798934849554E-2</v>
      </c>
      <c r="N66" s="39">
        <v>7298.6394699999973</v>
      </c>
      <c r="O66" s="40">
        <v>0.27059016254307938</v>
      </c>
      <c r="P66" s="41">
        <v>7049.7738100000006</v>
      </c>
      <c r="Q66" s="40">
        <v>0.25092699517090133</v>
      </c>
      <c r="R66" s="42">
        <v>248.86565999999675</v>
      </c>
      <c r="S66" s="43">
        <v>3.5301226210546564E-2</v>
      </c>
      <c r="T66" s="41">
        <v>7215.7536573847301</v>
      </c>
      <c r="U66" s="40">
        <v>0.24607456666756206</v>
      </c>
      <c r="V66" s="42">
        <v>82.885812615267241</v>
      </c>
      <c r="W66" s="44">
        <v>1.1486785241128684E-2</v>
      </c>
    </row>
    <row r="67" spans="2:23" ht="18.399999999999999" x14ac:dyDescent="0.85">
      <c r="B67" s="48">
        <v>236</v>
      </c>
      <c r="C67" s="49" t="s">
        <v>2</v>
      </c>
      <c r="D67" s="41">
        <v>-21.642679999999995</v>
      </c>
      <c r="E67" s="40">
        <v>-4.0854301039444626E-3</v>
      </c>
      <c r="F67" s="41">
        <v>-28.454789999999999</v>
      </c>
      <c r="G67" s="40">
        <v>-5.1920670629300465E-3</v>
      </c>
      <c r="H67" s="42">
        <v>6.8121100000000041</v>
      </c>
      <c r="I67" s="43">
        <v>0.23940116936375228</v>
      </c>
      <c r="J67" s="41">
        <v>-25.73507</v>
      </c>
      <c r="K67" s="40">
        <v>-3.970834420095889E-3</v>
      </c>
      <c r="L67" s="42">
        <v>4.0923900000000053</v>
      </c>
      <c r="M67" s="44">
        <v>0.15901996769389029</v>
      </c>
      <c r="N67" s="39">
        <v>-61.754870000000011</v>
      </c>
      <c r="O67" s="40">
        <v>-2.2895034588037745E-3</v>
      </c>
      <c r="P67" s="41">
        <v>-150.73826</v>
      </c>
      <c r="Q67" s="40">
        <v>-5.36532088241425E-3</v>
      </c>
      <c r="R67" s="42">
        <v>88.983389999999986</v>
      </c>
      <c r="S67" s="43">
        <v>0.59031721608037657</v>
      </c>
      <c r="T67" s="41">
        <v>-96.288629999999998</v>
      </c>
      <c r="U67" s="40">
        <v>-3.2836740314733681E-3</v>
      </c>
      <c r="V67" s="42">
        <v>34.533759999999987</v>
      </c>
      <c r="W67" s="44">
        <v>0.35864836793295313</v>
      </c>
    </row>
    <row r="68" spans="2:23" ht="18.399999999999999" x14ac:dyDescent="0.85">
      <c r="B68" s="48">
        <v>236</v>
      </c>
      <c r="C68" s="49" t="s">
        <v>58</v>
      </c>
      <c r="D68" s="41">
        <v>-95.816420000000008</v>
      </c>
      <c r="E68" s="40">
        <v>-1.808700617114823E-2</v>
      </c>
      <c r="F68" s="41">
        <v>-95.513269999999991</v>
      </c>
      <c r="G68" s="40">
        <v>-1.7428042984669524E-2</v>
      </c>
      <c r="H68" s="42">
        <v>-0.30315000000001646</v>
      </c>
      <c r="I68" s="43">
        <v>-3.1739045265649106E-3</v>
      </c>
      <c r="J68" s="41">
        <v>-93.940880000000007</v>
      </c>
      <c r="K68" s="40">
        <v>-1.4494760642115896E-2</v>
      </c>
      <c r="L68" s="42">
        <v>-1.8755400000000009</v>
      </c>
      <c r="M68" s="44">
        <v>-1.996510997129259E-2</v>
      </c>
      <c r="N68" s="39">
        <v>-461.23880000000003</v>
      </c>
      <c r="O68" s="40">
        <v>-1.7099992728257744E-2</v>
      </c>
      <c r="P68" s="41">
        <v>-500.83229999999998</v>
      </c>
      <c r="Q68" s="40">
        <v>-1.7826436352506379E-2</v>
      </c>
      <c r="R68" s="42">
        <v>39.593499999999949</v>
      </c>
      <c r="S68" s="43">
        <v>7.9055404373879146E-2</v>
      </c>
      <c r="T68" s="41">
        <v>-438.00631000000004</v>
      </c>
      <c r="U68" s="40">
        <v>-1.4937069369129813E-2</v>
      </c>
      <c r="V68" s="42">
        <v>-23.232489999999984</v>
      </c>
      <c r="W68" s="44">
        <v>-5.3041450475907484E-2</v>
      </c>
    </row>
    <row r="69" spans="2:23" ht="18.399999999999999" x14ac:dyDescent="0.85">
      <c r="B69" s="48">
        <v>236</v>
      </c>
      <c r="C69" s="49" t="s">
        <v>59</v>
      </c>
      <c r="D69" s="41">
        <v>1488.6645199999996</v>
      </c>
      <c r="E69" s="40">
        <v>0.28101117073680493</v>
      </c>
      <c r="F69" s="41">
        <v>1477.9850800000004</v>
      </c>
      <c r="G69" s="40">
        <v>0.26968386178109316</v>
      </c>
      <c r="H69" s="42">
        <v>10.679439999999204</v>
      </c>
      <c r="I69" s="43">
        <v>7.2256751062731977E-3</v>
      </c>
      <c r="J69" s="41">
        <v>1605.0090702586037</v>
      </c>
      <c r="K69" s="40">
        <v>0.24764748107345208</v>
      </c>
      <c r="L69" s="42">
        <v>-116.34455025860416</v>
      </c>
      <c r="M69" s="44">
        <v>-7.2488406710286307E-2</v>
      </c>
      <c r="N69" s="39">
        <v>6775.6457999999966</v>
      </c>
      <c r="O69" s="40">
        <v>0.25120066635601784</v>
      </c>
      <c r="P69" s="41">
        <v>6398.2032500000005</v>
      </c>
      <c r="Q69" s="40">
        <v>0.22773523793598072</v>
      </c>
      <c r="R69" s="42">
        <v>377.44254999999612</v>
      </c>
      <c r="S69" s="43">
        <v>5.899195996938611E-2</v>
      </c>
      <c r="T69" s="41">
        <v>6681.4587173847312</v>
      </c>
      <c r="U69" s="40">
        <v>0.22785382326695894</v>
      </c>
      <c r="V69" s="42">
        <v>94.187082615265354</v>
      </c>
      <c r="W69" s="44">
        <v>1.4096784339952075E-2</v>
      </c>
    </row>
    <row r="70" spans="2:23" ht="18.399999999999999" x14ac:dyDescent="0.85">
      <c r="B70" s="48">
        <v>236</v>
      </c>
      <c r="C70" s="49" t="s">
        <v>3</v>
      </c>
      <c r="D70" s="41">
        <v>-423.88909999999981</v>
      </c>
      <c r="E70" s="40">
        <v>-8.001639768614259E-2</v>
      </c>
      <c r="F70" s="41">
        <v>-441.66563999999994</v>
      </c>
      <c r="G70" s="40">
        <v>-8.0589511371263647E-2</v>
      </c>
      <c r="H70" s="42">
        <v>17.776540000000125</v>
      </c>
      <c r="I70" s="43">
        <v>4.0248863370943071E-2</v>
      </c>
      <c r="J70" s="41">
        <v>-465.43141999999995</v>
      </c>
      <c r="K70" s="40">
        <v>-7.1814496822045007E-2</v>
      </c>
      <c r="L70" s="42">
        <v>41.542320000000132</v>
      </c>
      <c r="M70" s="44">
        <v>8.925551265963122E-2</v>
      </c>
      <c r="N70" s="39">
        <v>-1800.8677299999999</v>
      </c>
      <c r="O70" s="40">
        <v>-6.6765469616940354E-2</v>
      </c>
      <c r="P70" s="41">
        <v>-1877.4739799999998</v>
      </c>
      <c r="Q70" s="40">
        <v>-6.6826102086380679E-2</v>
      </c>
      <c r="R70" s="42">
        <v>76.606249999999818</v>
      </c>
      <c r="S70" s="43">
        <v>4.0802829128955401E-2</v>
      </c>
      <c r="T70" s="41">
        <v>-1748.7122499999996</v>
      </c>
      <c r="U70" s="40">
        <v>-5.9635296543780539E-2</v>
      </c>
      <c r="V70" s="42">
        <v>-52.155480000000352</v>
      </c>
      <c r="W70" s="44">
        <v>-2.9825078425567364E-2</v>
      </c>
    </row>
    <row r="71" spans="2:23" ht="18.399999999999999" x14ac:dyDescent="0.85">
      <c r="B71" s="48">
        <v>236</v>
      </c>
      <c r="C71" s="49" t="s">
        <v>4</v>
      </c>
      <c r="D71" s="41">
        <v>-164.27103999999997</v>
      </c>
      <c r="E71" s="40">
        <v>-3.1008999441024171E-2</v>
      </c>
      <c r="F71" s="41">
        <v>-156.94726</v>
      </c>
      <c r="G71" s="40">
        <v>-2.8637733726487469E-2</v>
      </c>
      <c r="H71" s="42">
        <v>-7.3237799999999709</v>
      </c>
      <c r="I71" s="43">
        <v>-4.666395577724626E-2</v>
      </c>
      <c r="J71" s="41">
        <v>-161.20421000000002</v>
      </c>
      <c r="K71" s="40">
        <v>-2.487326538192303E-2</v>
      </c>
      <c r="L71" s="42">
        <v>-3.0668299999999533</v>
      </c>
      <c r="M71" s="44">
        <v>-1.9024503144179378E-2</v>
      </c>
      <c r="N71" s="39">
        <v>-625.73430999999994</v>
      </c>
      <c r="O71" s="40">
        <v>-2.3198508344964418E-2</v>
      </c>
      <c r="P71" s="41">
        <v>-687.46318000000008</v>
      </c>
      <c r="Q71" s="40">
        <v>-2.4469305639755339E-2</v>
      </c>
      <c r="R71" s="42">
        <v>61.728870000000143</v>
      </c>
      <c r="S71" s="43">
        <v>8.979225621945329E-2</v>
      </c>
      <c r="T71" s="41">
        <v>-699.79595000000006</v>
      </c>
      <c r="U71" s="40">
        <v>-2.386472617115059E-2</v>
      </c>
      <c r="V71" s="42">
        <v>74.061640000000125</v>
      </c>
      <c r="W71" s="44">
        <v>0.10583319323297044</v>
      </c>
    </row>
    <row r="72" spans="2:23" ht="18.399999999999999" x14ac:dyDescent="0.85">
      <c r="B72" s="48">
        <v>236</v>
      </c>
      <c r="C72" s="49" t="s">
        <v>60</v>
      </c>
      <c r="D72" s="41">
        <v>0</v>
      </c>
      <c r="E72" s="40">
        <v>0</v>
      </c>
      <c r="F72" s="41">
        <v>0</v>
      </c>
      <c r="G72" s="40">
        <v>0</v>
      </c>
      <c r="H72" s="42">
        <v>0</v>
      </c>
      <c r="I72" s="43">
        <v>0</v>
      </c>
      <c r="J72" s="41">
        <v>0</v>
      </c>
      <c r="K72" s="40">
        <v>0</v>
      </c>
      <c r="L72" s="42">
        <v>0</v>
      </c>
      <c r="M72" s="44">
        <v>0</v>
      </c>
      <c r="N72" s="39">
        <v>0</v>
      </c>
      <c r="O72" s="40">
        <v>0</v>
      </c>
      <c r="P72" s="41">
        <v>0</v>
      </c>
      <c r="Q72" s="40">
        <v>0</v>
      </c>
      <c r="R72" s="42">
        <v>0</v>
      </c>
      <c r="S72" s="43">
        <v>0</v>
      </c>
      <c r="T72" s="41">
        <v>0</v>
      </c>
      <c r="U72" s="40">
        <v>0</v>
      </c>
      <c r="V72" s="42">
        <v>0</v>
      </c>
      <c r="W72" s="44">
        <v>0</v>
      </c>
    </row>
    <row r="73" spans="2:23" ht="18.399999999999999" x14ac:dyDescent="0.85">
      <c r="B73" s="48">
        <v>236</v>
      </c>
      <c r="C73" s="49" t="s">
        <v>61</v>
      </c>
      <c r="D73" s="41">
        <v>900.50437999999986</v>
      </c>
      <c r="E73" s="40">
        <v>0.16998577360963818</v>
      </c>
      <c r="F73" s="41">
        <v>879.37218000000041</v>
      </c>
      <c r="G73" s="40">
        <v>0.16045661668334205</v>
      </c>
      <c r="H73" s="42">
        <v>21.132199999999443</v>
      </c>
      <c r="I73" s="43">
        <v>2.4031008122180342E-2</v>
      </c>
      <c r="J73" s="41">
        <v>978.37344025860375</v>
      </c>
      <c r="K73" s="40">
        <v>0.15095971886948403</v>
      </c>
      <c r="L73" s="42">
        <v>-77.869060258603895</v>
      </c>
      <c r="M73" s="44">
        <v>-7.9590325180967231E-2</v>
      </c>
      <c r="N73" s="39">
        <v>4349.0437599999968</v>
      </c>
      <c r="O73" s="40">
        <v>0.16123668839411309</v>
      </c>
      <c r="P73" s="41">
        <v>3833.2660900000005</v>
      </c>
      <c r="Q73" s="40">
        <v>0.13643983020984471</v>
      </c>
      <c r="R73" s="42">
        <v>515.77766999999631</v>
      </c>
      <c r="S73" s="43">
        <v>0.13455305681636001</v>
      </c>
      <c r="T73" s="41">
        <v>4232.9505173847319</v>
      </c>
      <c r="U73" s="40">
        <v>0.14435380055202782</v>
      </c>
      <c r="V73" s="42">
        <v>116.0932426152649</v>
      </c>
      <c r="W73" s="44">
        <v>2.742608072985258E-2</v>
      </c>
    </row>
    <row r="74" spans="2:23" ht="18.399999999999999" x14ac:dyDescent="0.85">
      <c r="B74" s="48">
        <v>236</v>
      </c>
      <c r="C74" s="49" t="s">
        <v>62</v>
      </c>
      <c r="D74" s="41">
        <v>-146.61445000000003</v>
      </c>
      <c r="E74" s="40">
        <v>-2.7676012753654375E-2</v>
      </c>
      <c r="F74" s="41">
        <v>-153.23334</v>
      </c>
      <c r="G74" s="40">
        <v>-2.7960064985781349E-2</v>
      </c>
      <c r="H74" s="42">
        <v>6.6188899999999649</v>
      </c>
      <c r="I74" s="43">
        <v>4.3194842584518257E-2</v>
      </c>
      <c r="J74" s="41">
        <v>-149.33614</v>
      </c>
      <c r="K74" s="40">
        <v>-2.3042062247208128E-2</v>
      </c>
      <c r="L74" s="42">
        <v>2.7216899999999669</v>
      </c>
      <c r="M74" s="44">
        <v>1.8225260141315872E-2</v>
      </c>
      <c r="N74" s="39">
        <v>-587.85175000000004</v>
      </c>
      <c r="O74" s="40">
        <v>-2.1794048224680118E-2</v>
      </c>
      <c r="P74" s="41">
        <v>-612.99999000000003</v>
      </c>
      <c r="Q74" s="40">
        <v>-2.1818890885875467E-2</v>
      </c>
      <c r="R74" s="42">
        <v>25.148239999999987</v>
      </c>
      <c r="S74" s="43">
        <v>4.102486200693084E-2</v>
      </c>
      <c r="T74" s="41">
        <v>-601.09996000000001</v>
      </c>
      <c r="U74" s="40">
        <v>-2.0498955369618203E-2</v>
      </c>
      <c r="V74" s="42">
        <v>13.248209999999972</v>
      </c>
      <c r="W74" s="44">
        <v>2.2039944903672878E-2</v>
      </c>
    </row>
    <row r="75" spans="2:23" ht="18.399999999999999" x14ac:dyDescent="0.85">
      <c r="B75" s="48">
        <v>236</v>
      </c>
      <c r="C75" s="50" t="s">
        <v>5</v>
      </c>
      <c r="D75" s="51">
        <v>753.88992999999982</v>
      </c>
      <c r="E75" s="52">
        <v>0.14230976085598382</v>
      </c>
      <c r="F75" s="51">
        <v>726.13884000000041</v>
      </c>
      <c r="G75" s="52">
        <v>0.13249655169756069</v>
      </c>
      <c r="H75" s="53">
        <v>27.751089999999408</v>
      </c>
      <c r="I75" s="54">
        <v>3.8217333203109466E-2</v>
      </c>
      <c r="J75" s="51">
        <v>829.03730025860375</v>
      </c>
      <c r="K75" s="52">
        <v>0.12791765662227592</v>
      </c>
      <c r="L75" s="53">
        <v>-75.147370258603928</v>
      </c>
      <c r="M75" s="55">
        <v>-9.0644136560759106E-2</v>
      </c>
      <c r="N75" s="56">
        <v>3761.192009999997</v>
      </c>
      <c r="O75" s="52">
        <v>0.139442640169433</v>
      </c>
      <c r="P75" s="51">
        <v>3220.2661000000007</v>
      </c>
      <c r="Q75" s="52">
        <v>0.11462093932396925</v>
      </c>
      <c r="R75" s="53">
        <v>540.92590999999629</v>
      </c>
      <c r="S75" s="54">
        <v>0.16797553158727974</v>
      </c>
      <c r="T75" s="51">
        <v>3631.8505573847319</v>
      </c>
      <c r="U75" s="52">
        <v>0.12385484518240961</v>
      </c>
      <c r="V75" s="53">
        <v>129.3414526152651</v>
      </c>
      <c r="W75" s="55">
        <v>3.561309876924091E-2</v>
      </c>
    </row>
    <row r="76" spans="2:23" ht="18.399999999999999" x14ac:dyDescent="0.85">
      <c r="B76" s="48">
        <v>301</v>
      </c>
      <c r="C76" s="49" t="s">
        <v>1</v>
      </c>
      <c r="D76" s="41">
        <v>3416.4494100000002</v>
      </c>
      <c r="E76" s="40">
        <v>1</v>
      </c>
      <c r="F76" s="41">
        <v>3852.7795900000001</v>
      </c>
      <c r="G76" s="40">
        <v>1</v>
      </c>
      <c r="H76" s="42">
        <v>-436.33017999999993</v>
      </c>
      <c r="I76" s="43">
        <v>-0.11325075047960372</v>
      </c>
      <c r="J76" s="41">
        <v>3161.9839600000005</v>
      </c>
      <c r="K76" s="40">
        <v>1</v>
      </c>
      <c r="L76" s="42">
        <v>254.46544999999969</v>
      </c>
      <c r="M76" s="44">
        <v>8.047651513070915E-2</v>
      </c>
      <c r="N76" s="39">
        <v>20166.618489999993</v>
      </c>
      <c r="O76" s="40">
        <v>1</v>
      </c>
      <c r="P76" s="41">
        <v>20608.775250000002</v>
      </c>
      <c r="Q76" s="40">
        <v>1</v>
      </c>
      <c r="R76" s="42">
        <v>-442.15676000000894</v>
      </c>
      <c r="S76" s="43">
        <v>-2.1454781016160041E-2</v>
      </c>
      <c r="T76" s="41">
        <v>20798.271430000001</v>
      </c>
      <c r="U76" s="40">
        <v>1</v>
      </c>
      <c r="V76" s="42">
        <v>-631.65294000000722</v>
      </c>
      <c r="W76" s="44">
        <v>-3.0370453723807721E-2</v>
      </c>
    </row>
    <row r="77" spans="2:23" ht="18.399999999999999" x14ac:dyDescent="0.85">
      <c r="B77" s="48">
        <v>301</v>
      </c>
      <c r="C77" s="49" t="s">
        <v>56</v>
      </c>
      <c r="D77" s="41">
        <v>274.41324999999961</v>
      </c>
      <c r="E77" s="40">
        <v>8.0321180579108767E-2</v>
      </c>
      <c r="F77" s="41">
        <v>333.02911999999986</v>
      </c>
      <c r="G77" s="40">
        <v>8.6438663884221792E-2</v>
      </c>
      <c r="H77" s="42">
        <v>-58.615870000000257</v>
      </c>
      <c r="I77" s="43">
        <v>-0.17600824216212768</v>
      </c>
      <c r="J77" s="41">
        <v>294.1447726845031</v>
      </c>
      <c r="K77" s="40">
        <v>9.3025384190912552E-2</v>
      </c>
      <c r="L77" s="42">
        <v>-19.731522684503489</v>
      </c>
      <c r="M77" s="44">
        <v>-6.7080990440266414E-2</v>
      </c>
      <c r="N77" s="39">
        <v>142.45982999999751</v>
      </c>
      <c r="O77" s="40">
        <v>7.0641406773594177E-3</v>
      </c>
      <c r="P77" s="41">
        <v>788.26615000000083</v>
      </c>
      <c r="Q77" s="40">
        <v>3.8249053640390433E-2</v>
      </c>
      <c r="R77" s="42">
        <v>-645.80632000000332</v>
      </c>
      <c r="S77" s="43">
        <v>-0.81927445444663916</v>
      </c>
      <c r="T77" s="41">
        <v>1019.4979060784342</v>
      </c>
      <c r="U77" s="40">
        <v>4.9018396048427483E-2</v>
      </c>
      <c r="V77" s="42">
        <v>-877.03807607843669</v>
      </c>
      <c r="W77" s="44">
        <v>-0.86026471545392513</v>
      </c>
    </row>
    <row r="78" spans="2:23" ht="18.399999999999999" x14ac:dyDescent="0.85">
      <c r="B78" s="48">
        <v>301</v>
      </c>
      <c r="C78" s="49" t="s">
        <v>57</v>
      </c>
      <c r="D78" s="41">
        <v>950.45991000000015</v>
      </c>
      <c r="E78" s="40">
        <v>0.27820107835286229</v>
      </c>
      <c r="F78" s="41">
        <v>1101.0947300000007</v>
      </c>
      <c r="G78" s="40">
        <v>0.28579229729567807</v>
      </c>
      <c r="H78" s="42">
        <v>-150.63482000000056</v>
      </c>
      <c r="I78" s="43">
        <v>-0.1368045962766532</v>
      </c>
      <c r="J78" s="41">
        <v>890.51594268450299</v>
      </c>
      <c r="K78" s="40">
        <v>0.28163202405508181</v>
      </c>
      <c r="L78" s="42">
        <v>59.943967315497162</v>
      </c>
      <c r="M78" s="44">
        <v>6.7313749751400517E-2</v>
      </c>
      <c r="N78" s="39">
        <v>4155.4767299999976</v>
      </c>
      <c r="O78" s="40">
        <v>0.20605718961067127</v>
      </c>
      <c r="P78" s="41">
        <v>4738.9749200000024</v>
      </c>
      <c r="Q78" s="40">
        <v>0.22994937168815996</v>
      </c>
      <c r="R78" s="42">
        <v>-583.4981900000048</v>
      </c>
      <c r="S78" s="43">
        <v>-0.12312751171934974</v>
      </c>
      <c r="T78" s="41">
        <v>4786.8860460784317</v>
      </c>
      <c r="U78" s="40">
        <v>0.23015787933095705</v>
      </c>
      <c r="V78" s="42">
        <v>-631.40931607843413</v>
      </c>
      <c r="W78" s="44">
        <v>-0.1319039789124925</v>
      </c>
    </row>
    <row r="79" spans="2:23" ht="18.399999999999999" x14ac:dyDescent="0.85">
      <c r="B79" s="48">
        <v>301</v>
      </c>
      <c r="C79" s="49" t="s">
        <v>2</v>
      </c>
      <c r="D79" s="41">
        <v>-24.15222</v>
      </c>
      <c r="E79" s="40">
        <v>-7.0693919626926361E-3</v>
      </c>
      <c r="F79" s="41">
        <v>-24.073250000000002</v>
      </c>
      <c r="G79" s="40">
        <v>-6.2482811273405865E-3</v>
      </c>
      <c r="H79" s="42">
        <v>-7.8969999999998208E-2</v>
      </c>
      <c r="I79" s="43">
        <v>-3.2804045984650265E-3</v>
      </c>
      <c r="J79" s="41">
        <v>-20.170099999999998</v>
      </c>
      <c r="K79" s="40">
        <v>-6.3789381145374297E-3</v>
      </c>
      <c r="L79" s="42">
        <v>-3.9821200000000019</v>
      </c>
      <c r="M79" s="44">
        <v>-0.19742688434861513</v>
      </c>
      <c r="N79" s="39">
        <v>-64.474210000000014</v>
      </c>
      <c r="O79" s="40">
        <v>-3.1970759020393427E-3</v>
      </c>
      <c r="P79" s="41">
        <v>-127.89630000000002</v>
      </c>
      <c r="Q79" s="40">
        <v>-6.2059146382315959E-3</v>
      </c>
      <c r="R79" s="42">
        <v>63.422090000000011</v>
      </c>
      <c r="S79" s="43">
        <v>0.49588682393470335</v>
      </c>
      <c r="T79" s="41">
        <v>-83.774420000000006</v>
      </c>
      <c r="U79" s="40">
        <v>-4.0279510863177543E-3</v>
      </c>
      <c r="V79" s="42">
        <v>19.300209999999993</v>
      </c>
      <c r="W79" s="44">
        <v>0.23038309307304056</v>
      </c>
    </row>
    <row r="80" spans="2:23" ht="18.399999999999999" x14ac:dyDescent="0.85">
      <c r="B80" s="48">
        <v>301</v>
      </c>
      <c r="C80" s="49" t="s">
        <v>58</v>
      </c>
      <c r="D80" s="41">
        <v>-61.189589999999995</v>
      </c>
      <c r="E80" s="40">
        <v>-1.7910287159791427E-2</v>
      </c>
      <c r="F80" s="41">
        <v>-71.322800000000001</v>
      </c>
      <c r="G80" s="40">
        <v>-1.8512037435289674E-2</v>
      </c>
      <c r="H80" s="42">
        <v>10.133210000000005</v>
      </c>
      <c r="I80" s="43">
        <v>0.14207532514146956</v>
      </c>
      <c r="J80" s="41">
        <v>-56.443239999999996</v>
      </c>
      <c r="K80" s="40">
        <v>-1.7850577584840117E-2</v>
      </c>
      <c r="L80" s="42">
        <v>-4.7463499999999996</v>
      </c>
      <c r="M80" s="44">
        <v>-8.4090672328519772E-2</v>
      </c>
      <c r="N80" s="39">
        <v>-345.70857000000007</v>
      </c>
      <c r="O80" s="40">
        <v>-1.7142614671439654E-2</v>
      </c>
      <c r="P80" s="41">
        <v>-383.32547</v>
      </c>
      <c r="Q80" s="40">
        <v>-1.8600109193776568E-2</v>
      </c>
      <c r="R80" s="42">
        <v>37.61689999999993</v>
      </c>
      <c r="S80" s="43">
        <v>9.8133056485915041E-2</v>
      </c>
      <c r="T80" s="41">
        <v>-347.02352000000002</v>
      </c>
      <c r="U80" s="40">
        <v>-1.6685209690043938E-2</v>
      </c>
      <c r="V80" s="42">
        <v>1.3149499999999534</v>
      </c>
      <c r="W80" s="44">
        <v>3.7892244306666975E-3</v>
      </c>
    </row>
    <row r="81" spans="2:23" ht="18.399999999999999" x14ac:dyDescent="0.85">
      <c r="B81" s="48">
        <v>301</v>
      </c>
      <c r="C81" s="49" t="s">
        <v>59</v>
      </c>
      <c r="D81" s="41">
        <v>865.11810000000014</v>
      </c>
      <c r="E81" s="40">
        <v>0.25322139923037823</v>
      </c>
      <c r="F81" s="41">
        <v>1005.6986800000008</v>
      </c>
      <c r="G81" s="40">
        <v>0.26103197873304784</v>
      </c>
      <c r="H81" s="42">
        <v>-140.58058000000062</v>
      </c>
      <c r="I81" s="43">
        <v>-0.13978399573916167</v>
      </c>
      <c r="J81" s="41">
        <v>813.90260268450288</v>
      </c>
      <c r="K81" s="40">
        <v>0.25740250835570422</v>
      </c>
      <c r="L81" s="42">
        <v>51.215497315497259</v>
      </c>
      <c r="M81" s="44">
        <v>6.2925830617290915E-2</v>
      </c>
      <c r="N81" s="39">
        <v>3745.2939499999966</v>
      </c>
      <c r="O81" s="40">
        <v>0.18571749903719223</v>
      </c>
      <c r="P81" s="41">
        <v>4227.7531500000005</v>
      </c>
      <c r="Q81" s="40">
        <v>0.20514334785615171</v>
      </c>
      <c r="R81" s="42">
        <v>-482.45920000000388</v>
      </c>
      <c r="S81" s="43">
        <v>-0.11411716410169402</v>
      </c>
      <c r="T81" s="41">
        <v>4356.0881060784322</v>
      </c>
      <c r="U81" s="40">
        <v>0.2094447185545954</v>
      </c>
      <c r="V81" s="42">
        <v>-610.79415607843566</v>
      </c>
      <c r="W81" s="44">
        <v>-0.1402162080298929</v>
      </c>
    </row>
    <row r="82" spans="2:23" ht="18.399999999999999" x14ac:dyDescent="0.85">
      <c r="B82" s="48">
        <v>301</v>
      </c>
      <c r="C82" s="49" t="s">
        <v>3</v>
      </c>
      <c r="D82" s="41">
        <v>-395.69222000000002</v>
      </c>
      <c r="E82" s="40">
        <v>-0.11581972173854024</v>
      </c>
      <c r="F82" s="41">
        <v>-339.62629999999996</v>
      </c>
      <c r="G82" s="40">
        <v>-8.815098088702239E-2</v>
      </c>
      <c r="H82" s="42">
        <v>-56.065920000000062</v>
      </c>
      <c r="I82" s="43">
        <v>-0.16508120837520554</v>
      </c>
      <c r="J82" s="41">
        <v>-415.94490000000008</v>
      </c>
      <c r="K82" s="40">
        <v>-0.13154554395652279</v>
      </c>
      <c r="L82" s="42">
        <v>20.252680000000055</v>
      </c>
      <c r="M82" s="44">
        <v>4.8690776110008924E-2</v>
      </c>
      <c r="N82" s="39">
        <v>-1635.6885199999992</v>
      </c>
      <c r="O82" s="40">
        <v>-8.1108715415580804E-2</v>
      </c>
      <c r="P82" s="41">
        <v>-1420.4466599999996</v>
      </c>
      <c r="Q82" s="40">
        <v>-6.8924360752587635E-2</v>
      </c>
      <c r="R82" s="42">
        <v>-215.24185999999963</v>
      </c>
      <c r="S82" s="43">
        <v>-0.15153111064374616</v>
      </c>
      <c r="T82" s="41">
        <v>-1572.50227</v>
      </c>
      <c r="U82" s="40">
        <v>-7.5607353971339136E-2</v>
      </c>
      <c r="V82" s="42">
        <v>-63.186249999999291</v>
      </c>
      <c r="W82" s="44">
        <v>-4.0181976971008948E-2</v>
      </c>
    </row>
    <row r="83" spans="2:23" ht="18.399999999999999" x14ac:dyDescent="0.85">
      <c r="B83" s="48">
        <v>301</v>
      </c>
      <c r="C83" s="49" t="s">
        <v>4</v>
      </c>
      <c r="D83" s="41">
        <v>-106.55596999999997</v>
      </c>
      <c r="E83" s="40">
        <v>-3.1189096401693817E-2</v>
      </c>
      <c r="F83" s="41">
        <v>-106.36089</v>
      </c>
      <c r="G83" s="40">
        <v>-2.7606274253544828E-2</v>
      </c>
      <c r="H83" s="42">
        <v>-0.19507999999997594</v>
      </c>
      <c r="I83" s="43">
        <v>-1.8341328283354526E-3</v>
      </c>
      <c r="J83" s="41">
        <v>-75.762130000000013</v>
      </c>
      <c r="K83" s="40">
        <v>-2.3960314460292204E-2</v>
      </c>
      <c r="L83" s="42">
        <v>-30.79383999999996</v>
      </c>
      <c r="M83" s="44">
        <v>-0.40645425359609022</v>
      </c>
      <c r="N83" s="39">
        <v>-388.83961999999997</v>
      </c>
      <c r="O83" s="40">
        <v>-1.9281349532784268E-2</v>
      </c>
      <c r="P83" s="41">
        <v>-475.52009000000004</v>
      </c>
      <c r="Q83" s="40">
        <v>-2.3073670522948713E-2</v>
      </c>
      <c r="R83" s="42">
        <v>86.680470000000071</v>
      </c>
      <c r="S83" s="43">
        <v>0.18228561068786822</v>
      </c>
      <c r="T83" s="41">
        <v>-473.40408999999994</v>
      </c>
      <c r="U83" s="40">
        <v>-2.2761703615289338E-2</v>
      </c>
      <c r="V83" s="42">
        <v>84.564469999999972</v>
      </c>
      <c r="W83" s="44">
        <v>0.17863062822292047</v>
      </c>
    </row>
    <row r="84" spans="2:23" ht="18.399999999999999" x14ac:dyDescent="0.85">
      <c r="B84" s="48">
        <v>301</v>
      </c>
      <c r="C84" s="49" t="s">
        <v>60</v>
      </c>
      <c r="D84" s="41">
        <v>-225</v>
      </c>
      <c r="E84" s="40">
        <v>-6.5857846260337277E-2</v>
      </c>
      <c r="F84" s="41">
        <v>-225</v>
      </c>
      <c r="G84" s="40">
        <v>-5.8399395746383718E-2</v>
      </c>
      <c r="H84" s="42">
        <v>0</v>
      </c>
      <c r="I84" s="43">
        <v>0</v>
      </c>
      <c r="J84" s="41">
        <v>-225</v>
      </c>
      <c r="K84" s="40">
        <v>-7.1157856221383223E-2</v>
      </c>
      <c r="L84" s="42">
        <v>0</v>
      </c>
      <c r="M84" s="44">
        <v>0</v>
      </c>
      <c r="N84" s="39">
        <v>-900</v>
      </c>
      <c r="O84" s="40">
        <v>-4.4628205787017906E-2</v>
      </c>
      <c r="P84" s="41">
        <v>-900</v>
      </c>
      <c r="Q84" s="40">
        <v>-4.3670717404713309E-2</v>
      </c>
      <c r="R84" s="42">
        <v>0</v>
      </c>
      <c r="S84" s="43">
        <v>0</v>
      </c>
      <c r="T84" s="41">
        <v>-900</v>
      </c>
      <c r="U84" s="40">
        <v>-4.3272826928386708E-2</v>
      </c>
      <c r="V84" s="42">
        <v>0</v>
      </c>
      <c r="W84" s="44">
        <v>0</v>
      </c>
    </row>
    <row r="85" spans="2:23" ht="18.399999999999999" x14ac:dyDescent="0.85">
      <c r="B85" s="48">
        <v>301</v>
      </c>
      <c r="C85" s="49" t="s">
        <v>61</v>
      </c>
      <c r="D85" s="41">
        <v>137.86991000000012</v>
      </c>
      <c r="E85" s="40">
        <v>4.0354734829806865E-2</v>
      </c>
      <c r="F85" s="41">
        <v>334.71149000000082</v>
      </c>
      <c r="G85" s="40">
        <v>8.6875327846096903E-2</v>
      </c>
      <c r="H85" s="42">
        <v>-196.8415800000007</v>
      </c>
      <c r="I85" s="43">
        <v>-0.58809328595203059</v>
      </c>
      <c r="J85" s="41">
        <v>97.195572684502849</v>
      </c>
      <c r="K85" s="40">
        <v>3.0738793717506027E-2</v>
      </c>
      <c r="L85" s="42">
        <v>40.674337315497269</v>
      </c>
      <c r="M85" s="44">
        <v>0.41847932155846546</v>
      </c>
      <c r="N85" s="39">
        <v>820.76580999999715</v>
      </c>
      <c r="O85" s="40">
        <v>4.0699228301809234E-2</v>
      </c>
      <c r="P85" s="41">
        <v>1431.7864000000009</v>
      </c>
      <c r="Q85" s="40">
        <v>6.9474599175902055E-2</v>
      </c>
      <c r="R85" s="42">
        <v>-611.02059000000372</v>
      </c>
      <c r="S85" s="43">
        <v>-0.42675401163190496</v>
      </c>
      <c r="T85" s="41">
        <v>1410.1817460784323</v>
      </c>
      <c r="U85" s="40">
        <v>6.7802834039580193E-2</v>
      </c>
      <c r="V85" s="42">
        <v>-589.41593607843515</v>
      </c>
      <c r="W85" s="44">
        <v>-0.41797161090585599</v>
      </c>
    </row>
    <row r="86" spans="2:23" ht="18.399999999999999" x14ac:dyDescent="0.85">
      <c r="B86" s="48">
        <v>301</v>
      </c>
      <c r="C86" s="49" t="s">
        <v>62</v>
      </c>
      <c r="D86" s="41">
        <v>-168.53835000000001</v>
      </c>
      <c r="E86" s="40">
        <v>-4.9331434414537398E-2</v>
      </c>
      <c r="F86" s="41">
        <v>-161.48013000000003</v>
      </c>
      <c r="G86" s="40">
        <v>-4.1912631186877741E-2</v>
      </c>
      <c r="H86" s="42">
        <v>-7.0582199999999773</v>
      </c>
      <c r="I86" s="43">
        <v>-4.3709526367113873E-2</v>
      </c>
      <c r="J86" s="41">
        <v>-78.177239999999998</v>
      </c>
      <c r="K86" s="40">
        <v>-2.4724110238686973E-2</v>
      </c>
      <c r="L86" s="42">
        <v>-90.361110000000011</v>
      </c>
      <c r="M86" s="44">
        <v>-1.1558493239208754</v>
      </c>
      <c r="N86" s="39">
        <v>-680.79158000000007</v>
      </c>
      <c r="O86" s="40">
        <v>-3.3758340811454519E-2</v>
      </c>
      <c r="P86" s="41">
        <v>-587.51643000000013</v>
      </c>
      <c r="Q86" s="40">
        <v>-2.8508071094617816E-2</v>
      </c>
      <c r="R86" s="42">
        <v>-93.27514999999994</v>
      </c>
      <c r="S86" s="43">
        <v>-0.15876177284097387</v>
      </c>
      <c r="T86" s="41">
        <v>-282.33336000000003</v>
      </c>
      <c r="U86" s="40">
        <v>-1.3574847359322111E-2</v>
      </c>
      <c r="V86" s="42">
        <v>-398.45822000000004</v>
      </c>
      <c r="W86" s="44">
        <v>-1.4113040697705719</v>
      </c>
    </row>
    <row r="87" spans="2:23" ht="18.399999999999999" x14ac:dyDescent="0.85">
      <c r="B87" s="48">
        <v>301</v>
      </c>
      <c r="C87" s="50" t="s">
        <v>5</v>
      </c>
      <c r="D87" s="51">
        <v>-30.66843999999989</v>
      </c>
      <c r="E87" s="52">
        <v>-8.9766995847305377E-3</v>
      </c>
      <c r="F87" s="51">
        <v>173.23136000000079</v>
      </c>
      <c r="G87" s="52">
        <v>4.4962696659219169E-2</v>
      </c>
      <c r="H87" s="53">
        <v>-203.89980000000068</v>
      </c>
      <c r="I87" s="54">
        <v>-1.1770374601919638</v>
      </c>
      <c r="J87" s="51">
        <v>19.018332684502852</v>
      </c>
      <c r="K87" s="52">
        <v>6.0146834788190537E-3</v>
      </c>
      <c r="L87" s="53">
        <v>-49.686772684502742</v>
      </c>
      <c r="M87" s="55">
        <v>-2.6125724851259</v>
      </c>
      <c r="N87" s="56">
        <v>139.97422999999708</v>
      </c>
      <c r="O87" s="52">
        <v>6.9408874903547167E-3</v>
      </c>
      <c r="P87" s="51">
        <v>844.26997000000074</v>
      </c>
      <c r="Q87" s="52">
        <v>4.0966528081284238E-2</v>
      </c>
      <c r="R87" s="53">
        <v>-704.29574000000366</v>
      </c>
      <c r="S87" s="54">
        <v>-0.83420678814384819</v>
      </c>
      <c r="T87" s="51">
        <v>1127.8483860784322</v>
      </c>
      <c r="U87" s="52">
        <v>5.4227986680258078E-2</v>
      </c>
      <c r="V87" s="53">
        <v>-987.87415607843513</v>
      </c>
      <c r="W87" s="55">
        <v>-0.87589268936519715</v>
      </c>
    </row>
    <row r="88" spans="2:23" ht="18.399999999999999" x14ac:dyDescent="0.85">
      <c r="B88" s="48">
        <v>402</v>
      </c>
      <c r="C88" s="49" t="s">
        <v>1</v>
      </c>
      <c r="D88" s="41">
        <v>4092.1138599999999</v>
      </c>
      <c r="E88" s="40">
        <v>1</v>
      </c>
      <c r="F88" s="41">
        <v>3862.17983</v>
      </c>
      <c r="G88" s="40">
        <v>1</v>
      </c>
      <c r="H88" s="42">
        <v>229.93402999999989</v>
      </c>
      <c r="I88" s="43">
        <v>5.953478090635668E-2</v>
      </c>
      <c r="J88" s="41">
        <v>4076.7257799999988</v>
      </c>
      <c r="K88" s="40">
        <v>1</v>
      </c>
      <c r="L88" s="42">
        <v>15.388080000001082</v>
      </c>
      <c r="M88" s="44">
        <v>3.7746173842482696E-3</v>
      </c>
      <c r="N88" s="39">
        <v>20081.158530000001</v>
      </c>
      <c r="O88" s="40">
        <v>1</v>
      </c>
      <c r="P88" s="41">
        <v>20121.194609999995</v>
      </c>
      <c r="Q88" s="40">
        <v>1</v>
      </c>
      <c r="R88" s="42">
        <v>-40.036079999994399</v>
      </c>
      <c r="S88" s="43">
        <v>-1.9897466714077178E-3</v>
      </c>
      <c r="T88" s="41">
        <v>19160.678969999997</v>
      </c>
      <c r="U88" s="40">
        <v>1</v>
      </c>
      <c r="V88" s="42">
        <v>920.4795600000034</v>
      </c>
      <c r="W88" s="44">
        <v>4.8040028301773875E-2</v>
      </c>
    </row>
    <row r="89" spans="2:23" ht="18.399999999999999" x14ac:dyDescent="0.85">
      <c r="B89" s="48">
        <v>402</v>
      </c>
      <c r="C89" s="49" t="s">
        <v>56</v>
      </c>
      <c r="D89" s="41">
        <v>447.53688999999974</v>
      </c>
      <c r="E89" s="40">
        <v>0.10936569834349617</v>
      </c>
      <c r="F89" s="41">
        <v>451.32198999999991</v>
      </c>
      <c r="G89" s="40">
        <v>0.11685680363568154</v>
      </c>
      <c r="H89" s="42">
        <v>-3.7851000000001704</v>
      </c>
      <c r="I89" s="43">
        <v>-8.386695272703578E-3</v>
      </c>
      <c r="J89" s="41">
        <v>570.33642984953804</v>
      </c>
      <c r="K89" s="40">
        <v>0.13990061157597364</v>
      </c>
      <c r="L89" s="42">
        <v>-122.79953984953829</v>
      </c>
      <c r="M89" s="44">
        <v>-0.21531070684356313</v>
      </c>
      <c r="N89" s="39">
        <v>1480.2832299999998</v>
      </c>
      <c r="O89" s="40">
        <v>7.3715031320954361E-2</v>
      </c>
      <c r="P89" s="41">
        <v>1465.0470300000015</v>
      </c>
      <c r="Q89" s="40">
        <v>7.2811135640619001E-2</v>
      </c>
      <c r="R89" s="42">
        <v>15.236199999998234</v>
      </c>
      <c r="S89" s="43">
        <v>1.0399802660258776E-2</v>
      </c>
      <c r="T89" s="41">
        <v>1988.2945246544484</v>
      </c>
      <c r="U89" s="40">
        <v>0.10376952339567583</v>
      </c>
      <c r="V89" s="42">
        <v>-508.01129465444865</v>
      </c>
      <c r="W89" s="44">
        <v>-0.25550102781816864</v>
      </c>
    </row>
    <row r="90" spans="2:23" ht="18.399999999999999" x14ac:dyDescent="0.85">
      <c r="B90" s="48">
        <v>402</v>
      </c>
      <c r="C90" s="49" t="s">
        <v>57</v>
      </c>
      <c r="D90" s="41">
        <v>1273.10481</v>
      </c>
      <c r="E90" s="40">
        <v>0.31111177585855349</v>
      </c>
      <c r="F90" s="41">
        <v>1223.8591600000011</v>
      </c>
      <c r="G90" s="40">
        <v>0.31688300749061732</v>
      </c>
      <c r="H90" s="42">
        <v>49.245649999998932</v>
      </c>
      <c r="I90" s="43">
        <v>4.0238004183421633E-2</v>
      </c>
      <c r="J90" s="41">
        <v>1344.6697398495387</v>
      </c>
      <c r="K90" s="40">
        <v>0.32984061534046549</v>
      </c>
      <c r="L90" s="42">
        <v>-71.564929849538657</v>
      </c>
      <c r="M90" s="44">
        <v>-5.3221194564508002E-2</v>
      </c>
      <c r="N90" s="39">
        <v>5532.2874500000016</v>
      </c>
      <c r="O90" s="40">
        <v>0.27549642824317672</v>
      </c>
      <c r="P90" s="41">
        <v>5342.3604800000039</v>
      </c>
      <c r="Q90" s="40">
        <v>0.26550911034600871</v>
      </c>
      <c r="R90" s="42">
        <v>189.92696999999771</v>
      </c>
      <c r="S90" s="43">
        <v>3.5551133382148256E-2</v>
      </c>
      <c r="T90" s="41">
        <v>5488.6640546544459</v>
      </c>
      <c r="U90" s="40">
        <v>0.28645456996842772</v>
      </c>
      <c r="V90" s="42">
        <v>43.623395345555764</v>
      </c>
      <c r="W90" s="44">
        <v>7.9479077078078147E-3</v>
      </c>
    </row>
    <row r="91" spans="2:23" ht="18.399999999999999" x14ac:dyDescent="0.85">
      <c r="B91" s="48">
        <v>402</v>
      </c>
      <c r="C91" s="49" t="s">
        <v>2</v>
      </c>
      <c r="D91" s="41">
        <v>-18.360139999999998</v>
      </c>
      <c r="E91" s="40">
        <v>-4.4867128892645226E-3</v>
      </c>
      <c r="F91" s="41">
        <v>-25.157909999999998</v>
      </c>
      <c r="G91" s="40">
        <v>-6.5139147081092795E-3</v>
      </c>
      <c r="H91" s="42">
        <v>6.7977699999999999</v>
      </c>
      <c r="I91" s="43">
        <v>0.27020408293057735</v>
      </c>
      <c r="J91" s="41">
        <v>-38.340619999999994</v>
      </c>
      <c r="K91" s="40">
        <v>-9.404758148829918E-3</v>
      </c>
      <c r="L91" s="42">
        <v>19.980479999999996</v>
      </c>
      <c r="M91" s="44">
        <v>0.52113085286570737</v>
      </c>
      <c r="N91" s="39">
        <v>-64.262160000000009</v>
      </c>
      <c r="O91" s="40">
        <v>-3.2001221395666162E-3</v>
      </c>
      <c r="P91" s="41">
        <v>-128.92507000000001</v>
      </c>
      <c r="Q91" s="40">
        <v>-6.4074262238846286E-3</v>
      </c>
      <c r="R91" s="42">
        <v>64.662909999999997</v>
      </c>
      <c r="S91" s="43">
        <v>0.50155419733338125</v>
      </c>
      <c r="T91" s="41">
        <v>-148.92064999999997</v>
      </c>
      <c r="U91" s="40">
        <v>-7.7722010912643557E-3</v>
      </c>
      <c r="V91" s="42">
        <v>84.658489999999958</v>
      </c>
      <c r="W91" s="44">
        <v>0.5684805297317731</v>
      </c>
    </row>
    <row r="92" spans="2:23" ht="18.399999999999999" x14ac:dyDescent="0.85">
      <c r="B92" s="48">
        <v>402</v>
      </c>
      <c r="C92" s="49" t="s">
        <v>58</v>
      </c>
      <c r="D92" s="41">
        <v>-80.981229999999996</v>
      </c>
      <c r="E92" s="40">
        <v>-1.9789583762950331E-2</v>
      </c>
      <c r="F92" s="41">
        <v>-77.347550000000012</v>
      </c>
      <c r="G92" s="40">
        <v>-2.0026915732714604E-2</v>
      </c>
      <c r="H92" s="42">
        <v>-3.633679999999984</v>
      </c>
      <c r="I92" s="43">
        <v>-4.6978605010759664E-2</v>
      </c>
      <c r="J92" s="41">
        <v>-78.731659999999991</v>
      </c>
      <c r="K92" s="40">
        <v>-1.9312473845125785E-2</v>
      </c>
      <c r="L92" s="42">
        <v>-2.2495700000000056</v>
      </c>
      <c r="M92" s="44">
        <v>-2.857262250027506E-2</v>
      </c>
      <c r="N92" s="39">
        <v>-370.63342</v>
      </c>
      <c r="O92" s="40">
        <v>-1.8456774764578285E-2</v>
      </c>
      <c r="P92" s="41">
        <v>-399.73025999999993</v>
      </c>
      <c r="Q92" s="40">
        <v>-1.9866129608494456E-2</v>
      </c>
      <c r="R92" s="42">
        <v>29.096839999999929</v>
      </c>
      <c r="S92" s="43">
        <v>7.2791186736775787E-2</v>
      </c>
      <c r="T92" s="41">
        <v>-347.71074999999996</v>
      </c>
      <c r="U92" s="40">
        <v>-1.814709961710715E-2</v>
      </c>
      <c r="V92" s="42">
        <v>-22.922670000000039</v>
      </c>
      <c r="W92" s="44">
        <v>-6.5924536414246726E-2</v>
      </c>
    </row>
    <row r="93" spans="2:23" ht="18.399999999999999" x14ac:dyDescent="0.85">
      <c r="B93" s="48">
        <v>402</v>
      </c>
      <c r="C93" s="49" t="s">
        <v>59</v>
      </c>
      <c r="D93" s="41">
        <v>1173.7634399999999</v>
      </c>
      <c r="E93" s="40">
        <v>0.28683547920633862</v>
      </c>
      <c r="F93" s="41">
        <v>1121.3537000000013</v>
      </c>
      <c r="G93" s="40">
        <v>0.29034217704979348</v>
      </c>
      <c r="H93" s="42">
        <v>52.409739999998692</v>
      </c>
      <c r="I93" s="43">
        <v>4.6737920425998176E-2</v>
      </c>
      <c r="J93" s="41">
        <v>1227.5974598495386</v>
      </c>
      <c r="K93" s="40">
        <v>0.30112338334650973</v>
      </c>
      <c r="L93" s="42">
        <v>-53.834019849538663</v>
      </c>
      <c r="M93" s="44">
        <v>-4.3853153505332983E-2</v>
      </c>
      <c r="N93" s="39">
        <v>5097.3918700000022</v>
      </c>
      <c r="O93" s="40">
        <v>0.25383953133903187</v>
      </c>
      <c r="P93" s="41">
        <v>4813.7051500000043</v>
      </c>
      <c r="Q93" s="40">
        <v>0.23923555451362963</v>
      </c>
      <c r="R93" s="42">
        <v>283.68671999999788</v>
      </c>
      <c r="S93" s="43">
        <v>5.893313178934477E-2</v>
      </c>
      <c r="T93" s="41">
        <v>4992.0326546544457</v>
      </c>
      <c r="U93" s="40">
        <v>0.26053526926005621</v>
      </c>
      <c r="V93" s="42">
        <v>105.35921534555655</v>
      </c>
      <c r="W93" s="44">
        <v>2.1105473989101869E-2</v>
      </c>
    </row>
    <row r="94" spans="2:23" ht="18.399999999999999" x14ac:dyDescent="0.85">
      <c r="B94" s="48">
        <v>402</v>
      </c>
      <c r="C94" s="49" t="s">
        <v>3</v>
      </c>
      <c r="D94" s="41">
        <v>-373.2289399999998</v>
      </c>
      <c r="E94" s="40">
        <v>-9.1206880543641525E-2</v>
      </c>
      <c r="F94" s="41">
        <v>-328.72383999999994</v>
      </c>
      <c r="G94" s="40">
        <v>-8.5113551017638636E-2</v>
      </c>
      <c r="H94" s="42">
        <v>-44.505099999999857</v>
      </c>
      <c r="I94" s="43">
        <v>-0.13538750338277827</v>
      </c>
      <c r="J94" s="41">
        <v>-345.19404000000003</v>
      </c>
      <c r="K94" s="40">
        <v>-8.4674333920983058E-2</v>
      </c>
      <c r="L94" s="42">
        <v>-28.034899999999766</v>
      </c>
      <c r="M94" s="44">
        <v>-8.1214901624604416E-2</v>
      </c>
      <c r="N94" s="39">
        <v>-1307.7717000000002</v>
      </c>
      <c r="O94" s="40">
        <v>-6.5124315315088555E-2</v>
      </c>
      <c r="P94" s="41">
        <v>-1349.1993599999998</v>
      </c>
      <c r="Q94" s="40">
        <v>-6.7053641006457124E-2</v>
      </c>
      <c r="R94" s="42">
        <v>41.427659999999605</v>
      </c>
      <c r="S94" s="43">
        <v>3.0705365884549196E-2</v>
      </c>
      <c r="T94" s="41">
        <v>-1293.7509000000002</v>
      </c>
      <c r="U94" s="40">
        <v>-6.7521140666551252E-2</v>
      </c>
      <c r="V94" s="42">
        <v>-14.020800000000008</v>
      </c>
      <c r="W94" s="44">
        <v>-1.0837325794324089E-2</v>
      </c>
    </row>
    <row r="95" spans="2:23" ht="18.399999999999999" x14ac:dyDescent="0.85">
      <c r="B95" s="48">
        <v>402</v>
      </c>
      <c r="C95" s="49" t="s">
        <v>4</v>
      </c>
      <c r="D95" s="41">
        <v>-148.65137000000001</v>
      </c>
      <c r="E95" s="40">
        <v>-3.6326303491467371E-2</v>
      </c>
      <c r="F95" s="41">
        <v>-130.87988999999999</v>
      </c>
      <c r="G95" s="40">
        <v>-3.3887570170444394E-2</v>
      </c>
      <c r="H95" s="42">
        <v>-17.771480000000025</v>
      </c>
      <c r="I95" s="43">
        <v>-0.13578464957450703</v>
      </c>
      <c r="J95" s="41">
        <v>-105.23997</v>
      </c>
      <c r="K95" s="40">
        <v>-2.5814826819183317E-2</v>
      </c>
      <c r="L95" s="42">
        <v>-43.411400000000015</v>
      </c>
      <c r="M95" s="44">
        <v>-0.41249916737908626</v>
      </c>
      <c r="N95" s="39">
        <v>-570.40420000000006</v>
      </c>
      <c r="O95" s="40">
        <v>-2.8404944821677082E-2</v>
      </c>
      <c r="P95" s="41">
        <v>-570.27540999999997</v>
      </c>
      <c r="Q95" s="40">
        <v>-2.8342025463864846E-2</v>
      </c>
      <c r="R95" s="42">
        <v>-0.12879000000009455</v>
      </c>
      <c r="S95" s="43">
        <v>-2.2583824892624172E-4</v>
      </c>
      <c r="T95" s="41">
        <v>-480.30593000000005</v>
      </c>
      <c r="U95" s="40">
        <v>-2.5067270880745837E-2</v>
      </c>
      <c r="V95" s="42">
        <v>-90.098270000000014</v>
      </c>
      <c r="W95" s="44">
        <v>-0.18758517097634003</v>
      </c>
    </row>
    <row r="96" spans="2:23" ht="18.399999999999999" x14ac:dyDescent="0.85">
      <c r="B96" s="48">
        <v>402</v>
      </c>
      <c r="C96" s="49" t="s">
        <v>60</v>
      </c>
      <c r="D96" s="41">
        <v>-102.73019000000001</v>
      </c>
      <c r="E96" s="40">
        <v>-2.5104430989610835E-2</v>
      </c>
      <c r="F96" s="41">
        <v>-96.978759999999994</v>
      </c>
      <c r="G96" s="40">
        <v>-2.5109850982780364E-2</v>
      </c>
      <c r="H96" s="42">
        <v>-5.7514300000000134</v>
      </c>
      <c r="I96" s="43">
        <v>-5.9306078980593417E-2</v>
      </c>
      <c r="J96" s="41">
        <v>-101.96741</v>
      </c>
      <c r="K96" s="40">
        <v>-2.5012084575381968E-2</v>
      </c>
      <c r="L96" s="42">
        <v>-0.76278000000000645</v>
      </c>
      <c r="M96" s="44">
        <v>-7.4806254272811916E-3</v>
      </c>
      <c r="N96" s="39">
        <v>-507.82747000000001</v>
      </c>
      <c r="O96" s="40">
        <v>-2.5288753596628272E-2</v>
      </c>
      <c r="P96" s="41">
        <v>-505.16466000000003</v>
      </c>
      <c r="Q96" s="40">
        <v>-2.5106096819367731E-2</v>
      </c>
      <c r="R96" s="42">
        <v>-2.662809999999979</v>
      </c>
      <c r="S96" s="43">
        <v>-5.271172373776065E-3</v>
      </c>
      <c r="T96" s="41">
        <v>-480.60654999999997</v>
      </c>
      <c r="U96" s="40">
        <v>-2.5082960303885307E-2</v>
      </c>
      <c r="V96" s="42">
        <v>-27.220920000000035</v>
      </c>
      <c r="W96" s="44">
        <v>-5.6638678769567408E-2</v>
      </c>
    </row>
    <row r="97" spans="2:23" ht="18.399999999999999" x14ac:dyDescent="0.85">
      <c r="B97" s="48">
        <v>402</v>
      </c>
      <c r="C97" s="49" t="s">
        <v>61</v>
      </c>
      <c r="D97" s="41">
        <v>549.15294000000017</v>
      </c>
      <c r="E97" s="40">
        <v>0.13419786418161889</v>
      </c>
      <c r="F97" s="41">
        <v>564.77121000000136</v>
      </c>
      <c r="G97" s="40">
        <v>0.14623120487893007</v>
      </c>
      <c r="H97" s="42">
        <v>-15.618270000001189</v>
      </c>
      <c r="I97" s="43">
        <v>-2.7654153971483693E-2</v>
      </c>
      <c r="J97" s="41">
        <v>675.19603984953858</v>
      </c>
      <c r="K97" s="40">
        <v>0.1656221380309614</v>
      </c>
      <c r="L97" s="42">
        <v>-126.04309984953841</v>
      </c>
      <c r="M97" s="44">
        <v>-0.18667630200797089</v>
      </c>
      <c r="N97" s="39">
        <v>2711.3885000000018</v>
      </c>
      <c r="O97" s="40">
        <v>0.13502151760563796</v>
      </c>
      <c r="P97" s="41">
        <v>2389.0657200000046</v>
      </c>
      <c r="Q97" s="40">
        <v>0.11873379122393991</v>
      </c>
      <c r="R97" s="42">
        <v>322.32277999999724</v>
      </c>
      <c r="S97" s="43">
        <v>0.13491582810036579</v>
      </c>
      <c r="T97" s="41">
        <v>2737.3692746544457</v>
      </c>
      <c r="U97" s="40">
        <v>0.14286389740887381</v>
      </c>
      <c r="V97" s="42">
        <v>-25.980774654443849</v>
      </c>
      <c r="W97" s="44">
        <v>-9.491147173675921E-3</v>
      </c>
    </row>
    <row r="98" spans="2:23" ht="18.399999999999999" x14ac:dyDescent="0.85">
      <c r="B98" s="48">
        <v>402</v>
      </c>
      <c r="C98" s="49" t="s">
        <v>62</v>
      </c>
      <c r="D98" s="41">
        <v>-153.17684000000003</v>
      </c>
      <c r="E98" s="40">
        <v>-3.743220380480812E-2</v>
      </c>
      <c r="F98" s="41">
        <v>-146.06106</v>
      </c>
      <c r="G98" s="40">
        <v>-3.7818295995813329E-2</v>
      </c>
      <c r="H98" s="42">
        <v>-7.1157800000000293</v>
      </c>
      <c r="I98" s="43">
        <v>-4.8717844441222249E-2</v>
      </c>
      <c r="J98" s="41">
        <v>-149.00744</v>
      </c>
      <c r="K98" s="40">
        <v>-3.6550763539459859E-2</v>
      </c>
      <c r="L98" s="42">
        <v>-4.1694000000000244</v>
      </c>
      <c r="M98" s="44">
        <v>-2.7981153155842584E-2</v>
      </c>
      <c r="N98" s="39">
        <v>-611.54353000000015</v>
      </c>
      <c r="O98" s="40">
        <v>-3.0453598037503273E-2</v>
      </c>
      <c r="P98" s="41">
        <v>-586.45099000000005</v>
      </c>
      <c r="Q98" s="40">
        <v>-2.9145933000843841E-2</v>
      </c>
      <c r="R98" s="42">
        <v>-25.092540000000099</v>
      </c>
      <c r="S98" s="43">
        <v>-4.2787104852530129E-2</v>
      </c>
      <c r="T98" s="41">
        <v>-615.07577000000003</v>
      </c>
      <c r="U98" s="40">
        <v>-3.2100938122444841E-2</v>
      </c>
      <c r="V98" s="42">
        <v>3.5322399999998879</v>
      </c>
      <c r="W98" s="44">
        <v>5.7427721465924233E-3</v>
      </c>
    </row>
    <row r="99" spans="2:23" ht="18.399999999999999" x14ac:dyDescent="0.85">
      <c r="B99" s="48">
        <v>402</v>
      </c>
      <c r="C99" s="50" t="s">
        <v>5</v>
      </c>
      <c r="D99" s="51">
        <v>395.97610000000014</v>
      </c>
      <c r="E99" s="52">
        <v>9.6765660376810766E-2</v>
      </c>
      <c r="F99" s="51">
        <v>418.71015000000136</v>
      </c>
      <c r="G99" s="52">
        <v>0.10841290888311675</v>
      </c>
      <c r="H99" s="53">
        <v>-22.734050000001218</v>
      </c>
      <c r="I99" s="54">
        <v>-5.429543563728069E-2</v>
      </c>
      <c r="J99" s="51">
        <v>526.1885998495386</v>
      </c>
      <c r="K99" s="52">
        <v>0.12907137449150155</v>
      </c>
      <c r="L99" s="53">
        <v>-130.21249984953846</v>
      </c>
      <c r="M99" s="55">
        <v>-0.2474635518268016</v>
      </c>
      <c r="N99" s="56">
        <v>2099.8449700000019</v>
      </c>
      <c r="O99" s="52">
        <v>0.10456791956813469</v>
      </c>
      <c r="P99" s="51">
        <v>1802.6147300000046</v>
      </c>
      <c r="Q99" s="52">
        <v>8.9587858223096076E-2</v>
      </c>
      <c r="R99" s="53">
        <v>297.23023999999737</v>
      </c>
      <c r="S99" s="54">
        <v>0.16488838965606178</v>
      </c>
      <c r="T99" s="51">
        <v>2122.2935046544458</v>
      </c>
      <c r="U99" s="52">
        <v>0.11076295928642899</v>
      </c>
      <c r="V99" s="53">
        <v>-22.448534654443847</v>
      </c>
      <c r="W99" s="55">
        <v>-1.0577488271632317E-2</v>
      </c>
    </row>
    <row r="100" spans="2:23" ht="18.399999999999999" x14ac:dyDescent="0.85">
      <c r="B100" s="48">
        <v>403</v>
      </c>
      <c r="C100" s="49" t="s">
        <v>1</v>
      </c>
      <c r="D100" s="41">
        <v>3317.2820499999993</v>
      </c>
      <c r="E100" s="40">
        <v>1</v>
      </c>
      <c r="F100" s="41">
        <v>3422.2209899999998</v>
      </c>
      <c r="G100" s="40">
        <v>1</v>
      </c>
      <c r="H100" s="42">
        <v>-104.93894000000046</v>
      </c>
      <c r="I100" s="43">
        <v>-3.0663987015052602E-2</v>
      </c>
      <c r="J100" s="41">
        <v>3608.0828499999998</v>
      </c>
      <c r="K100" s="40">
        <v>1</v>
      </c>
      <c r="L100" s="42">
        <v>-290.80080000000044</v>
      </c>
      <c r="M100" s="44">
        <v>-8.0597040613964957E-2</v>
      </c>
      <c r="N100" s="39">
        <v>17491.603319999998</v>
      </c>
      <c r="O100" s="40">
        <v>1</v>
      </c>
      <c r="P100" s="41">
        <v>18027.35627</v>
      </c>
      <c r="Q100" s="40">
        <v>1</v>
      </c>
      <c r="R100" s="42">
        <v>-535.75295000000187</v>
      </c>
      <c r="S100" s="43">
        <v>-2.9718886229123262E-2</v>
      </c>
      <c r="T100" s="41">
        <v>17875.27145</v>
      </c>
      <c r="U100" s="40">
        <v>1</v>
      </c>
      <c r="V100" s="42">
        <v>-383.66813000000184</v>
      </c>
      <c r="W100" s="44">
        <v>-2.1463625381756193E-2</v>
      </c>
    </row>
    <row r="101" spans="2:23" ht="18.399999999999999" x14ac:dyDescent="0.85">
      <c r="B101" s="48">
        <v>403</v>
      </c>
      <c r="C101" s="49" t="s">
        <v>56</v>
      </c>
      <c r="D101" s="41">
        <v>217.29031000000001</v>
      </c>
      <c r="E101" s="40">
        <v>6.5502512817684599E-2</v>
      </c>
      <c r="F101" s="41">
        <v>275.71285999999958</v>
      </c>
      <c r="G101" s="40">
        <v>8.0565475112698556E-2</v>
      </c>
      <c r="H101" s="42">
        <v>-58.422549999999575</v>
      </c>
      <c r="I101" s="43">
        <v>-0.21189635478011312</v>
      </c>
      <c r="J101" s="41">
        <v>324.86721459418095</v>
      </c>
      <c r="K101" s="40">
        <v>9.0038734724226466E-2</v>
      </c>
      <c r="L101" s="42">
        <v>-107.57690459418095</v>
      </c>
      <c r="M101" s="44">
        <v>-0.33114115479016354</v>
      </c>
      <c r="N101" s="39">
        <v>457.02187000000032</v>
      </c>
      <c r="O101" s="40">
        <v>2.6128071946237136E-2</v>
      </c>
      <c r="P101" s="41">
        <v>562.02675000000124</v>
      </c>
      <c r="Q101" s="40">
        <v>3.1176326777059987E-2</v>
      </c>
      <c r="R101" s="42">
        <v>-105.00488000000092</v>
      </c>
      <c r="S101" s="43">
        <v>-0.18683253065801705</v>
      </c>
      <c r="T101" s="41">
        <v>485.75011270140124</v>
      </c>
      <c r="U101" s="40">
        <v>2.7174418808694579E-2</v>
      </c>
      <c r="V101" s="42">
        <v>-28.728242701400916</v>
      </c>
      <c r="W101" s="44">
        <v>-5.9142019631523275E-2</v>
      </c>
    </row>
    <row r="102" spans="2:23" ht="18.399999999999999" x14ac:dyDescent="0.85">
      <c r="B102" s="48">
        <v>403</v>
      </c>
      <c r="C102" s="49" t="s">
        <v>57</v>
      </c>
      <c r="D102" s="41">
        <v>858.97623000000021</v>
      </c>
      <c r="E102" s="40">
        <v>0.25893976365380217</v>
      </c>
      <c r="F102" s="41">
        <v>928.76253000000008</v>
      </c>
      <c r="G102" s="40">
        <v>0.27139174609527483</v>
      </c>
      <c r="H102" s="42">
        <v>-69.786299999999869</v>
      </c>
      <c r="I102" s="43">
        <v>-7.5139013198562032E-2</v>
      </c>
      <c r="J102" s="41">
        <v>962.53314459418141</v>
      </c>
      <c r="K102" s="40">
        <v>0.26677135326706297</v>
      </c>
      <c r="L102" s="42">
        <v>-103.55691459418119</v>
      </c>
      <c r="M102" s="44">
        <v>-0.10758789468786799</v>
      </c>
      <c r="N102" s="39">
        <v>3820.627300000001</v>
      </c>
      <c r="O102" s="40">
        <v>0.21842636321574216</v>
      </c>
      <c r="P102" s="41">
        <v>3887.6297799999988</v>
      </c>
      <c r="Q102" s="40">
        <v>0.21565168634679668</v>
      </c>
      <c r="R102" s="42">
        <v>-67.002479999997831</v>
      </c>
      <c r="S102" s="43">
        <v>-1.7234789265349708E-2</v>
      </c>
      <c r="T102" s="41">
        <v>3581.875122701405</v>
      </c>
      <c r="U102" s="40">
        <v>0.20038157925156458</v>
      </c>
      <c r="V102" s="42">
        <v>238.75217729859605</v>
      </c>
      <c r="W102" s="44">
        <v>6.6655639607706971E-2</v>
      </c>
    </row>
    <row r="103" spans="2:23" ht="18.399999999999999" x14ac:dyDescent="0.85">
      <c r="B103" s="48">
        <v>403</v>
      </c>
      <c r="C103" s="49" t="s">
        <v>2</v>
      </c>
      <c r="D103" s="41">
        <v>4.438839999999999</v>
      </c>
      <c r="E103" s="40">
        <v>1.3380954447331363E-3</v>
      </c>
      <c r="F103" s="41">
        <v>-20.08934</v>
      </c>
      <c r="G103" s="40">
        <v>-5.870263801987843E-3</v>
      </c>
      <c r="H103" s="42">
        <v>24.528179999999999</v>
      </c>
      <c r="I103" s="43">
        <v>1.220954994041616</v>
      </c>
      <c r="J103" s="41">
        <v>-29.634129999999999</v>
      </c>
      <c r="K103" s="40">
        <v>-8.2132620651989736E-3</v>
      </c>
      <c r="L103" s="42">
        <v>34.072969999999998</v>
      </c>
      <c r="M103" s="44">
        <v>1.1497880990601039</v>
      </c>
      <c r="N103" s="39">
        <v>-52.591270000000009</v>
      </c>
      <c r="O103" s="40">
        <v>-3.0066580540313794E-3</v>
      </c>
      <c r="P103" s="41">
        <v>-104.03198999999999</v>
      </c>
      <c r="Q103" s="40">
        <v>-5.7707846032378877E-3</v>
      </c>
      <c r="R103" s="42">
        <v>51.440719999999985</v>
      </c>
      <c r="S103" s="43">
        <v>0.49447021055734863</v>
      </c>
      <c r="T103" s="41">
        <v>-105.28811000000002</v>
      </c>
      <c r="U103" s="40">
        <v>-5.8901544681157847E-3</v>
      </c>
      <c r="V103" s="42">
        <v>52.696840000000009</v>
      </c>
      <c r="W103" s="44">
        <v>0.50050133866017732</v>
      </c>
    </row>
    <row r="104" spans="2:23" ht="18.399999999999999" x14ac:dyDescent="0.85">
      <c r="B104" s="48">
        <v>403</v>
      </c>
      <c r="C104" s="49" t="s">
        <v>58</v>
      </c>
      <c r="D104" s="41">
        <v>-61.896309999999993</v>
      </c>
      <c r="E104" s="40">
        <v>-1.8658742026473149E-2</v>
      </c>
      <c r="F104" s="41">
        <v>-63.756989999999995</v>
      </c>
      <c r="G104" s="40">
        <v>-1.8630295993830603E-2</v>
      </c>
      <c r="H104" s="42">
        <v>1.8606800000000021</v>
      </c>
      <c r="I104" s="43">
        <v>2.9183937322009749E-2</v>
      </c>
      <c r="J104" s="41">
        <v>-57.472940000000001</v>
      </c>
      <c r="K104" s="40">
        <v>-1.592894132128923E-2</v>
      </c>
      <c r="L104" s="42">
        <v>-4.4233699999999914</v>
      </c>
      <c r="M104" s="44">
        <v>-7.6964394026127619E-2</v>
      </c>
      <c r="N104" s="39">
        <v>-305.91338000000007</v>
      </c>
      <c r="O104" s="40">
        <v>-1.7489156048389055E-2</v>
      </c>
      <c r="P104" s="41">
        <v>-336.35045000000008</v>
      </c>
      <c r="Q104" s="40">
        <v>-1.8657780151587366E-2</v>
      </c>
      <c r="R104" s="42">
        <v>30.437070000000006</v>
      </c>
      <c r="S104" s="43">
        <v>9.0492134022713513E-2</v>
      </c>
      <c r="T104" s="41">
        <v>-272.74923999999999</v>
      </c>
      <c r="U104" s="40">
        <v>-1.5258467025965079E-2</v>
      </c>
      <c r="V104" s="42">
        <v>-33.164140000000089</v>
      </c>
      <c r="W104" s="44">
        <v>-0.12159205283211821</v>
      </c>
    </row>
    <row r="105" spans="2:23" ht="18.399999999999999" x14ac:dyDescent="0.85">
      <c r="B105" s="48">
        <v>403</v>
      </c>
      <c r="C105" s="49" t="s">
        <v>59</v>
      </c>
      <c r="D105" s="41">
        <v>801.51876000000038</v>
      </c>
      <c r="E105" s="40">
        <v>0.24161911707206221</v>
      </c>
      <c r="F105" s="41">
        <v>844.91620000000023</v>
      </c>
      <c r="G105" s="40">
        <v>0.24689118629945644</v>
      </c>
      <c r="H105" s="42">
        <v>-43.397439999999847</v>
      </c>
      <c r="I105" s="43">
        <v>-5.1363010911614472E-2</v>
      </c>
      <c r="J105" s="41">
        <v>875.42607459418139</v>
      </c>
      <c r="K105" s="40">
        <v>0.2426291498805748</v>
      </c>
      <c r="L105" s="42">
        <v>-73.907314594181003</v>
      </c>
      <c r="M105" s="44">
        <v>-8.4424392577570867E-2</v>
      </c>
      <c r="N105" s="39">
        <v>3462.1226500000012</v>
      </c>
      <c r="O105" s="40">
        <v>0.19793054911332172</v>
      </c>
      <c r="P105" s="41">
        <v>3447.2473399999994</v>
      </c>
      <c r="Q105" s="40">
        <v>0.19122312159197147</v>
      </c>
      <c r="R105" s="42">
        <v>14.875310000001718</v>
      </c>
      <c r="S105" s="43">
        <v>4.3151269789656931E-3</v>
      </c>
      <c r="T105" s="41">
        <v>3203.8377727014054</v>
      </c>
      <c r="U105" s="40">
        <v>0.17923295775748374</v>
      </c>
      <c r="V105" s="42">
        <v>258.2848772985958</v>
      </c>
      <c r="W105" s="44">
        <v>8.0617339460610601E-2</v>
      </c>
    </row>
    <row r="106" spans="2:23" ht="18.399999999999999" x14ac:dyDescent="0.85">
      <c r="B106" s="48">
        <v>403</v>
      </c>
      <c r="C106" s="49" t="s">
        <v>3</v>
      </c>
      <c r="D106" s="41">
        <v>-314.3068899999999</v>
      </c>
      <c r="E106" s="40">
        <v>-9.4748316622639897E-2</v>
      </c>
      <c r="F106" s="41">
        <v>-314.05839999999995</v>
      </c>
      <c r="G106" s="40">
        <v>-9.1770344731594899E-2</v>
      </c>
      <c r="H106" s="42">
        <v>-0.24848999999994703</v>
      </c>
      <c r="I106" s="43">
        <v>-7.9122226948856347E-4</v>
      </c>
      <c r="J106" s="41">
        <v>-329.96996999999999</v>
      </c>
      <c r="K106" s="40">
        <v>-9.1452991441147199E-2</v>
      </c>
      <c r="L106" s="42">
        <v>15.663080000000093</v>
      </c>
      <c r="M106" s="44">
        <v>4.7468198393932917E-2</v>
      </c>
      <c r="N106" s="39">
        <v>-1275.7016200000005</v>
      </c>
      <c r="O106" s="40">
        <v>-7.2932229062235593E-2</v>
      </c>
      <c r="P106" s="41">
        <v>-1314.7496699999999</v>
      </c>
      <c r="Q106" s="40">
        <v>-7.2930808617119536E-2</v>
      </c>
      <c r="R106" s="42">
        <v>39.048049999999421</v>
      </c>
      <c r="S106" s="43">
        <v>2.9699988439623966E-2</v>
      </c>
      <c r="T106" s="41">
        <v>-1232.5590300000001</v>
      </c>
      <c r="U106" s="40">
        <v>-6.895330420282933E-2</v>
      </c>
      <c r="V106" s="42">
        <v>-43.142590000000382</v>
      </c>
      <c r="W106" s="44">
        <v>-3.5002453391624076E-2</v>
      </c>
    </row>
    <row r="107" spans="2:23" ht="18.399999999999999" x14ac:dyDescent="0.85">
      <c r="B107" s="48">
        <v>403</v>
      </c>
      <c r="C107" s="49" t="s">
        <v>4</v>
      </c>
      <c r="D107" s="41">
        <v>-133.92079000000001</v>
      </c>
      <c r="E107" s="40">
        <v>-4.0370637160623724E-2</v>
      </c>
      <c r="F107" s="41">
        <v>-122.39048000000001</v>
      </c>
      <c r="G107" s="40">
        <v>-3.5763464825221594E-2</v>
      </c>
      <c r="H107" s="42">
        <v>-11.53031</v>
      </c>
      <c r="I107" s="43">
        <v>-9.4209206467692583E-2</v>
      </c>
      <c r="J107" s="41">
        <v>-121.05761000000001</v>
      </c>
      <c r="K107" s="40">
        <v>-3.3551782215865696E-2</v>
      </c>
      <c r="L107" s="42">
        <v>-12.86318</v>
      </c>
      <c r="M107" s="44">
        <v>-0.10625668225235901</v>
      </c>
      <c r="N107" s="39">
        <v>-545.18259</v>
      </c>
      <c r="O107" s="40">
        <v>-3.1168245702018357E-2</v>
      </c>
      <c r="P107" s="41">
        <v>-526.71839</v>
      </c>
      <c r="Q107" s="40">
        <v>-2.9217727885953629E-2</v>
      </c>
      <c r="R107" s="42">
        <v>-18.464200000000005</v>
      </c>
      <c r="S107" s="43">
        <v>-3.505516486713138E-2</v>
      </c>
      <c r="T107" s="41">
        <v>-510.32951999999995</v>
      </c>
      <c r="U107" s="40">
        <v>-2.85494696641376E-2</v>
      </c>
      <c r="V107" s="42">
        <v>-34.853070000000059</v>
      </c>
      <c r="W107" s="44">
        <v>-6.8295226190325145E-2</v>
      </c>
    </row>
    <row r="108" spans="2:23" ht="18.399999999999999" x14ac:dyDescent="0.85">
      <c r="B108" s="48">
        <v>403</v>
      </c>
      <c r="C108" s="49" t="s">
        <v>60</v>
      </c>
      <c r="D108" s="41">
        <v>-127.58350999999999</v>
      </c>
      <c r="E108" s="40">
        <v>-3.846025392987009E-2</v>
      </c>
      <c r="F108" s="41">
        <v>-127.58350999999999</v>
      </c>
      <c r="G108" s="40">
        <v>-3.7280909202768928E-2</v>
      </c>
      <c r="H108" s="42">
        <v>0</v>
      </c>
      <c r="I108" s="43">
        <v>0</v>
      </c>
      <c r="J108" s="41">
        <v>-127.58350999999999</v>
      </c>
      <c r="K108" s="40">
        <v>-3.5360471281860949E-2</v>
      </c>
      <c r="L108" s="42">
        <v>0</v>
      </c>
      <c r="M108" s="44">
        <v>0</v>
      </c>
      <c r="N108" s="39">
        <v>-510.33403999999996</v>
      </c>
      <c r="O108" s="40">
        <v>-2.9175944060912996E-2</v>
      </c>
      <c r="P108" s="41">
        <v>-510.33403999999996</v>
      </c>
      <c r="Q108" s="40">
        <v>-2.8308867498739457E-2</v>
      </c>
      <c r="R108" s="42">
        <v>0</v>
      </c>
      <c r="S108" s="43">
        <v>0</v>
      </c>
      <c r="T108" s="41">
        <v>-510.33403999999996</v>
      </c>
      <c r="U108" s="40">
        <v>-2.8549722527430484E-2</v>
      </c>
      <c r="V108" s="42">
        <v>0</v>
      </c>
      <c r="W108" s="44">
        <v>0</v>
      </c>
    </row>
    <row r="109" spans="2:23" ht="18.399999999999999" x14ac:dyDescent="0.85">
      <c r="B109" s="48">
        <v>403</v>
      </c>
      <c r="C109" s="49" t="s">
        <v>61</v>
      </c>
      <c r="D109" s="41">
        <v>225.70757000000049</v>
      </c>
      <c r="E109" s="40">
        <v>6.8039909358928508E-2</v>
      </c>
      <c r="F109" s="41">
        <v>280.88381000000027</v>
      </c>
      <c r="G109" s="40">
        <v>8.2076467539871023E-2</v>
      </c>
      <c r="H109" s="42">
        <v>-55.17623999999978</v>
      </c>
      <c r="I109" s="43">
        <v>-0.1964379506244939</v>
      </c>
      <c r="J109" s="41">
        <v>296.8149845941814</v>
      </c>
      <c r="K109" s="40">
        <v>8.2263904941700938E-2</v>
      </c>
      <c r="L109" s="42">
        <v>-71.107414594180909</v>
      </c>
      <c r="M109" s="44">
        <v>-0.23956814273174962</v>
      </c>
      <c r="N109" s="39">
        <v>1130.9044000000004</v>
      </c>
      <c r="O109" s="40">
        <v>6.4654130288154768E-2</v>
      </c>
      <c r="P109" s="41">
        <v>1095.4452399999996</v>
      </c>
      <c r="Q109" s="40">
        <v>6.0765717590158856E-2</v>
      </c>
      <c r="R109" s="42">
        <v>35.459160000000793</v>
      </c>
      <c r="S109" s="43">
        <v>3.2369632643618779E-2</v>
      </c>
      <c r="T109" s="41">
        <v>950.61518270140505</v>
      </c>
      <c r="U109" s="40">
        <v>5.3180461363086323E-2</v>
      </c>
      <c r="V109" s="42">
        <v>180.2892172985953</v>
      </c>
      <c r="W109" s="44">
        <v>0.18965531013954509</v>
      </c>
    </row>
    <row r="110" spans="2:23" ht="18.399999999999999" x14ac:dyDescent="0.85">
      <c r="B110" s="48">
        <v>403</v>
      </c>
      <c r="C110" s="49" t="s">
        <v>62</v>
      </c>
      <c r="D110" s="41">
        <v>-150.68509</v>
      </c>
      <c r="E110" s="40">
        <v>-4.5424262311370249E-2</v>
      </c>
      <c r="F110" s="41">
        <v>-95.535120000000006</v>
      </c>
      <c r="G110" s="40">
        <v>-2.7916116545121189E-2</v>
      </c>
      <c r="H110" s="42">
        <v>-55.149969999999996</v>
      </c>
      <c r="I110" s="43">
        <v>-0.57727430498857379</v>
      </c>
      <c r="J110" s="41">
        <v>-100.02642</v>
      </c>
      <c r="K110" s="40">
        <v>-2.7722872272736201E-2</v>
      </c>
      <c r="L110" s="42">
        <v>-50.658670000000001</v>
      </c>
      <c r="M110" s="44">
        <v>-0.50645289514510261</v>
      </c>
      <c r="N110" s="39">
        <v>-599.01964999999996</v>
      </c>
      <c r="O110" s="40">
        <v>-3.4246125929180977E-2</v>
      </c>
      <c r="P110" s="41">
        <v>-381.79381999999998</v>
      </c>
      <c r="Q110" s="40">
        <v>-2.1178580723750236E-2</v>
      </c>
      <c r="R110" s="42">
        <v>-217.22582999999997</v>
      </c>
      <c r="S110" s="43">
        <v>-0.56896109528436045</v>
      </c>
      <c r="T110" s="41">
        <v>-395.13774999999998</v>
      </c>
      <c r="U110" s="40">
        <v>-2.2105272700627995E-2</v>
      </c>
      <c r="V110" s="42">
        <v>-203.88189999999997</v>
      </c>
      <c r="W110" s="44">
        <v>-0.51597677012636722</v>
      </c>
    </row>
    <row r="111" spans="2:23" ht="18.399999999999999" x14ac:dyDescent="0.85">
      <c r="B111" s="48">
        <v>403</v>
      </c>
      <c r="C111" s="50" t="s">
        <v>5</v>
      </c>
      <c r="D111" s="51">
        <v>75.022480000000485</v>
      </c>
      <c r="E111" s="52">
        <v>2.2615647047558255E-2</v>
      </c>
      <c r="F111" s="51">
        <v>185.34869000000026</v>
      </c>
      <c r="G111" s="52">
        <v>5.4160350994749834E-2</v>
      </c>
      <c r="H111" s="53">
        <v>-110.32620999999978</v>
      </c>
      <c r="I111" s="54">
        <v>-0.59523598467299454</v>
      </c>
      <c r="J111" s="51">
        <v>196.78856459418139</v>
      </c>
      <c r="K111" s="52">
        <v>5.4541032668964741E-2</v>
      </c>
      <c r="L111" s="53">
        <v>-121.76608459418091</v>
      </c>
      <c r="M111" s="55">
        <v>-0.61876605912181781</v>
      </c>
      <c r="N111" s="56">
        <v>531.88475000000039</v>
      </c>
      <c r="O111" s="52">
        <v>3.0408004358973791E-2</v>
      </c>
      <c r="P111" s="51">
        <v>713.65141999999958</v>
      </c>
      <c r="Q111" s="52">
        <v>3.958713686640862E-2</v>
      </c>
      <c r="R111" s="53">
        <v>-181.76666999999918</v>
      </c>
      <c r="S111" s="54">
        <v>-0.25469951422502501</v>
      </c>
      <c r="T111" s="51">
        <v>555.47743270140506</v>
      </c>
      <c r="U111" s="52">
        <v>3.1075188662458328E-2</v>
      </c>
      <c r="V111" s="53">
        <v>-23.592682701404669</v>
      </c>
      <c r="W111" s="55">
        <v>-4.2472801436177939E-2</v>
      </c>
    </row>
    <row r="112" spans="2:23" ht="18.399999999999999" x14ac:dyDescent="0.85">
      <c r="B112" s="48">
        <v>404</v>
      </c>
      <c r="C112" s="49" t="s">
        <v>1</v>
      </c>
      <c r="D112" s="41">
        <v>3951.9176899999998</v>
      </c>
      <c r="E112" s="40">
        <v>1</v>
      </c>
      <c r="F112" s="41">
        <v>4114.0693899999997</v>
      </c>
      <c r="G112" s="40">
        <v>1</v>
      </c>
      <c r="H112" s="42">
        <v>-162.15169999999989</v>
      </c>
      <c r="I112" s="43">
        <v>-3.9413943866415897E-2</v>
      </c>
      <c r="J112" s="41">
        <v>3960.9285199999999</v>
      </c>
      <c r="K112" s="40">
        <v>1</v>
      </c>
      <c r="L112" s="42">
        <v>-9.0108300000001691</v>
      </c>
      <c r="M112" s="44">
        <v>-2.2749287078778612E-3</v>
      </c>
      <c r="N112" s="39">
        <v>21390.41215</v>
      </c>
      <c r="O112" s="40">
        <v>1</v>
      </c>
      <c r="P112" s="41">
        <v>21643.45435</v>
      </c>
      <c r="Q112" s="40">
        <v>1</v>
      </c>
      <c r="R112" s="42">
        <v>-253.04219999999987</v>
      </c>
      <c r="S112" s="43">
        <v>-1.1691396202658374E-2</v>
      </c>
      <c r="T112" s="41">
        <v>21883.537209999999</v>
      </c>
      <c r="U112" s="40">
        <v>1</v>
      </c>
      <c r="V112" s="42">
        <v>-493.12505999999848</v>
      </c>
      <c r="W112" s="44">
        <v>-2.2534065460617484E-2</v>
      </c>
    </row>
    <row r="113" spans="2:23" ht="18.399999999999999" x14ac:dyDescent="0.85">
      <c r="B113" s="48">
        <v>404</v>
      </c>
      <c r="C113" s="49" t="s">
        <v>56</v>
      </c>
      <c r="D113" s="41">
        <v>266.91017000000039</v>
      </c>
      <c r="E113" s="40">
        <v>6.7539405153957149E-2</v>
      </c>
      <c r="F113" s="41">
        <v>320.76193999999958</v>
      </c>
      <c r="G113" s="40">
        <v>7.796707094432348E-2</v>
      </c>
      <c r="H113" s="42">
        <v>-53.851769999999192</v>
      </c>
      <c r="I113" s="43">
        <v>-0.16788703173449837</v>
      </c>
      <c r="J113" s="41">
        <v>372.26201989230117</v>
      </c>
      <c r="K113" s="40">
        <v>9.3983523815850428E-2</v>
      </c>
      <c r="L113" s="42">
        <v>-105.35184989230078</v>
      </c>
      <c r="M113" s="44">
        <v>-0.28300456200925367</v>
      </c>
      <c r="N113" s="39">
        <v>578.01322000000039</v>
      </c>
      <c r="O113" s="40">
        <v>2.7022070259642022E-2</v>
      </c>
      <c r="P113" s="41">
        <v>691.35242999999855</v>
      </c>
      <c r="Q113" s="40">
        <v>3.1942795212816781E-2</v>
      </c>
      <c r="R113" s="42">
        <v>-113.33920999999816</v>
      </c>
      <c r="S113" s="43">
        <v>-0.16393839824935366</v>
      </c>
      <c r="T113" s="41">
        <v>705.06065785374699</v>
      </c>
      <c r="U113" s="40">
        <v>3.2218770260392791E-2</v>
      </c>
      <c r="V113" s="42">
        <v>-127.0474378537466</v>
      </c>
      <c r="W113" s="44">
        <v>-0.18019362793619448</v>
      </c>
    </row>
    <row r="114" spans="2:23" ht="18.399999999999999" x14ac:dyDescent="0.85">
      <c r="B114" s="48">
        <v>404</v>
      </c>
      <c r="C114" s="49" t="s">
        <v>57</v>
      </c>
      <c r="D114" s="41">
        <v>1055.4784400000008</v>
      </c>
      <c r="E114" s="40">
        <v>0.26708006663974848</v>
      </c>
      <c r="F114" s="41">
        <v>1138.62841</v>
      </c>
      <c r="G114" s="40">
        <v>0.27676451271523161</v>
      </c>
      <c r="H114" s="42">
        <v>-83.149969999999257</v>
      </c>
      <c r="I114" s="43">
        <v>-7.3026431862875482E-2</v>
      </c>
      <c r="J114" s="41">
        <v>1097.3891698923017</v>
      </c>
      <c r="K114" s="40">
        <v>0.27705351519251897</v>
      </c>
      <c r="L114" s="42">
        <v>-41.910729892300878</v>
      </c>
      <c r="M114" s="44">
        <v>-3.8191309921906759E-2</v>
      </c>
      <c r="N114" s="39">
        <v>4927.2245600000015</v>
      </c>
      <c r="O114" s="40">
        <v>0.23034734092302198</v>
      </c>
      <c r="P114" s="41">
        <v>4851.8079299999972</v>
      </c>
      <c r="Q114" s="40">
        <v>0.22416975828075231</v>
      </c>
      <c r="R114" s="42">
        <v>75.416630000004261</v>
      </c>
      <c r="S114" s="43">
        <v>1.5544026286301136E-2</v>
      </c>
      <c r="T114" s="41">
        <v>4618.2213578537467</v>
      </c>
      <c r="U114" s="40">
        <v>0.21103632897808602</v>
      </c>
      <c r="V114" s="42">
        <v>309.00320214625481</v>
      </c>
      <c r="W114" s="44">
        <v>6.6909569334688557E-2</v>
      </c>
    </row>
    <row r="115" spans="2:23" ht="18.399999999999999" x14ac:dyDescent="0.85">
      <c r="B115" s="48">
        <v>404</v>
      </c>
      <c r="C115" s="49" t="s">
        <v>2</v>
      </c>
      <c r="D115" s="41">
        <v>-24.859370000000002</v>
      </c>
      <c r="E115" s="40">
        <v>-6.2904574310605147E-3</v>
      </c>
      <c r="F115" s="41">
        <v>-25.650210000000001</v>
      </c>
      <c r="G115" s="40">
        <v>-6.2347538576640301E-3</v>
      </c>
      <c r="H115" s="42">
        <v>0.79083999999999932</v>
      </c>
      <c r="I115" s="43">
        <v>3.0831716387507129E-2</v>
      </c>
      <c r="J115" s="41">
        <v>-32.70458</v>
      </c>
      <c r="K115" s="40">
        <v>-8.2567963130018816E-3</v>
      </c>
      <c r="L115" s="42">
        <v>7.845209999999998</v>
      </c>
      <c r="M115" s="44">
        <v>0.23988108087613411</v>
      </c>
      <c r="N115" s="39">
        <v>-54.855919999999998</v>
      </c>
      <c r="O115" s="40">
        <v>-2.564509725914748E-3</v>
      </c>
      <c r="P115" s="41">
        <v>-134.18504000000001</v>
      </c>
      <c r="Q115" s="40">
        <v>-6.1997977693426746E-3</v>
      </c>
      <c r="R115" s="42">
        <v>79.329120000000017</v>
      </c>
      <c r="S115" s="43">
        <v>0.59119198384559124</v>
      </c>
      <c r="T115" s="41">
        <v>-101.24665</v>
      </c>
      <c r="U115" s="40">
        <v>-4.6266126462285945E-3</v>
      </c>
      <c r="V115" s="42">
        <v>46.390730000000005</v>
      </c>
      <c r="W115" s="44">
        <v>0.45819520942174385</v>
      </c>
    </row>
    <row r="116" spans="2:23" ht="18.399999999999999" x14ac:dyDescent="0.85">
      <c r="B116" s="48">
        <v>404</v>
      </c>
      <c r="C116" s="49" t="s">
        <v>58</v>
      </c>
      <c r="D116" s="41">
        <v>-74.112460000000013</v>
      </c>
      <c r="E116" s="40">
        <v>-1.8753543422105032E-2</v>
      </c>
      <c r="F116" s="41">
        <v>-77.256180000000015</v>
      </c>
      <c r="G116" s="40">
        <v>-1.87785311029963E-2</v>
      </c>
      <c r="H116" s="42">
        <v>3.1437200000000018</v>
      </c>
      <c r="I116" s="43">
        <v>4.0692149158811648E-2</v>
      </c>
      <c r="J116" s="41">
        <v>-68.202439999999996</v>
      </c>
      <c r="K116" s="40">
        <v>-1.7218801009819786E-2</v>
      </c>
      <c r="L116" s="42">
        <v>-5.9100200000000171</v>
      </c>
      <c r="M116" s="44">
        <v>-8.6654084516624583E-2</v>
      </c>
      <c r="N116" s="39">
        <v>-386.05072999999999</v>
      </c>
      <c r="O116" s="40">
        <v>-1.8047839718693778E-2</v>
      </c>
      <c r="P116" s="41">
        <v>-408.86964999999998</v>
      </c>
      <c r="Q116" s="40">
        <v>-1.889114571953714E-2</v>
      </c>
      <c r="R116" s="42">
        <v>22.818919999999991</v>
      </c>
      <c r="S116" s="43">
        <v>5.5809767244890868E-2</v>
      </c>
      <c r="T116" s="41">
        <v>-360.00399000000004</v>
      </c>
      <c r="U116" s="40">
        <v>-1.6450904922056704E-2</v>
      </c>
      <c r="V116" s="42">
        <v>-26.046739999999943</v>
      </c>
      <c r="W116" s="44">
        <v>-7.2351253662493967E-2</v>
      </c>
    </row>
    <row r="117" spans="2:23" ht="18.399999999999999" x14ac:dyDescent="0.85">
      <c r="B117" s="48">
        <v>404</v>
      </c>
      <c r="C117" s="49" t="s">
        <v>59</v>
      </c>
      <c r="D117" s="41">
        <v>956.50661000000082</v>
      </c>
      <c r="E117" s="40">
        <v>0.24203606578658293</v>
      </c>
      <c r="F117" s="41">
        <v>1035.7220200000002</v>
      </c>
      <c r="G117" s="40">
        <v>0.25175122775457132</v>
      </c>
      <c r="H117" s="42">
        <v>-79.215409999999338</v>
      </c>
      <c r="I117" s="43">
        <v>-7.6483272992495924E-2</v>
      </c>
      <c r="J117" s="41">
        <v>996.48214989230166</v>
      </c>
      <c r="K117" s="40">
        <v>0.2515779178696973</v>
      </c>
      <c r="L117" s="42">
        <v>-39.975539892300844</v>
      </c>
      <c r="M117" s="44">
        <v>-4.0116664304143672E-2</v>
      </c>
      <c r="N117" s="39">
        <v>4486.3179100000016</v>
      </c>
      <c r="O117" s="40">
        <v>0.20973499147841346</v>
      </c>
      <c r="P117" s="41">
        <v>4308.7532399999973</v>
      </c>
      <c r="Q117" s="40">
        <v>0.1990788147918725</v>
      </c>
      <c r="R117" s="42">
        <v>177.5646700000043</v>
      </c>
      <c r="S117" s="43">
        <v>4.1210220244593171E-2</v>
      </c>
      <c r="T117" s="41">
        <v>4156.9707178537465</v>
      </c>
      <c r="U117" s="40">
        <v>0.18995881140980073</v>
      </c>
      <c r="V117" s="42">
        <v>329.34719214625511</v>
      </c>
      <c r="W117" s="44">
        <v>7.9227691148206547E-2</v>
      </c>
    </row>
    <row r="118" spans="2:23" ht="18.399999999999999" x14ac:dyDescent="0.85">
      <c r="B118" s="48">
        <v>404</v>
      </c>
      <c r="C118" s="49" t="s">
        <v>3</v>
      </c>
      <c r="D118" s="41">
        <v>-408.47532000000007</v>
      </c>
      <c r="E118" s="40">
        <v>-0.10336129242610823</v>
      </c>
      <c r="F118" s="41">
        <v>-381.49900000000008</v>
      </c>
      <c r="G118" s="40">
        <v>-9.273032704001137E-2</v>
      </c>
      <c r="H118" s="42">
        <v>-26.976319999999987</v>
      </c>
      <c r="I118" s="43">
        <v>-7.0711378011475728E-2</v>
      </c>
      <c r="J118" s="41">
        <v>-418.75018999999998</v>
      </c>
      <c r="K118" s="40">
        <v>-0.10572020875549655</v>
      </c>
      <c r="L118" s="42">
        <v>10.274869999999908</v>
      </c>
      <c r="M118" s="44">
        <v>2.4536991851872133E-2</v>
      </c>
      <c r="N118" s="39">
        <v>-1590.5575600000006</v>
      </c>
      <c r="O118" s="40">
        <v>-7.4358434463358422E-2</v>
      </c>
      <c r="P118" s="41">
        <v>-1573.3537100000003</v>
      </c>
      <c r="Q118" s="40">
        <v>-7.2694205118879293E-2</v>
      </c>
      <c r="R118" s="42">
        <v>-17.20385000000033</v>
      </c>
      <c r="S118" s="43">
        <v>-1.0934508807940158E-2</v>
      </c>
      <c r="T118" s="41">
        <v>-1526.9218599999997</v>
      </c>
      <c r="U118" s="40">
        <v>-6.9774910945486948E-2</v>
      </c>
      <c r="V118" s="42">
        <v>-63.635700000000952</v>
      </c>
      <c r="W118" s="44">
        <v>-4.1675806514421744E-2</v>
      </c>
    </row>
    <row r="119" spans="2:23" ht="18.399999999999999" x14ac:dyDescent="0.85">
      <c r="B119" s="48">
        <v>404</v>
      </c>
      <c r="C119" s="49" t="s">
        <v>4</v>
      </c>
      <c r="D119" s="41">
        <v>-73.215360000000004</v>
      </c>
      <c r="E119" s="40">
        <v>-1.8526539706346972E-2</v>
      </c>
      <c r="F119" s="41">
        <v>-72.623419999999996</v>
      </c>
      <c r="G119" s="40">
        <v>-1.765245383962763E-2</v>
      </c>
      <c r="H119" s="42">
        <v>-0.59194000000000813</v>
      </c>
      <c r="I119" s="43">
        <v>-8.1508141588485933E-3</v>
      </c>
      <c r="J119" s="41">
        <v>-63.743650000000002</v>
      </c>
      <c r="K119" s="40">
        <v>-1.6093107885723726E-2</v>
      </c>
      <c r="L119" s="42">
        <v>-9.4717100000000016</v>
      </c>
      <c r="M119" s="44">
        <v>-0.14859064393080726</v>
      </c>
      <c r="N119" s="39">
        <v>-340.97273999999993</v>
      </c>
      <c r="O119" s="40">
        <v>-1.5940447412089716E-2</v>
      </c>
      <c r="P119" s="41">
        <v>-349.03117999999989</v>
      </c>
      <c r="Q119" s="40">
        <v>-1.6126408213576124E-2</v>
      </c>
      <c r="R119" s="42">
        <v>8.0584399999999619</v>
      </c>
      <c r="S119" s="43">
        <v>2.3088023253395196E-2</v>
      </c>
      <c r="T119" s="41">
        <v>-476.9456899999999</v>
      </c>
      <c r="U119" s="40">
        <v>-2.1794725661720384E-2</v>
      </c>
      <c r="V119" s="42">
        <v>135.97294999999997</v>
      </c>
      <c r="W119" s="44">
        <v>0.28509105512621363</v>
      </c>
    </row>
    <row r="120" spans="2:23" ht="18.399999999999999" x14ac:dyDescent="0.85">
      <c r="B120" s="48">
        <v>404</v>
      </c>
      <c r="C120" s="49" t="s">
        <v>60</v>
      </c>
      <c r="D120" s="41">
        <v>-128.66077999999999</v>
      </c>
      <c r="E120" s="40">
        <v>-3.2556543453717529E-2</v>
      </c>
      <c r="F120" s="41">
        <v>-128.66077999999999</v>
      </c>
      <c r="G120" s="40">
        <v>-3.1273361677548177E-2</v>
      </c>
      <c r="H120" s="42">
        <v>0</v>
      </c>
      <c r="I120" s="43">
        <v>0</v>
      </c>
      <c r="J120" s="41">
        <v>-119.23844</v>
      </c>
      <c r="K120" s="40">
        <v>-3.0103658623963251E-2</v>
      </c>
      <c r="L120" s="42">
        <v>-9.4223399999999913</v>
      </c>
      <c r="M120" s="44">
        <v>-7.9020993565497771E-2</v>
      </c>
      <c r="N120" s="39">
        <v>-514.64311999999995</v>
      </c>
      <c r="O120" s="40">
        <v>-2.4059523322462018E-2</v>
      </c>
      <c r="P120" s="41">
        <v>-514.64311999999995</v>
      </c>
      <c r="Q120" s="40">
        <v>-2.3778233902852018E-2</v>
      </c>
      <c r="R120" s="42">
        <v>0</v>
      </c>
      <c r="S120" s="43">
        <v>0</v>
      </c>
      <c r="T120" s="41">
        <v>-476.95375999999999</v>
      </c>
      <c r="U120" s="40">
        <v>-2.1795094432085188E-2</v>
      </c>
      <c r="V120" s="42">
        <v>-37.689359999999965</v>
      </c>
      <c r="W120" s="44">
        <v>-7.9020993565497771E-2</v>
      </c>
    </row>
    <row r="121" spans="2:23" ht="18.399999999999999" x14ac:dyDescent="0.85">
      <c r="B121" s="48">
        <v>404</v>
      </c>
      <c r="C121" s="49" t="s">
        <v>61</v>
      </c>
      <c r="D121" s="41">
        <v>346.15515000000073</v>
      </c>
      <c r="E121" s="40">
        <v>8.7591690200410216E-2</v>
      </c>
      <c r="F121" s="41">
        <v>452.93882000000008</v>
      </c>
      <c r="G121" s="40">
        <v>0.11009508519738412</v>
      </c>
      <c r="H121" s="42">
        <v>-106.78366999999935</v>
      </c>
      <c r="I121" s="43">
        <v>-0.2357573810961916</v>
      </c>
      <c r="J121" s="41">
        <v>394.74986989230172</v>
      </c>
      <c r="K121" s="40">
        <v>9.9660942604513789E-2</v>
      </c>
      <c r="L121" s="42">
        <v>-48.594719892300986</v>
      </c>
      <c r="M121" s="44">
        <v>-0.12310256088382986</v>
      </c>
      <c r="N121" s="39">
        <v>2040.144490000001</v>
      </c>
      <c r="O121" s="40">
        <v>9.53765862805033E-2</v>
      </c>
      <c r="P121" s="41">
        <v>1871.7252299999973</v>
      </c>
      <c r="Q121" s="40">
        <v>8.6479967556565077E-2</v>
      </c>
      <c r="R121" s="42">
        <v>168.41926000000376</v>
      </c>
      <c r="S121" s="43">
        <v>8.9980760691035833E-2</v>
      </c>
      <c r="T121" s="41">
        <v>1676.1494078537471</v>
      </c>
      <c r="U121" s="40">
        <v>7.6594080370508216E-2</v>
      </c>
      <c r="V121" s="42">
        <v>363.99508214625394</v>
      </c>
      <c r="W121" s="44">
        <v>0.21716147763482338</v>
      </c>
    </row>
    <row r="122" spans="2:23" ht="18.399999999999999" x14ac:dyDescent="0.85">
      <c r="B122" s="48">
        <v>404</v>
      </c>
      <c r="C122" s="49" t="s">
        <v>62</v>
      </c>
      <c r="D122" s="41">
        <v>-140.16980000000001</v>
      </c>
      <c r="E122" s="40">
        <v>-3.5468805525653554E-2</v>
      </c>
      <c r="F122" s="41">
        <v>-124.12772</v>
      </c>
      <c r="G122" s="40">
        <v>-3.017151832725894E-2</v>
      </c>
      <c r="H122" s="42">
        <v>-16.042080000000013</v>
      </c>
      <c r="I122" s="43">
        <v>-0.12923849725105732</v>
      </c>
      <c r="J122" s="41">
        <v>-140.92248999999998</v>
      </c>
      <c r="K122" s="40">
        <v>-3.5578145197126654E-2</v>
      </c>
      <c r="L122" s="42">
        <v>0.75268999999997277</v>
      </c>
      <c r="M122" s="44">
        <v>5.3411630748220022E-3</v>
      </c>
      <c r="N122" s="39">
        <v>-559.94047999999998</v>
      </c>
      <c r="O122" s="40">
        <v>-2.6177171158434175E-2</v>
      </c>
      <c r="P122" s="41">
        <v>-498.15163999999999</v>
      </c>
      <c r="Q122" s="40">
        <v>-2.3016272353955366E-2</v>
      </c>
      <c r="R122" s="42">
        <v>-61.788839999999993</v>
      </c>
      <c r="S122" s="43">
        <v>-0.12403620712761278</v>
      </c>
      <c r="T122" s="41">
        <v>-532.90942999999993</v>
      </c>
      <c r="U122" s="40">
        <v>-2.4352070000661467E-2</v>
      </c>
      <c r="V122" s="42">
        <v>-27.03105000000005</v>
      </c>
      <c r="W122" s="44">
        <v>-5.0723534766498789E-2</v>
      </c>
    </row>
    <row r="123" spans="2:23" ht="18.399999999999999" x14ac:dyDescent="0.85">
      <c r="B123" s="48">
        <v>404</v>
      </c>
      <c r="C123" s="50" t="s">
        <v>5</v>
      </c>
      <c r="D123" s="51">
        <v>205.98535000000072</v>
      </c>
      <c r="E123" s="52">
        <v>5.2122884674756662E-2</v>
      </c>
      <c r="F123" s="51">
        <v>328.81110000000007</v>
      </c>
      <c r="G123" s="52">
        <v>7.9923566870125182E-2</v>
      </c>
      <c r="H123" s="53">
        <v>-122.82574999999935</v>
      </c>
      <c r="I123" s="54">
        <v>-0.3735450232671565</v>
      </c>
      <c r="J123" s="51">
        <v>253.82737989230174</v>
      </c>
      <c r="K123" s="52">
        <v>6.4082797407387135E-2</v>
      </c>
      <c r="L123" s="53">
        <v>-47.842029892301014</v>
      </c>
      <c r="M123" s="55">
        <v>-0.18848254239790938</v>
      </c>
      <c r="N123" s="56">
        <v>1480.2040100000011</v>
      </c>
      <c r="O123" s="52">
        <v>6.9199415122069119E-2</v>
      </c>
      <c r="P123" s="51">
        <v>1373.5735899999972</v>
      </c>
      <c r="Q123" s="52">
        <v>6.3463695202609707E-2</v>
      </c>
      <c r="R123" s="53">
        <v>106.63042000000382</v>
      </c>
      <c r="S123" s="54">
        <v>7.7629928804909556E-2</v>
      </c>
      <c r="T123" s="51">
        <v>1143.2399778537472</v>
      </c>
      <c r="U123" s="52">
        <v>5.2242010369846749E-2</v>
      </c>
      <c r="V123" s="53">
        <v>336.96403214625389</v>
      </c>
      <c r="W123" s="55">
        <v>0.2947447943334266</v>
      </c>
    </row>
    <row r="124" spans="2:23" ht="18.399999999999999" x14ac:dyDescent="0.85">
      <c r="B124" s="48">
        <v>501</v>
      </c>
      <c r="C124" s="49" t="s">
        <v>1</v>
      </c>
      <c r="D124" s="41">
        <v>4070.1157600000006</v>
      </c>
      <c r="E124" s="40">
        <v>1</v>
      </c>
      <c r="F124" s="41">
        <v>3960.0893500000006</v>
      </c>
      <c r="G124" s="40">
        <v>1</v>
      </c>
      <c r="H124" s="42">
        <v>110.02640999999994</v>
      </c>
      <c r="I124" s="43">
        <v>2.7783820079716113E-2</v>
      </c>
      <c r="J124" s="41">
        <v>3696.1314899999998</v>
      </c>
      <c r="K124" s="40">
        <v>1</v>
      </c>
      <c r="L124" s="42">
        <v>373.98427000000083</v>
      </c>
      <c r="M124" s="44">
        <v>0.10118262053496394</v>
      </c>
      <c r="N124" s="39">
        <v>23340.932790000003</v>
      </c>
      <c r="O124" s="40">
        <v>1</v>
      </c>
      <c r="P124" s="41">
        <v>20939.725210000001</v>
      </c>
      <c r="Q124" s="40">
        <v>1</v>
      </c>
      <c r="R124" s="42">
        <v>2401.2075800000021</v>
      </c>
      <c r="S124" s="43">
        <v>0.11467235390716964</v>
      </c>
      <c r="T124" s="41">
        <v>20319.704209999996</v>
      </c>
      <c r="U124" s="40">
        <v>1</v>
      </c>
      <c r="V124" s="42">
        <v>3021.2285800000063</v>
      </c>
      <c r="W124" s="44">
        <v>0.14868467320076245</v>
      </c>
    </row>
    <row r="125" spans="2:23" ht="18.399999999999999" x14ac:dyDescent="0.85">
      <c r="B125" s="48">
        <v>501</v>
      </c>
      <c r="C125" s="49" t="s">
        <v>56</v>
      </c>
      <c r="D125" s="41">
        <v>344.09465999999981</v>
      </c>
      <c r="E125" s="40">
        <v>8.4541737948013493E-2</v>
      </c>
      <c r="F125" s="41">
        <v>358.77353000000011</v>
      </c>
      <c r="G125" s="40">
        <v>9.0597332103125414E-2</v>
      </c>
      <c r="H125" s="42">
        <v>-14.678870000000302</v>
      </c>
      <c r="I125" s="43">
        <v>-4.0914027297388127E-2</v>
      </c>
      <c r="J125" s="41">
        <v>403.08714067808006</v>
      </c>
      <c r="K125" s="40">
        <v>0.10905649373369022</v>
      </c>
      <c r="L125" s="42">
        <v>-58.992480678080256</v>
      </c>
      <c r="M125" s="44">
        <v>-0.14635168112493516</v>
      </c>
      <c r="N125" s="39">
        <v>304.98234000000053</v>
      </c>
      <c r="O125" s="40">
        <v>1.3066416100159659E-2</v>
      </c>
      <c r="P125" s="41">
        <v>857.91122000000007</v>
      </c>
      <c r="Q125" s="40">
        <v>4.0970509946820839E-2</v>
      </c>
      <c r="R125" s="42">
        <v>-552.92887999999948</v>
      </c>
      <c r="S125" s="43">
        <v>-0.64450594316740539</v>
      </c>
      <c r="T125" s="41">
        <v>504.43522891882566</v>
      </c>
      <c r="U125" s="40">
        <v>2.4824929718739529E-2</v>
      </c>
      <c r="V125" s="42">
        <v>-199.45288891882512</v>
      </c>
      <c r="W125" s="44">
        <v>-0.39539841288706135</v>
      </c>
    </row>
    <row r="126" spans="2:23" ht="18.399999999999999" x14ac:dyDescent="0.85">
      <c r="B126" s="48">
        <v>501</v>
      </c>
      <c r="C126" s="49" t="s">
        <v>57</v>
      </c>
      <c r="D126" s="41">
        <v>1201.7097299999998</v>
      </c>
      <c r="E126" s="40">
        <v>0.29525197828771327</v>
      </c>
      <c r="F126" s="41">
        <v>1163.7884199999999</v>
      </c>
      <c r="G126" s="40">
        <v>0.29387933380846565</v>
      </c>
      <c r="H126" s="42">
        <v>37.921309999999949</v>
      </c>
      <c r="I126" s="43">
        <v>3.2584367869891634E-2</v>
      </c>
      <c r="J126" s="41">
        <v>1105.7435806780795</v>
      </c>
      <c r="K126" s="40">
        <v>0.29916240362922791</v>
      </c>
      <c r="L126" s="42">
        <v>95.966149321920284</v>
      </c>
      <c r="M126" s="44">
        <v>8.6788791722462982E-2</v>
      </c>
      <c r="N126" s="39">
        <v>5162.1799399999982</v>
      </c>
      <c r="O126" s="40">
        <v>0.22116425193647959</v>
      </c>
      <c r="P126" s="41">
        <v>4952.0236699999969</v>
      </c>
      <c r="Q126" s="40">
        <v>0.23648942955732305</v>
      </c>
      <c r="R126" s="42">
        <v>210.15627000000131</v>
      </c>
      <c r="S126" s="43">
        <v>4.2438462334733036E-2</v>
      </c>
      <c r="T126" s="41">
        <v>4267.0561089188268</v>
      </c>
      <c r="U126" s="40">
        <v>0.20999597557226585</v>
      </c>
      <c r="V126" s="42">
        <v>895.12383108117137</v>
      </c>
      <c r="W126" s="44">
        <v>0.20977550054010774</v>
      </c>
    </row>
    <row r="127" spans="2:23" ht="18.399999999999999" x14ac:dyDescent="0.85">
      <c r="B127" s="48">
        <v>501</v>
      </c>
      <c r="C127" s="49" t="s">
        <v>2</v>
      </c>
      <c r="D127" s="41">
        <v>-18.228779999999997</v>
      </c>
      <c r="E127" s="40">
        <v>-4.4786883407954949E-3</v>
      </c>
      <c r="F127" s="41">
        <v>-26.461860000000001</v>
      </c>
      <c r="G127" s="40">
        <v>-6.6821371088508384E-3</v>
      </c>
      <c r="H127" s="42">
        <v>8.2330800000000046</v>
      </c>
      <c r="I127" s="43">
        <v>0.31113005661733545</v>
      </c>
      <c r="J127" s="41">
        <v>-14.013590000000001</v>
      </c>
      <c r="K127" s="40">
        <v>-3.7914208512100315E-3</v>
      </c>
      <c r="L127" s="42">
        <v>-4.2151899999999962</v>
      </c>
      <c r="M127" s="44">
        <v>-0.30079301592240076</v>
      </c>
      <c r="N127" s="39">
        <v>-88.616560000000007</v>
      </c>
      <c r="O127" s="40">
        <v>-3.7966160477513632E-3</v>
      </c>
      <c r="P127" s="41">
        <v>-138.14498</v>
      </c>
      <c r="Q127" s="40">
        <v>-6.5972680450470918E-3</v>
      </c>
      <c r="R127" s="42">
        <v>49.528419999999997</v>
      </c>
      <c r="S127" s="43">
        <v>0.35852493518041695</v>
      </c>
      <c r="T127" s="41">
        <v>-70.417760000000001</v>
      </c>
      <c r="U127" s="40">
        <v>-3.4654913906347661E-3</v>
      </c>
      <c r="V127" s="42">
        <v>-18.198800000000006</v>
      </c>
      <c r="W127" s="44">
        <v>-0.25844048433236166</v>
      </c>
    </row>
    <row r="128" spans="2:23" ht="18.399999999999999" x14ac:dyDescent="0.85">
      <c r="B128" s="48">
        <v>501</v>
      </c>
      <c r="C128" s="49" t="s">
        <v>58</v>
      </c>
      <c r="D128" s="41">
        <v>-73.628219999999999</v>
      </c>
      <c r="E128" s="40">
        <v>-1.8089957225196952E-2</v>
      </c>
      <c r="F128" s="41">
        <v>-71.796279999999996</v>
      </c>
      <c r="G128" s="40">
        <v>-1.8129964668600212E-2</v>
      </c>
      <c r="H128" s="42">
        <v>-1.831940000000003</v>
      </c>
      <c r="I128" s="43">
        <v>-2.5515806668534959E-2</v>
      </c>
      <c r="J128" s="41">
        <v>-62.959809999999997</v>
      </c>
      <c r="K128" s="40">
        <v>-1.7033974621936409E-2</v>
      </c>
      <c r="L128" s="42">
        <v>-10.668410000000002</v>
      </c>
      <c r="M128" s="44">
        <v>-0.16944793829587482</v>
      </c>
      <c r="N128" s="39">
        <v>-384.80231000000003</v>
      </c>
      <c r="O128" s="40">
        <v>-1.6486158178085391E-2</v>
      </c>
      <c r="P128" s="41">
        <v>-380.77743000000004</v>
      </c>
      <c r="Q128" s="40">
        <v>-1.8184452096733129E-2</v>
      </c>
      <c r="R128" s="42">
        <v>-4.024879999999996</v>
      </c>
      <c r="S128" s="43">
        <v>-1.0570164308320468E-2</v>
      </c>
      <c r="T128" s="41">
        <v>-327.03027999999995</v>
      </c>
      <c r="U128" s="40">
        <v>-1.6094244119904934E-2</v>
      </c>
      <c r="V128" s="42">
        <v>-57.772030000000086</v>
      </c>
      <c r="W128" s="44">
        <v>-0.17665651633237173</v>
      </c>
    </row>
    <row r="129" spans="2:23" ht="18.399999999999999" x14ac:dyDescent="0.85">
      <c r="B129" s="48">
        <v>501</v>
      </c>
      <c r="C129" s="49" t="s">
        <v>59</v>
      </c>
      <c r="D129" s="41">
        <v>1109.8527299999996</v>
      </c>
      <c r="E129" s="40">
        <v>0.27268333272172079</v>
      </c>
      <c r="F129" s="41">
        <v>1065.5302799999999</v>
      </c>
      <c r="G129" s="40">
        <v>0.26906723203101457</v>
      </c>
      <c r="H129" s="42">
        <v>44.322449999999662</v>
      </c>
      <c r="I129" s="43">
        <v>4.1596612345920068E-2</v>
      </c>
      <c r="J129" s="41">
        <v>1028.7701806780794</v>
      </c>
      <c r="K129" s="40">
        <v>0.27833700815608148</v>
      </c>
      <c r="L129" s="42">
        <v>81.082549321920169</v>
      </c>
      <c r="M129" s="44">
        <v>7.8815026761834522E-2</v>
      </c>
      <c r="N129" s="39">
        <v>4688.7610699999977</v>
      </c>
      <c r="O129" s="40">
        <v>0.20088147771064283</v>
      </c>
      <c r="P129" s="41">
        <v>4433.1012599999967</v>
      </c>
      <c r="Q129" s="40">
        <v>0.21170770941554284</v>
      </c>
      <c r="R129" s="42">
        <v>255.65981000000102</v>
      </c>
      <c r="S129" s="43">
        <v>5.767064522230228E-2</v>
      </c>
      <c r="T129" s="41">
        <v>3869.608068918827</v>
      </c>
      <c r="U129" s="40">
        <v>0.19043624006172616</v>
      </c>
      <c r="V129" s="42">
        <v>819.15300108117071</v>
      </c>
      <c r="W129" s="44">
        <v>0.2116888807579014</v>
      </c>
    </row>
    <row r="130" spans="2:23" ht="18.399999999999999" x14ac:dyDescent="0.85">
      <c r="B130" s="48">
        <v>501</v>
      </c>
      <c r="C130" s="49" t="s">
        <v>3</v>
      </c>
      <c r="D130" s="41">
        <v>-307.83998000000003</v>
      </c>
      <c r="E130" s="40">
        <v>-7.5634207514530247E-2</v>
      </c>
      <c r="F130" s="41">
        <v>-310.79707999999994</v>
      </c>
      <c r="G130" s="40">
        <v>-7.8482340303761042E-2</v>
      </c>
      <c r="H130" s="42">
        <v>2.9570999999999117</v>
      </c>
      <c r="I130" s="43">
        <v>9.5145681548871441E-3</v>
      </c>
      <c r="J130" s="41">
        <v>-336.67556999999999</v>
      </c>
      <c r="K130" s="40">
        <v>-9.1088634403534166E-2</v>
      </c>
      <c r="L130" s="42">
        <v>28.835589999999968</v>
      </c>
      <c r="M130" s="44">
        <v>8.5648002318671257E-2</v>
      </c>
      <c r="N130" s="39">
        <v>-1295.2408900000003</v>
      </c>
      <c r="O130" s="40">
        <v>-5.5492250530575306E-2</v>
      </c>
      <c r="P130" s="41">
        <v>-1310.5516199999997</v>
      </c>
      <c r="Q130" s="40">
        <v>-6.2586858559831107E-2</v>
      </c>
      <c r="R130" s="42">
        <v>15.310729999999467</v>
      </c>
      <c r="S130" s="43">
        <v>1.1682660771499768E-2</v>
      </c>
      <c r="T130" s="41">
        <v>-1223.4204600000003</v>
      </c>
      <c r="U130" s="40">
        <v>-6.0208576234978592E-2</v>
      </c>
      <c r="V130" s="42">
        <v>-71.820429999999988</v>
      </c>
      <c r="W130" s="44">
        <v>-5.8704617380683638E-2</v>
      </c>
    </row>
    <row r="131" spans="2:23" ht="18.399999999999999" x14ac:dyDescent="0.85">
      <c r="B131" s="48">
        <v>501</v>
      </c>
      <c r="C131" s="49" t="s">
        <v>4</v>
      </c>
      <c r="D131" s="41">
        <v>-44.3673</v>
      </c>
      <c r="E131" s="40">
        <v>-1.0900746469186418E-2</v>
      </c>
      <c r="F131" s="41">
        <v>-3.3553600000000188</v>
      </c>
      <c r="G131" s="40">
        <v>-8.4729401370704381E-4</v>
      </c>
      <c r="H131" s="42">
        <v>-41.011939999999981</v>
      </c>
      <c r="I131" s="43">
        <v>-12.222813647417789</v>
      </c>
      <c r="J131" s="41">
        <v>-1.6686099999999868</v>
      </c>
      <c r="K131" s="40">
        <v>-4.5144768375109589E-4</v>
      </c>
      <c r="L131" s="42">
        <v>-42.698690000000013</v>
      </c>
      <c r="M131" s="44">
        <v>-25.589376786666957</v>
      </c>
      <c r="N131" s="39">
        <v>-106.36413000000005</v>
      </c>
      <c r="O131" s="40">
        <v>-4.5569785473856391E-3</v>
      </c>
      <c r="P131" s="41">
        <v>-60.944830000000024</v>
      </c>
      <c r="Q131" s="40">
        <v>-2.9104885278482613E-3</v>
      </c>
      <c r="R131" s="42">
        <v>-45.419300000000021</v>
      </c>
      <c r="S131" s="43">
        <v>-0.74525271462731135</v>
      </c>
      <c r="T131" s="41">
        <v>-130.80130000000008</v>
      </c>
      <c r="U131" s="40">
        <v>-6.4371655536023236E-3</v>
      </c>
      <c r="V131" s="42">
        <v>24.437170000000037</v>
      </c>
      <c r="W131" s="44">
        <v>0.18682665997967926</v>
      </c>
    </row>
    <row r="132" spans="2:23" ht="18.399999999999999" x14ac:dyDescent="0.85">
      <c r="B132" s="48">
        <v>501</v>
      </c>
      <c r="C132" s="49" t="s">
        <v>60</v>
      </c>
      <c r="D132" s="41">
        <v>-211.60685999999998</v>
      </c>
      <c r="E132" s="40">
        <v>-5.1990378769964013E-2</v>
      </c>
      <c r="F132" s="41">
        <v>-198.67478</v>
      </c>
      <c r="G132" s="40">
        <v>-5.0169267014139457E-2</v>
      </c>
      <c r="H132" s="42">
        <v>-12.932079999999985</v>
      </c>
      <c r="I132" s="43">
        <v>-6.5091704140807324E-2</v>
      </c>
      <c r="J132" s="41">
        <v>-184.89284000000001</v>
      </c>
      <c r="K132" s="40">
        <v>-5.0023339402354441E-2</v>
      </c>
      <c r="L132" s="42">
        <v>-26.714019999999977</v>
      </c>
      <c r="M132" s="44">
        <v>-0.14448379937265271</v>
      </c>
      <c r="N132" s="39">
        <v>-1203.5196999999998</v>
      </c>
      <c r="O132" s="40">
        <v>-5.1562622232288247E-2</v>
      </c>
      <c r="P132" s="41">
        <v>-1050.20598</v>
      </c>
      <c r="Q132" s="40">
        <v>-5.015376130621152E-2</v>
      </c>
      <c r="R132" s="42">
        <v>-153.31371999999988</v>
      </c>
      <c r="S132" s="43">
        <v>-0.14598442869274073</v>
      </c>
      <c r="T132" s="41">
        <v>-1018.1201100000001</v>
      </c>
      <c r="U132" s="40">
        <v>-5.010506548116727E-2</v>
      </c>
      <c r="V132" s="42">
        <v>-185.39958999999976</v>
      </c>
      <c r="W132" s="44">
        <v>-0.18209991942895593</v>
      </c>
    </row>
    <row r="133" spans="2:23" ht="18.399999999999999" x14ac:dyDescent="0.85">
      <c r="B133" s="48">
        <v>501</v>
      </c>
      <c r="C133" s="49" t="s">
        <v>61</v>
      </c>
      <c r="D133" s="41">
        <v>546.03858999999966</v>
      </c>
      <c r="E133" s="40">
        <v>0.13415799996804012</v>
      </c>
      <c r="F133" s="41">
        <v>552.70306000000005</v>
      </c>
      <c r="G133" s="40">
        <v>0.13956833069940705</v>
      </c>
      <c r="H133" s="42">
        <v>-6.6644700000003922</v>
      </c>
      <c r="I133" s="43">
        <v>-1.2057957486250197E-2</v>
      </c>
      <c r="J133" s="41">
        <v>505.53316067807941</v>
      </c>
      <c r="K133" s="40">
        <v>0.13677358666644174</v>
      </c>
      <c r="L133" s="42">
        <v>40.505429321920246</v>
      </c>
      <c r="M133" s="44">
        <v>8.0124178733576426E-2</v>
      </c>
      <c r="N133" s="39">
        <v>2083.6363499999975</v>
      </c>
      <c r="O133" s="40">
        <v>8.9269626400393626E-2</v>
      </c>
      <c r="P133" s="41">
        <v>2011.3988299999974</v>
      </c>
      <c r="Q133" s="40">
        <v>9.6056601021651963E-2</v>
      </c>
      <c r="R133" s="42">
        <v>72.237520000000131</v>
      </c>
      <c r="S133" s="43">
        <v>3.591407080613656E-2</v>
      </c>
      <c r="T133" s="41">
        <v>1497.2661989188268</v>
      </c>
      <c r="U133" s="40">
        <v>7.3685432791977978E-2</v>
      </c>
      <c r="V133" s="42">
        <v>586.37015108117066</v>
      </c>
      <c r="W133" s="44">
        <v>0.3916271879406531</v>
      </c>
    </row>
    <row r="134" spans="2:23" ht="18.399999999999999" x14ac:dyDescent="0.85">
      <c r="B134" s="48">
        <v>501</v>
      </c>
      <c r="C134" s="49" t="s">
        <v>62</v>
      </c>
      <c r="D134" s="41">
        <v>-241.57783000000001</v>
      </c>
      <c r="E134" s="40">
        <v>-5.9354044023553758E-2</v>
      </c>
      <c r="F134" s="41">
        <v>-121.40274000000001</v>
      </c>
      <c r="G134" s="40">
        <v>-3.0656565867636293E-2</v>
      </c>
      <c r="H134" s="42">
        <v>-120.17509</v>
      </c>
      <c r="I134" s="43">
        <v>-0.98988779001198812</v>
      </c>
      <c r="J134" s="41">
        <v>-150.53626999999997</v>
      </c>
      <c r="K134" s="40">
        <v>-4.0728061327709959E-2</v>
      </c>
      <c r="L134" s="42">
        <v>-91.041560000000032</v>
      </c>
      <c r="M134" s="44">
        <v>-0.60478155862371274</v>
      </c>
      <c r="N134" s="39">
        <v>-965.68596999999988</v>
      </c>
      <c r="O134" s="40">
        <v>-4.1373066735950266E-2</v>
      </c>
      <c r="P134" s="41">
        <v>-486.06832000000003</v>
      </c>
      <c r="Q134" s="40">
        <v>-2.3212736324155422E-2</v>
      </c>
      <c r="R134" s="42">
        <v>-479.61764999999986</v>
      </c>
      <c r="S134" s="43">
        <v>-0.98672888206332765</v>
      </c>
      <c r="T134" s="41">
        <v>-698.51517999999999</v>
      </c>
      <c r="U134" s="40">
        <v>-3.4376247448338233E-2</v>
      </c>
      <c r="V134" s="42">
        <v>-267.1707899999999</v>
      </c>
      <c r="W134" s="44">
        <v>-0.38248387100191567</v>
      </c>
    </row>
    <row r="135" spans="2:23" ht="18.399999999999999" x14ac:dyDescent="0.85">
      <c r="B135" s="48">
        <v>501</v>
      </c>
      <c r="C135" s="50" t="s">
        <v>5</v>
      </c>
      <c r="D135" s="51">
        <v>304.46075999999965</v>
      </c>
      <c r="E135" s="52">
        <v>7.4803955944486356E-2</v>
      </c>
      <c r="F135" s="51">
        <v>431.30032000000006</v>
      </c>
      <c r="G135" s="52">
        <v>0.10891176483177077</v>
      </c>
      <c r="H135" s="53">
        <v>-126.8395600000004</v>
      </c>
      <c r="I135" s="54">
        <v>-0.29408640364560912</v>
      </c>
      <c r="J135" s="51">
        <v>354.99689067807947</v>
      </c>
      <c r="K135" s="52">
        <v>9.6045525338731785E-2</v>
      </c>
      <c r="L135" s="53">
        <v>-50.536130678079815</v>
      </c>
      <c r="M135" s="55">
        <v>-0.14235654453635008</v>
      </c>
      <c r="N135" s="56">
        <v>1117.9503799999975</v>
      </c>
      <c r="O135" s="52">
        <v>4.789655966444336E-2</v>
      </c>
      <c r="P135" s="51">
        <v>1525.3305099999973</v>
      </c>
      <c r="Q135" s="52">
        <v>7.2843864697496541E-2</v>
      </c>
      <c r="R135" s="53">
        <v>-407.38012999999978</v>
      </c>
      <c r="S135" s="54">
        <v>-0.26707662852688924</v>
      </c>
      <c r="T135" s="51">
        <v>798.75101891882684</v>
      </c>
      <c r="U135" s="52">
        <v>3.9309185343639752E-2</v>
      </c>
      <c r="V135" s="53">
        <v>319.19936108117065</v>
      </c>
      <c r="W135" s="55">
        <v>0.39962310347125746</v>
      </c>
    </row>
    <row r="136" spans="2:23" ht="18.399999999999999" x14ac:dyDescent="0.85">
      <c r="B136" s="48">
        <v>701</v>
      </c>
      <c r="C136" s="49" t="s">
        <v>1</v>
      </c>
      <c r="D136" s="41">
        <v>3028.3948700000001</v>
      </c>
      <c r="E136" s="40">
        <v>1</v>
      </c>
      <c r="F136" s="41">
        <v>3714.4110699999992</v>
      </c>
      <c r="G136" s="40">
        <v>1</v>
      </c>
      <c r="H136" s="42">
        <v>-686.01619999999912</v>
      </c>
      <c r="I136" s="43">
        <v>-0.18469043599958884</v>
      </c>
      <c r="J136" s="41">
        <v>3402.58043</v>
      </c>
      <c r="K136" s="40">
        <v>1</v>
      </c>
      <c r="L136" s="42">
        <v>-374.1855599999999</v>
      </c>
      <c r="M136" s="44">
        <v>-0.10997111389369858</v>
      </c>
      <c r="N136" s="39">
        <v>14170.92791</v>
      </c>
      <c r="O136" s="40">
        <v>1</v>
      </c>
      <c r="P136" s="41">
        <v>19805.616730000002</v>
      </c>
      <c r="Q136" s="40">
        <v>1</v>
      </c>
      <c r="R136" s="42">
        <v>-5634.6888200000012</v>
      </c>
      <c r="S136" s="43">
        <v>-0.28449953853065402</v>
      </c>
      <c r="T136" s="41">
        <v>17945.083049999997</v>
      </c>
      <c r="U136" s="40">
        <v>1</v>
      </c>
      <c r="V136" s="42">
        <v>-3774.1551399999971</v>
      </c>
      <c r="W136" s="44">
        <v>-0.21031695030243941</v>
      </c>
    </row>
    <row r="137" spans="2:23" ht="18.399999999999999" x14ac:dyDescent="0.85">
      <c r="B137" s="48">
        <v>701</v>
      </c>
      <c r="C137" s="49" t="s">
        <v>56</v>
      </c>
      <c r="D137" s="41">
        <v>287.71895000000001</v>
      </c>
      <c r="E137" s="40">
        <v>9.5007078782959373E-2</v>
      </c>
      <c r="F137" s="41">
        <v>388.58788999999985</v>
      </c>
      <c r="G137" s="40">
        <v>0.10461628577905351</v>
      </c>
      <c r="H137" s="42">
        <v>-100.86893999999984</v>
      </c>
      <c r="I137" s="43">
        <v>-0.25957818706084712</v>
      </c>
      <c r="J137" s="41">
        <v>406.65014611695938</v>
      </c>
      <c r="K137" s="40">
        <v>0.11951228030690794</v>
      </c>
      <c r="L137" s="42">
        <v>-118.93119611695937</v>
      </c>
      <c r="M137" s="44">
        <v>-0.29246564215607773</v>
      </c>
      <c r="N137" s="39">
        <v>596.6158100000016</v>
      </c>
      <c r="O137" s="40">
        <v>4.2101393344820257E-2</v>
      </c>
      <c r="P137" s="41">
        <v>1072.3037699999998</v>
      </c>
      <c r="Q137" s="40">
        <v>5.4141397595347675E-2</v>
      </c>
      <c r="R137" s="42">
        <v>-475.68795999999816</v>
      </c>
      <c r="S137" s="43">
        <v>-0.4436130631154997</v>
      </c>
      <c r="T137" s="41">
        <v>822.51949890476988</v>
      </c>
      <c r="U137" s="40">
        <v>4.5835368753268046E-2</v>
      </c>
      <c r="V137" s="42">
        <v>-225.90368890476827</v>
      </c>
      <c r="W137" s="44">
        <v>-0.27464842986162824</v>
      </c>
    </row>
    <row r="138" spans="2:23" ht="18.399999999999999" x14ac:dyDescent="0.85">
      <c r="B138" s="48">
        <v>701</v>
      </c>
      <c r="C138" s="49" t="s">
        <v>57</v>
      </c>
      <c r="D138" s="41">
        <v>909.8047600000001</v>
      </c>
      <c r="E138" s="40">
        <v>0.30042474612962217</v>
      </c>
      <c r="F138" s="41">
        <v>1147.7592599999998</v>
      </c>
      <c r="G138" s="40">
        <v>0.30900167977369292</v>
      </c>
      <c r="H138" s="42">
        <v>-237.95449999999971</v>
      </c>
      <c r="I138" s="43">
        <v>-0.20732091501487843</v>
      </c>
      <c r="J138" s="41">
        <v>1058.5550661169598</v>
      </c>
      <c r="K138" s="40">
        <v>0.31110361324124813</v>
      </c>
      <c r="L138" s="42">
        <v>-148.75030611695968</v>
      </c>
      <c r="M138" s="44">
        <v>-0.14052202939485461</v>
      </c>
      <c r="N138" s="39">
        <v>3472.9324400000032</v>
      </c>
      <c r="O138" s="40">
        <v>0.2450744553960548</v>
      </c>
      <c r="P138" s="41">
        <v>4954.6698500000011</v>
      </c>
      <c r="Q138" s="40">
        <v>0.250164885928296</v>
      </c>
      <c r="R138" s="42">
        <v>-1481.7374099999979</v>
      </c>
      <c r="S138" s="43">
        <v>-0.29905875766878748</v>
      </c>
      <c r="T138" s="41">
        <v>4163.4163789047616</v>
      </c>
      <c r="U138" s="40">
        <v>0.23200875511717189</v>
      </c>
      <c r="V138" s="42">
        <v>-690.48393890475836</v>
      </c>
      <c r="W138" s="44">
        <v>-0.16584551629361624</v>
      </c>
    </row>
    <row r="139" spans="2:23" ht="18.399999999999999" x14ac:dyDescent="0.85">
      <c r="B139" s="48">
        <v>701</v>
      </c>
      <c r="C139" s="49" t="s">
        <v>2</v>
      </c>
      <c r="D139" s="41">
        <v>-24.077080000000002</v>
      </c>
      <c r="E139" s="40">
        <v>-7.9504427373435615E-3</v>
      </c>
      <c r="F139" s="41">
        <v>-23.982610000000001</v>
      </c>
      <c r="G139" s="40">
        <v>-6.4566386293911206E-3</v>
      </c>
      <c r="H139" s="42">
        <v>-9.4470000000001164E-2</v>
      </c>
      <c r="I139" s="43">
        <v>-3.9391042092583404E-3</v>
      </c>
      <c r="J139" s="41">
        <v>-16.758880000000001</v>
      </c>
      <c r="K139" s="40">
        <v>-4.925344262912839E-3</v>
      </c>
      <c r="L139" s="42">
        <v>-7.3182000000000009</v>
      </c>
      <c r="M139" s="44">
        <v>-0.43667595925264696</v>
      </c>
      <c r="N139" s="39">
        <v>-76.134690000000006</v>
      </c>
      <c r="O139" s="40">
        <v>-5.3725973686080241E-3</v>
      </c>
      <c r="P139" s="41">
        <v>-126.13234000000001</v>
      </c>
      <c r="Q139" s="40">
        <v>-6.3685136251750542E-3</v>
      </c>
      <c r="R139" s="42">
        <v>49.997650000000007</v>
      </c>
      <c r="S139" s="43">
        <v>0.39639041026274469</v>
      </c>
      <c r="T139" s="41">
        <v>-89.896839999999997</v>
      </c>
      <c r="U139" s="40">
        <v>-5.0095527420810689E-3</v>
      </c>
      <c r="V139" s="42">
        <v>13.762149999999991</v>
      </c>
      <c r="W139" s="44">
        <v>0.15308825093295816</v>
      </c>
    </row>
    <row r="140" spans="2:23" ht="18.399999999999999" x14ac:dyDescent="0.85">
      <c r="B140" s="48">
        <v>701</v>
      </c>
      <c r="C140" s="49" t="s">
        <v>58</v>
      </c>
      <c r="D140" s="41">
        <v>-51.884540000000001</v>
      </c>
      <c r="E140" s="40">
        <v>-1.7132686531066539E-2</v>
      </c>
      <c r="F140" s="41">
        <v>-66.054449999999989</v>
      </c>
      <c r="G140" s="40">
        <v>-1.7783290205410678E-2</v>
      </c>
      <c r="H140" s="42">
        <v>14.169909999999987</v>
      </c>
      <c r="I140" s="43">
        <v>0.21451862819234721</v>
      </c>
      <c r="J140" s="41">
        <v>-56.486120000000007</v>
      </c>
      <c r="K140" s="40">
        <v>-1.6600965403189605E-2</v>
      </c>
      <c r="L140" s="42">
        <v>4.6015800000000056</v>
      </c>
      <c r="M140" s="44">
        <v>8.1463906531374516E-2</v>
      </c>
      <c r="N140" s="39">
        <v>-237.96594999999999</v>
      </c>
      <c r="O140" s="40">
        <v>-1.6792545379620098E-2</v>
      </c>
      <c r="P140" s="41">
        <v>-352.91377</v>
      </c>
      <c r="Q140" s="40">
        <v>-1.7818873040466029E-2</v>
      </c>
      <c r="R140" s="42">
        <v>114.94782000000001</v>
      </c>
      <c r="S140" s="43">
        <v>0.32571078198507247</v>
      </c>
      <c r="T140" s="41">
        <v>-282.56409000000002</v>
      </c>
      <c r="U140" s="40">
        <v>-1.5746045265585998E-2</v>
      </c>
      <c r="V140" s="42">
        <v>44.598140000000029</v>
      </c>
      <c r="W140" s="44">
        <v>0.15783371482200736</v>
      </c>
    </row>
    <row r="141" spans="2:23" ht="18.399999999999999" x14ac:dyDescent="0.85">
      <c r="B141" s="48">
        <v>701</v>
      </c>
      <c r="C141" s="49" t="s">
        <v>59</v>
      </c>
      <c r="D141" s="41">
        <v>833.84314000000018</v>
      </c>
      <c r="E141" s="40">
        <v>0.27534161686121206</v>
      </c>
      <c r="F141" s="41">
        <v>1057.7221999999997</v>
      </c>
      <c r="G141" s="40">
        <v>0.28476175093889106</v>
      </c>
      <c r="H141" s="42">
        <v>-223.87905999999953</v>
      </c>
      <c r="I141" s="43">
        <v>-0.21166149297046011</v>
      </c>
      <c r="J141" s="41">
        <v>985.31006611695955</v>
      </c>
      <c r="K141" s="40">
        <v>0.28957730357514561</v>
      </c>
      <c r="L141" s="42">
        <v>-151.46692611695937</v>
      </c>
      <c r="M141" s="44">
        <v>-0.15372513823377479</v>
      </c>
      <c r="N141" s="39">
        <v>3158.8318000000036</v>
      </c>
      <c r="O141" s="40">
        <v>0.22290931264782671</v>
      </c>
      <c r="P141" s="41">
        <v>4475.6237400000009</v>
      </c>
      <c r="Q141" s="40">
        <v>0.2259774992626549</v>
      </c>
      <c r="R141" s="42">
        <v>-1316.7919399999973</v>
      </c>
      <c r="S141" s="43">
        <v>-0.29421417359806862</v>
      </c>
      <c r="T141" s="41">
        <v>3790.9554489047619</v>
      </c>
      <c r="U141" s="40">
        <v>0.21125315710950485</v>
      </c>
      <c r="V141" s="42">
        <v>-632.12364890475828</v>
      </c>
      <c r="W141" s="44">
        <v>-0.16674520643269072</v>
      </c>
    </row>
    <row r="142" spans="2:23" ht="18.399999999999999" x14ac:dyDescent="0.85">
      <c r="B142" s="48">
        <v>701</v>
      </c>
      <c r="C142" s="49" t="s">
        <v>3</v>
      </c>
      <c r="D142" s="41">
        <v>-281.72600000000011</v>
      </c>
      <c r="E142" s="40">
        <v>-9.3028159171330296E-2</v>
      </c>
      <c r="F142" s="41">
        <v>-293.52641</v>
      </c>
      <c r="G142" s="40">
        <v>-7.9023674135237823E-2</v>
      </c>
      <c r="H142" s="42">
        <v>11.800409999999886</v>
      </c>
      <c r="I142" s="43">
        <v>4.0202208721184185E-2</v>
      </c>
      <c r="J142" s="41">
        <v>-309.58156000000002</v>
      </c>
      <c r="K142" s="40">
        <v>-9.0984347429518372E-2</v>
      </c>
      <c r="L142" s="42">
        <v>27.855559999999912</v>
      </c>
      <c r="M142" s="44">
        <v>8.9978098178715521E-2</v>
      </c>
      <c r="N142" s="39">
        <v>-1075.12797</v>
      </c>
      <c r="O142" s="40">
        <v>-7.5868565335182769E-2</v>
      </c>
      <c r="P142" s="41">
        <v>-1238.4524999999999</v>
      </c>
      <c r="Q142" s="40">
        <v>-6.2530367869034278E-2</v>
      </c>
      <c r="R142" s="42">
        <v>163.32452999999987</v>
      </c>
      <c r="S142" s="43">
        <v>0.13187791215246436</v>
      </c>
      <c r="T142" s="41">
        <v>-1133.7306599999999</v>
      </c>
      <c r="U142" s="40">
        <v>-6.3177788413746022E-2</v>
      </c>
      <c r="V142" s="42">
        <v>58.602689999999939</v>
      </c>
      <c r="W142" s="44">
        <v>5.1690134233469472E-2</v>
      </c>
    </row>
    <row r="143" spans="2:23" ht="18.399999999999999" x14ac:dyDescent="0.85">
      <c r="B143" s="48">
        <v>701</v>
      </c>
      <c r="C143" s="49" t="s">
        <v>4</v>
      </c>
      <c r="D143" s="41">
        <v>-102.85971000000001</v>
      </c>
      <c r="E143" s="40">
        <v>-3.3965091877202924E-2</v>
      </c>
      <c r="F143" s="41">
        <v>-125.56036999999998</v>
      </c>
      <c r="G143" s="40">
        <v>-3.3803574142374074E-2</v>
      </c>
      <c r="H143" s="42">
        <v>22.700659999999971</v>
      </c>
      <c r="I143" s="43">
        <v>0.18079478421415909</v>
      </c>
      <c r="J143" s="41">
        <v>-111.61033999999999</v>
      </c>
      <c r="K143" s="40">
        <v>-3.2801675756419957E-2</v>
      </c>
      <c r="L143" s="42">
        <v>8.7506299999999868</v>
      </c>
      <c r="M143" s="44">
        <v>7.8403398824875792E-2</v>
      </c>
      <c r="N143" s="39">
        <v>-388.63345999999996</v>
      </c>
      <c r="O143" s="40">
        <v>-2.7424700941831266E-2</v>
      </c>
      <c r="P143" s="41">
        <v>-546.80583999999999</v>
      </c>
      <c r="Q143" s="40">
        <v>-2.7608624737837182E-2</v>
      </c>
      <c r="R143" s="42">
        <v>158.17238000000003</v>
      </c>
      <c r="S143" s="43">
        <v>0.28926607660225434</v>
      </c>
      <c r="T143" s="41">
        <v>-479.22044999999991</v>
      </c>
      <c r="U143" s="40">
        <v>-2.6704833221710834E-2</v>
      </c>
      <c r="V143" s="42">
        <v>90.586989999999957</v>
      </c>
      <c r="W143" s="44">
        <v>0.18902989219262237</v>
      </c>
    </row>
    <row r="144" spans="2:23" ht="18.399999999999999" x14ac:dyDescent="0.85">
      <c r="B144" s="48">
        <v>701</v>
      </c>
      <c r="C144" s="49" t="s">
        <v>60</v>
      </c>
      <c r="D144" s="41">
        <v>-141.14879999999999</v>
      </c>
      <c r="E144" s="40">
        <v>-4.6608453011941602E-2</v>
      </c>
      <c r="F144" s="41">
        <v>-140.00129999999999</v>
      </c>
      <c r="G144" s="40">
        <v>-3.7691385622539625E-2</v>
      </c>
      <c r="H144" s="42">
        <v>-1.147500000000008</v>
      </c>
      <c r="I144" s="43">
        <v>-8.196352462441478E-3</v>
      </c>
      <c r="J144" s="41">
        <v>-94.965000000000003</v>
      </c>
      <c r="K144" s="40">
        <v>-2.7909700285909188E-2</v>
      </c>
      <c r="L144" s="42">
        <v>-46.183799999999991</v>
      </c>
      <c r="M144" s="44">
        <v>-0.48632443531827502</v>
      </c>
      <c r="N144" s="39">
        <v>-564.59519999999998</v>
      </c>
      <c r="O144" s="40">
        <v>-3.9841794664806814E-2</v>
      </c>
      <c r="P144" s="41">
        <v>-560.00519999999995</v>
      </c>
      <c r="Q144" s="40">
        <v>-2.827507002858173E-2</v>
      </c>
      <c r="R144" s="42">
        <v>-4.5900000000000318</v>
      </c>
      <c r="S144" s="43">
        <v>-8.196352462441478E-3</v>
      </c>
      <c r="T144" s="41">
        <v>-379.86</v>
      </c>
      <c r="U144" s="40">
        <v>-2.116791540844945E-2</v>
      </c>
      <c r="V144" s="42">
        <v>-184.73519999999996</v>
      </c>
      <c r="W144" s="44">
        <v>-0.48632443531827502</v>
      </c>
    </row>
    <row r="145" spans="2:23" ht="18.399999999999999" x14ac:dyDescent="0.85">
      <c r="B145" s="48">
        <v>701</v>
      </c>
      <c r="C145" s="49" t="s">
        <v>61</v>
      </c>
      <c r="D145" s="41">
        <v>308.10863000000006</v>
      </c>
      <c r="E145" s="40">
        <v>0.10173991280073726</v>
      </c>
      <c r="F145" s="41">
        <v>498.63411999999971</v>
      </c>
      <c r="G145" s="40">
        <v>0.13424311703873956</v>
      </c>
      <c r="H145" s="42">
        <v>-190.52548999999965</v>
      </c>
      <c r="I145" s="43">
        <v>-0.3820947712122062</v>
      </c>
      <c r="J145" s="41">
        <v>469.15316611695948</v>
      </c>
      <c r="K145" s="40">
        <v>0.1378815801032981</v>
      </c>
      <c r="L145" s="42">
        <v>-161.04453611695942</v>
      </c>
      <c r="M145" s="44">
        <v>-0.34326643780298216</v>
      </c>
      <c r="N145" s="39">
        <v>1130.4751700000036</v>
      </c>
      <c r="O145" s="40">
        <v>7.9774251706005855E-2</v>
      </c>
      <c r="P145" s="41">
        <v>2130.360200000001</v>
      </c>
      <c r="Q145" s="40">
        <v>0.10756343662720171</v>
      </c>
      <c r="R145" s="42">
        <v>-999.88502999999741</v>
      </c>
      <c r="S145" s="43">
        <v>-0.46935022068098953</v>
      </c>
      <c r="T145" s="41">
        <v>1798.1443389047618</v>
      </c>
      <c r="U145" s="40">
        <v>0.10020262006559853</v>
      </c>
      <c r="V145" s="42">
        <v>-667.66916890475818</v>
      </c>
      <c r="W145" s="44">
        <v>-0.37131010812593124</v>
      </c>
    </row>
    <row r="146" spans="2:23" ht="18.399999999999999" x14ac:dyDescent="0.85">
      <c r="B146" s="48">
        <v>701</v>
      </c>
      <c r="C146" s="49" t="s">
        <v>62</v>
      </c>
      <c r="D146" s="41">
        <v>-117.86456</v>
      </c>
      <c r="E146" s="40">
        <v>-3.8919812329493216E-2</v>
      </c>
      <c r="F146" s="41">
        <v>-162.29333</v>
      </c>
      <c r="G146" s="40">
        <v>-4.36928834589113E-2</v>
      </c>
      <c r="H146" s="42">
        <v>44.42877</v>
      </c>
      <c r="I146" s="43">
        <v>0.27375598245473182</v>
      </c>
      <c r="J146" s="41">
        <v>-51.196069999999999</v>
      </c>
      <c r="K146" s="40">
        <v>-1.5046248296913881E-2</v>
      </c>
      <c r="L146" s="42">
        <v>-66.668489999999991</v>
      </c>
      <c r="M146" s="44">
        <v>-1.3022189007867204</v>
      </c>
      <c r="N146" s="39">
        <v>-327.24142999999998</v>
      </c>
      <c r="O146" s="40">
        <v>-2.3092448996870241E-2</v>
      </c>
      <c r="P146" s="41">
        <v>-650.14727000000005</v>
      </c>
      <c r="Q146" s="40">
        <v>-3.2826408733599682E-2</v>
      </c>
      <c r="R146" s="42">
        <v>322.90584000000007</v>
      </c>
      <c r="S146" s="43">
        <v>0.49666568622213864</v>
      </c>
      <c r="T146" s="41">
        <v>-205.16298000000003</v>
      </c>
      <c r="U146" s="40">
        <v>-1.1432824213092737E-2</v>
      </c>
      <c r="V146" s="42">
        <v>-122.07844999999995</v>
      </c>
      <c r="W146" s="44">
        <v>-0.59503156953559522</v>
      </c>
    </row>
    <row r="147" spans="2:23" ht="18.399999999999999" x14ac:dyDescent="0.85">
      <c r="B147" s="48">
        <v>701</v>
      </c>
      <c r="C147" s="50" t="s">
        <v>5</v>
      </c>
      <c r="D147" s="51">
        <v>190.24407000000008</v>
      </c>
      <c r="E147" s="52">
        <v>6.2820100471244048E-2</v>
      </c>
      <c r="F147" s="51">
        <v>336.34078999999974</v>
      </c>
      <c r="G147" s="52">
        <v>9.0550233579828263E-2</v>
      </c>
      <c r="H147" s="53">
        <v>-146.09671999999966</v>
      </c>
      <c r="I147" s="54">
        <v>-0.43437110318971356</v>
      </c>
      <c r="J147" s="51">
        <v>417.95709611695946</v>
      </c>
      <c r="K147" s="52">
        <v>0.12283533180638422</v>
      </c>
      <c r="L147" s="53">
        <v>-227.71302611695938</v>
      </c>
      <c r="M147" s="55">
        <v>-0.54482392626547738</v>
      </c>
      <c r="N147" s="56">
        <v>803.23374000000354</v>
      </c>
      <c r="O147" s="52">
        <v>5.6681802709135615E-2</v>
      </c>
      <c r="P147" s="51">
        <v>1480.2129300000011</v>
      </c>
      <c r="Q147" s="52">
        <v>7.4737027893602023E-2</v>
      </c>
      <c r="R147" s="53">
        <v>-676.97918999999752</v>
      </c>
      <c r="S147" s="54">
        <v>-0.45735257156549569</v>
      </c>
      <c r="T147" s="51">
        <v>1592.9813589047617</v>
      </c>
      <c r="U147" s="52">
        <v>8.8769795852505787E-2</v>
      </c>
      <c r="V147" s="53">
        <v>-789.74761890475816</v>
      </c>
      <c r="W147" s="55">
        <v>-0.49576701854674632</v>
      </c>
    </row>
    <row r="148" spans="2:23" ht="18.399999999999999" x14ac:dyDescent="0.85">
      <c r="B148" s="48">
        <v>10002</v>
      </c>
      <c r="C148" s="49" t="s">
        <v>1</v>
      </c>
      <c r="D148" s="41">
        <v>3536.0678600000001</v>
      </c>
      <c r="E148" s="40">
        <v>1</v>
      </c>
      <c r="F148" s="41">
        <v>3632.2934700000001</v>
      </c>
      <c r="G148" s="40">
        <v>1</v>
      </c>
      <c r="H148" s="42">
        <v>-96.225609999999961</v>
      </c>
      <c r="I148" s="43">
        <v>-2.649169479139029E-2</v>
      </c>
      <c r="J148" s="41">
        <v>3676.5782400000003</v>
      </c>
      <c r="K148" s="40">
        <v>1</v>
      </c>
      <c r="L148" s="42">
        <v>-140.51038000000017</v>
      </c>
      <c r="M148" s="44">
        <v>-3.8217704296699573E-2</v>
      </c>
      <c r="N148" s="39">
        <v>22333.22581</v>
      </c>
      <c r="O148" s="40">
        <v>1</v>
      </c>
      <c r="P148" s="41">
        <v>19298.603470000005</v>
      </c>
      <c r="Q148" s="40">
        <v>1</v>
      </c>
      <c r="R148" s="42">
        <v>3034.6223399999944</v>
      </c>
      <c r="S148" s="43">
        <v>0.15724569628664398</v>
      </c>
      <c r="T148" s="41">
        <v>22005.440879999998</v>
      </c>
      <c r="U148" s="40">
        <v>1</v>
      </c>
      <c r="V148" s="42">
        <v>327.78493000000162</v>
      </c>
      <c r="W148" s="44">
        <v>1.489563112084313E-2</v>
      </c>
    </row>
    <row r="149" spans="2:23" ht="18.399999999999999" x14ac:dyDescent="0.85">
      <c r="B149" s="48">
        <v>10002</v>
      </c>
      <c r="C149" s="49" t="s">
        <v>56</v>
      </c>
      <c r="D149" s="41">
        <v>270.33910999999989</v>
      </c>
      <c r="E149" s="40">
        <v>7.6451901010745837E-2</v>
      </c>
      <c r="F149" s="41">
        <v>318.4375100000002</v>
      </c>
      <c r="G149" s="40">
        <v>8.766844216472415E-2</v>
      </c>
      <c r="H149" s="42">
        <v>-48.098400000000311</v>
      </c>
      <c r="I149" s="43">
        <v>-0.15104501979054</v>
      </c>
      <c r="J149" s="41">
        <v>302.2941252014848</v>
      </c>
      <c r="K149" s="40">
        <v>8.2221594501273226E-2</v>
      </c>
      <c r="L149" s="42">
        <v>-31.955015201484912</v>
      </c>
      <c r="M149" s="44">
        <v>-0.10570835665491773</v>
      </c>
      <c r="N149" s="39">
        <v>83.634920000001529</v>
      </c>
      <c r="O149" s="40">
        <v>3.7448651937488078E-3</v>
      </c>
      <c r="P149" s="41">
        <v>758.14798000000019</v>
      </c>
      <c r="Q149" s="40">
        <v>3.9285121391221575E-2</v>
      </c>
      <c r="R149" s="42">
        <v>-674.51305999999863</v>
      </c>
      <c r="S149" s="43">
        <v>-0.8896852300523157</v>
      </c>
      <c r="T149" s="41">
        <v>264.96195316220019</v>
      </c>
      <c r="U149" s="40">
        <v>1.2040747313679824E-2</v>
      </c>
      <c r="V149" s="42">
        <v>-181.32703316219866</v>
      </c>
      <c r="W149" s="44">
        <v>-0.68435120966668284</v>
      </c>
    </row>
    <row r="150" spans="2:23" ht="18.399999999999999" x14ac:dyDescent="0.85">
      <c r="B150" s="48">
        <v>10002</v>
      </c>
      <c r="C150" s="49" t="s">
        <v>57</v>
      </c>
      <c r="D150" s="41">
        <v>982.49837999999977</v>
      </c>
      <c r="E150" s="40">
        <v>0.27785054441800211</v>
      </c>
      <c r="F150" s="41">
        <v>1088.1273800000008</v>
      </c>
      <c r="G150" s="40">
        <v>0.29957033730537219</v>
      </c>
      <c r="H150" s="42">
        <v>-105.62900000000104</v>
      </c>
      <c r="I150" s="43">
        <v>-9.7074112775290114E-2</v>
      </c>
      <c r="J150" s="41">
        <v>1038.0078192041976</v>
      </c>
      <c r="K150" s="40">
        <v>0.28232985984386327</v>
      </c>
      <c r="L150" s="42">
        <v>-55.509439204197861</v>
      </c>
      <c r="M150" s="44">
        <v>-5.3476898899234598E-2</v>
      </c>
      <c r="N150" s="39">
        <v>4679.6960400000034</v>
      </c>
      <c r="O150" s="40">
        <v>0.20953963748061002</v>
      </c>
      <c r="P150" s="41">
        <v>4649.7724200000021</v>
      </c>
      <c r="Q150" s="40">
        <v>0.24093828484678434</v>
      </c>
      <c r="R150" s="42">
        <v>29.923620000001392</v>
      </c>
      <c r="S150" s="43">
        <v>6.4355020627012488E-3</v>
      </c>
      <c r="T150" s="41">
        <v>4442.234141978437</v>
      </c>
      <c r="U150" s="40">
        <v>0.20186980875333579</v>
      </c>
      <c r="V150" s="42">
        <v>237.46189802156641</v>
      </c>
      <c r="W150" s="44">
        <v>5.3455511445825783E-2</v>
      </c>
    </row>
    <row r="151" spans="2:23" ht="18.399999999999999" x14ac:dyDescent="0.85">
      <c r="B151" s="48">
        <v>10002</v>
      </c>
      <c r="C151" s="49" t="s">
        <v>2</v>
      </c>
      <c r="D151" s="41">
        <v>-8.8655299999999997</v>
      </c>
      <c r="E151" s="40">
        <v>-2.5071719070459239E-3</v>
      </c>
      <c r="F151" s="41">
        <v>-25.096589999999999</v>
      </c>
      <c r="G151" s="40">
        <v>-6.9092957954193053E-3</v>
      </c>
      <c r="H151" s="42">
        <v>16.231059999999999</v>
      </c>
      <c r="I151" s="43">
        <v>0.64674364126759853</v>
      </c>
      <c r="J151" s="41">
        <v>-34.679819999999999</v>
      </c>
      <c r="K151" s="40">
        <v>-9.4326348403781009E-3</v>
      </c>
      <c r="L151" s="42">
        <v>25.81429</v>
      </c>
      <c r="M151" s="44">
        <v>0.74436055319779626</v>
      </c>
      <c r="N151" s="39">
        <v>-78.406859999999995</v>
      </c>
      <c r="O151" s="40">
        <v>-3.5107718279055E-3</v>
      </c>
      <c r="P151" s="41">
        <v>-128.90877999999998</v>
      </c>
      <c r="Q151" s="40">
        <v>-6.6796947354450173E-3</v>
      </c>
      <c r="R151" s="42">
        <v>50.501919999999984</v>
      </c>
      <c r="S151" s="43">
        <v>0.39176478126625658</v>
      </c>
      <c r="T151" s="41">
        <v>-131.65797000000001</v>
      </c>
      <c r="U151" s="40">
        <v>-5.9829735163206606E-3</v>
      </c>
      <c r="V151" s="42">
        <v>53.251110000000011</v>
      </c>
      <c r="W151" s="44">
        <v>0.40446552533052127</v>
      </c>
    </row>
    <row r="152" spans="2:23" ht="18.399999999999999" x14ac:dyDescent="0.85">
      <c r="B152" s="48">
        <v>10002</v>
      </c>
      <c r="C152" s="49" t="s">
        <v>58</v>
      </c>
      <c r="D152" s="41">
        <v>-62.173189999999991</v>
      </c>
      <c r="E152" s="40">
        <v>-1.7582578293619058E-2</v>
      </c>
      <c r="F152" s="41">
        <v>-68.977400000000003</v>
      </c>
      <c r="G152" s="40">
        <v>-1.8990040471592182E-2</v>
      </c>
      <c r="H152" s="42">
        <v>6.8042100000000119</v>
      </c>
      <c r="I152" s="43">
        <v>9.8644048630421144E-2</v>
      </c>
      <c r="J152" s="41">
        <v>-58.140277528647474</v>
      </c>
      <c r="K152" s="40">
        <v>-1.5813692442635866E-2</v>
      </c>
      <c r="L152" s="42">
        <v>-4.0329124713525175</v>
      </c>
      <c r="M152" s="44">
        <v>-6.9365208471276724E-2</v>
      </c>
      <c r="N152" s="39">
        <v>-363.26979999999998</v>
      </c>
      <c r="O152" s="40">
        <v>-1.6265890252062962E-2</v>
      </c>
      <c r="P152" s="41">
        <v>-366.80482000000001</v>
      </c>
      <c r="Q152" s="40">
        <v>-1.9006806402867654E-2</v>
      </c>
      <c r="R152" s="42">
        <v>3.5350200000000314</v>
      </c>
      <c r="S152" s="43">
        <v>9.6373324647152439E-3</v>
      </c>
      <c r="T152" s="41">
        <v>-332.60495160580308</v>
      </c>
      <c r="U152" s="40">
        <v>-1.5114668841199927E-2</v>
      </c>
      <c r="V152" s="42">
        <v>-30.664848394196895</v>
      </c>
      <c r="W152" s="44">
        <v>-9.2196006842797329E-2</v>
      </c>
    </row>
    <row r="153" spans="2:23" ht="18.399999999999999" x14ac:dyDescent="0.85">
      <c r="B153" s="48">
        <v>10002</v>
      </c>
      <c r="C153" s="49" t="s">
        <v>59</v>
      </c>
      <c r="D153" s="41">
        <v>911.45965999999976</v>
      </c>
      <c r="E153" s="40">
        <v>0.25776079421733716</v>
      </c>
      <c r="F153" s="41">
        <v>994.0533900000006</v>
      </c>
      <c r="G153" s="40">
        <v>0.27367100103836062</v>
      </c>
      <c r="H153" s="42">
        <v>-82.593730000000846</v>
      </c>
      <c r="I153" s="43">
        <v>-8.3087820866443396E-2</v>
      </c>
      <c r="J153" s="41">
        <v>945.18772167555028</v>
      </c>
      <c r="K153" s="40">
        <v>0.25708353256084937</v>
      </c>
      <c r="L153" s="42">
        <v>-33.728061675550521</v>
      </c>
      <c r="M153" s="44">
        <v>-3.5683982030321144E-2</v>
      </c>
      <c r="N153" s="39">
        <v>4238.0193800000034</v>
      </c>
      <c r="O153" s="40">
        <v>0.18976297540064158</v>
      </c>
      <c r="P153" s="41">
        <v>4154.058820000002</v>
      </c>
      <c r="Q153" s="40">
        <v>0.21525178370847167</v>
      </c>
      <c r="R153" s="42">
        <v>83.960560000001351</v>
      </c>
      <c r="S153" s="43">
        <v>2.0211692621146204E-2</v>
      </c>
      <c r="T153" s="41">
        <v>3977.9712203726335</v>
      </c>
      <c r="U153" s="40">
        <v>0.1807721663958152</v>
      </c>
      <c r="V153" s="42">
        <v>260.04815962736984</v>
      </c>
      <c r="W153" s="44">
        <v>6.5372056563800379E-2</v>
      </c>
    </row>
    <row r="154" spans="2:23" ht="18.399999999999999" x14ac:dyDescent="0.85">
      <c r="B154" s="48">
        <v>10002</v>
      </c>
      <c r="C154" s="49" t="s">
        <v>3</v>
      </c>
      <c r="D154" s="41">
        <v>-465.20892000000032</v>
      </c>
      <c r="E154" s="40">
        <v>-0.13156108378530956</v>
      </c>
      <c r="F154" s="41">
        <v>-396.16899000000001</v>
      </c>
      <c r="G154" s="40">
        <v>-0.10906855221695509</v>
      </c>
      <c r="H154" s="42">
        <v>-69.039930000000311</v>
      </c>
      <c r="I154" s="43">
        <v>-0.17426888964732024</v>
      </c>
      <c r="J154" s="41">
        <v>-530.99418000000003</v>
      </c>
      <c r="K154" s="40">
        <v>-0.14442618797635054</v>
      </c>
      <c r="L154" s="42">
        <v>65.78525999999971</v>
      </c>
      <c r="M154" s="44">
        <v>0.12389073642953997</v>
      </c>
      <c r="N154" s="39">
        <v>-1905.4050899999995</v>
      </c>
      <c r="O154" s="40">
        <v>-8.5317056577954312E-2</v>
      </c>
      <c r="P154" s="41">
        <v>-1677.6926400000002</v>
      </c>
      <c r="Q154" s="40">
        <v>-8.6933370210336772E-2</v>
      </c>
      <c r="R154" s="42">
        <v>-227.71244999999931</v>
      </c>
      <c r="S154" s="43">
        <v>-0.13572953982798619</v>
      </c>
      <c r="T154" s="41">
        <v>-2013.0301700000005</v>
      </c>
      <c r="U154" s="40">
        <v>-9.1478747505103417E-2</v>
      </c>
      <c r="V154" s="42">
        <v>107.62508000000093</v>
      </c>
      <c r="W154" s="44">
        <v>5.3464216087730526E-2</v>
      </c>
    </row>
    <row r="155" spans="2:23" ht="18.399999999999999" x14ac:dyDescent="0.85">
      <c r="B155" s="48">
        <v>10002</v>
      </c>
      <c r="C155" s="49" t="s">
        <v>4</v>
      </c>
      <c r="D155" s="41">
        <v>-291.00781000000001</v>
      </c>
      <c r="E155" s="40">
        <v>-8.2297009424474113E-2</v>
      </c>
      <c r="F155" s="41">
        <v>-288.20068000000003</v>
      </c>
      <c r="G155" s="40">
        <v>-7.9343996397956251E-2</v>
      </c>
      <c r="H155" s="42">
        <v>-2.8071299999999724</v>
      </c>
      <c r="I155" s="43">
        <v>-9.7401921466665937E-3</v>
      </c>
      <c r="J155" s="41">
        <v>-290.42016999999998</v>
      </c>
      <c r="K155" s="40">
        <v>-7.8991973253913383E-2</v>
      </c>
      <c r="L155" s="42">
        <v>-0.5876400000000217</v>
      </c>
      <c r="M155" s="44">
        <v>-2.0234131809785173E-3</v>
      </c>
      <c r="N155" s="39">
        <v>-1162.84058</v>
      </c>
      <c r="O155" s="40">
        <v>-5.2067739335681755E-2</v>
      </c>
      <c r="P155" s="41">
        <v>-1170.7326800000001</v>
      </c>
      <c r="Q155" s="40">
        <v>-6.0664113951039163E-2</v>
      </c>
      <c r="R155" s="42">
        <v>7.8921000000000276</v>
      </c>
      <c r="S155" s="43">
        <v>6.7411631492169735E-3</v>
      </c>
      <c r="T155" s="41">
        <v>-1233.3777300000002</v>
      </c>
      <c r="U155" s="40">
        <v>-5.6048762518590367E-2</v>
      </c>
      <c r="V155" s="42">
        <v>70.537150000000111</v>
      </c>
      <c r="W155" s="44">
        <v>5.7190225090248792E-2</v>
      </c>
    </row>
    <row r="156" spans="2:23" ht="18.399999999999999" x14ac:dyDescent="0.85">
      <c r="B156" s="48">
        <v>10002</v>
      </c>
      <c r="C156" s="49" t="s">
        <v>60</v>
      </c>
      <c r="D156" s="41">
        <v>-152.25509999999997</v>
      </c>
      <c r="E156" s="40">
        <v>-4.3057742675786763E-2</v>
      </c>
      <c r="F156" s="41">
        <v>-166.0215</v>
      </c>
      <c r="G156" s="40">
        <v>-4.5707072231693881E-2</v>
      </c>
      <c r="H156" s="42">
        <v>13.766400000000033</v>
      </c>
      <c r="I156" s="43">
        <v>8.2919380923555275E-2</v>
      </c>
      <c r="J156" s="41">
        <v>-415.06581</v>
      </c>
      <c r="K156" s="40">
        <v>-0.11289459462176439</v>
      </c>
      <c r="L156" s="42">
        <v>262.81071000000003</v>
      </c>
      <c r="M156" s="44">
        <v>0.63317841091271776</v>
      </c>
      <c r="N156" s="39">
        <v>-1290.90672</v>
      </c>
      <c r="O156" s="40">
        <v>-5.7802071719616037E-2</v>
      </c>
      <c r="P156" s="41">
        <v>-897.84528</v>
      </c>
      <c r="Q156" s="40">
        <v>-4.6523847251212509E-2</v>
      </c>
      <c r="R156" s="42">
        <v>-393.06143999999995</v>
      </c>
      <c r="S156" s="43">
        <v>-0.43778304431248993</v>
      </c>
      <c r="T156" s="41">
        <v>-1288.77414</v>
      </c>
      <c r="U156" s="40">
        <v>-5.8566158570870684E-2</v>
      </c>
      <c r="V156" s="42">
        <v>-2.1325799999999617</v>
      </c>
      <c r="W156" s="44">
        <v>-1.6547352509726505E-3</v>
      </c>
    </row>
    <row r="157" spans="2:23" ht="18.399999999999999" x14ac:dyDescent="0.85">
      <c r="B157" s="48">
        <v>10002</v>
      </c>
      <c r="C157" s="49" t="s">
        <v>61</v>
      </c>
      <c r="D157" s="41">
        <v>2.9878299999994624</v>
      </c>
      <c r="E157" s="40">
        <v>8.4495833176670497E-4</v>
      </c>
      <c r="F157" s="41">
        <v>143.6622200000005</v>
      </c>
      <c r="G157" s="40">
        <v>3.95513801917554E-2</v>
      </c>
      <c r="H157" s="42">
        <v>-140.67439000000104</v>
      </c>
      <c r="I157" s="43">
        <v>-0.97920239573076728</v>
      </c>
      <c r="J157" s="41">
        <v>-291.29243832444979</v>
      </c>
      <c r="K157" s="40">
        <v>-7.9229223291178971E-2</v>
      </c>
      <c r="L157" s="42">
        <v>294.28026832444925</v>
      </c>
      <c r="M157" s="44">
        <v>1.010257149197507</v>
      </c>
      <c r="N157" s="39">
        <v>-121.13300999999592</v>
      </c>
      <c r="O157" s="40">
        <v>-5.4238922326105259E-3</v>
      </c>
      <c r="P157" s="41">
        <v>407.78822000000173</v>
      </c>
      <c r="Q157" s="40">
        <v>2.1130452295883232E-2</v>
      </c>
      <c r="R157" s="42">
        <v>-528.92122999999765</v>
      </c>
      <c r="S157" s="43">
        <v>-1.2970488210767721</v>
      </c>
      <c r="T157" s="41">
        <v>-557.21081962736707</v>
      </c>
      <c r="U157" s="40">
        <v>-2.5321502198749273E-2</v>
      </c>
      <c r="V157" s="42">
        <v>436.07780962737115</v>
      </c>
      <c r="W157" s="44">
        <v>0.7826082952211818</v>
      </c>
    </row>
    <row r="158" spans="2:23" ht="18.399999999999999" x14ac:dyDescent="0.85">
      <c r="B158" s="48">
        <v>10002</v>
      </c>
      <c r="C158" s="49" t="s">
        <v>62</v>
      </c>
      <c r="D158" s="41">
        <v>-88.774349999999998</v>
      </c>
      <c r="E158" s="40">
        <v>-2.5105386410768711E-2</v>
      </c>
      <c r="F158" s="41">
        <v>-86.060169999999999</v>
      </c>
      <c r="G158" s="40">
        <v>-2.369306629841228E-2</v>
      </c>
      <c r="H158" s="42">
        <v>-2.7141799999999989</v>
      </c>
      <c r="I158" s="43">
        <v>-3.1538166843035509E-2</v>
      </c>
      <c r="J158" s="41">
        <v>-87.793670000000006</v>
      </c>
      <c r="K158" s="40">
        <v>-2.3879179027072737E-2</v>
      </c>
      <c r="L158" s="42">
        <v>-0.98067999999999245</v>
      </c>
      <c r="M158" s="44">
        <v>-1.1170281410949017E-2</v>
      </c>
      <c r="N158" s="39">
        <v>-361.59676000000002</v>
      </c>
      <c r="O158" s="40">
        <v>-1.6190977652591962E-2</v>
      </c>
      <c r="P158" s="41">
        <v>-345.63357999999999</v>
      </c>
      <c r="Q158" s="40">
        <v>-1.7909771582036649E-2</v>
      </c>
      <c r="R158" s="42">
        <v>-15.963180000000023</v>
      </c>
      <c r="S158" s="43">
        <v>-4.618526938267984E-2</v>
      </c>
      <c r="T158" s="41">
        <v>-431.18723999999997</v>
      </c>
      <c r="U158" s="40">
        <v>-1.959457401246123E-2</v>
      </c>
      <c r="V158" s="42">
        <v>69.590479999999957</v>
      </c>
      <c r="W158" s="44">
        <v>0.16139271653771564</v>
      </c>
    </row>
    <row r="159" spans="2:23" ht="18.399999999999999" x14ac:dyDescent="0.85">
      <c r="B159" s="48">
        <v>10002</v>
      </c>
      <c r="C159" s="50" t="s">
        <v>5</v>
      </c>
      <c r="D159" s="51">
        <v>-85.786520000000536</v>
      </c>
      <c r="E159" s="52">
        <v>-2.4260428079002007E-2</v>
      </c>
      <c r="F159" s="51">
        <v>57.602050000000503</v>
      </c>
      <c r="G159" s="52">
        <v>1.5858313893343124E-2</v>
      </c>
      <c r="H159" s="53">
        <v>-143.38857000000104</v>
      </c>
      <c r="I159" s="54">
        <v>-2.4892963010865028</v>
      </c>
      <c r="J159" s="51">
        <v>-379.08610832444981</v>
      </c>
      <c r="K159" s="52">
        <v>-0.1031084023182517</v>
      </c>
      <c r="L159" s="53">
        <v>293.29958832444925</v>
      </c>
      <c r="M159" s="55">
        <v>0.77370175768462046</v>
      </c>
      <c r="N159" s="56">
        <v>-482.72976999999594</v>
      </c>
      <c r="O159" s="52">
        <v>-2.161486988520249E-2</v>
      </c>
      <c r="P159" s="51">
        <v>62.154640000001734</v>
      </c>
      <c r="Q159" s="52">
        <v>3.2206807138465817E-3</v>
      </c>
      <c r="R159" s="53">
        <v>-544.88440999999762</v>
      </c>
      <c r="S159" s="54">
        <v>-8.7665926469847211</v>
      </c>
      <c r="T159" s="51">
        <v>-988.39805962736705</v>
      </c>
      <c r="U159" s="52">
        <v>-4.4916076211210507E-2</v>
      </c>
      <c r="V159" s="53">
        <v>505.66828962737111</v>
      </c>
      <c r="W159" s="55">
        <v>0.51160388742366769</v>
      </c>
    </row>
    <row r="160" spans="2:23" ht="18.399999999999999" x14ac:dyDescent="0.85">
      <c r="B160" s="48">
        <v>10003</v>
      </c>
      <c r="C160" s="49" t="s">
        <v>1</v>
      </c>
      <c r="D160" s="41">
        <v>7488.3721500000001</v>
      </c>
      <c r="E160" s="40">
        <v>1</v>
      </c>
      <c r="F160" s="41">
        <v>6479.2193400000006</v>
      </c>
      <c r="G160" s="40">
        <v>1</v>
      </c>
      <c r="H160" s="42">
        <v>1009.1528099999996</v>
      </c>
      <c r="I160" s="43">
        <v>0.15575222214965168</v>
      </c>
      <c r="J160" s="41">
        <v>6009.5886</v>
      </c>
      <c r="K160" s="40">
        <v>1</v>
      </c>
      <c r="L160" s="42">
        <v>1478.7835500000001</v>
      </c>
      <c r="M160" s="44">
        <v>0.24607067944717548</v>
      </c>
      <c r="N160" s="39">
        <v>34145.193350000001</v>
      </c>
      <c r="O160" s="40">
        <v>1</v>
      </c>
      <c r="P160" s="41">
        <v>34354.519239999994</v>
      </c>
      <c r="Q160" s="40">
        <v>1</v>
      </c>
      <c r="R160" s="42">
        <v>-209.3258899999928</v>
      </c>
      <c r="S160" s="43">
        <v>-6.0931107356690471E-3</v>
      </c>
      <c r="T160" s="41">
        <v>31998.823239999998</v>
      </c>
      <c r="U160" s="40">
        <v>1</v>
      </c>
      <c r="V160" s="42">
        <v>2146.3701100000035</v>
      </c>
      <c r="W160" s="44">
        <v>6.7076532593140559E-2</v>
      </c>
    </row>
    <row r="161" spans="2:23" ht="18.399999999999999" x14ac:dyDescent="0.85">
      <c r="B161" s="48">
        <v>10003</v>
      </c>
      <c r="C161" s="49" t="s">
        <v>56</v>
      </c>
      <c r="D161" s="41">
        <v>938.34034000000042</v>
      </c>
      <c r="E161" s="40">
        <v>0.12530631774223458</v>
      </c>
      <c r="F161" s="41">
        <v>800.86359000000095</v>
      </c>
      <c r="G161" s="40">
        <v>0.12360495114832783</v>
      </c>
      <c r="H161" s="42">
        <v>137.47674999999947</v>
      </c>
      <c r="I161" s="43">
        <v>0.17166063199352002</v>
      </c>
      <c r="J161" s="41">
        <v>858.3483983628862</v>
      </c>
      <c r="K161" s="40">
        <v>0.14282981007433457</v>
      </c>
      <c r="L161" s="42">
        <v>79.991941637114223</v>
      </c>
      <c r="M161" s="44">
        <v>9.3192859437591466E-2</v>
      </c>
      <c r="N161" s="39">
        <v>3240.5850999999943</v>
      </c>
      <c r="O161" s="40">
        <v>9.4906040413445025E-2</v>
      </c>
      <c r="P161" s="41">
        <v>2739.940070000001</v>
      </c>
      <c r="Q161" s="40">
        <v>7.9754865753143972E-2</v>
      </c>
      <c r="R161" s="42">
        <v>500.64502999999331</v>
      </c>
      <c r="S161" s="43">
        <v>0.18272116075881656</v>
      </c>
      <c r="T161" s="41">
        <v>2925.3352231495533</v>
      </c>
      <c r="U161" s="40">
        <v>9.1420087582869292E-2</v>
      </c>
      <c r="V161" s="42">
        <v>315.24987685044107</v>
      </c>
      <c r="W161" s="44">
        <v>0.10776538509355117</v>
      </c>
    </row>
    <row r="162" spans="2:23" ht="18.399999999999999" x14ac:dyDescent="0.85">
      <c r="B162" s="48">
        <v>10003</v>
      </c>
      <c r="C162" s="49" t="s">
        <v>57</v>
      </c>
      <c r="D162" s="41">
        <v>2424.9950800000006</v>
      </c>
      <c r="E162" s="40">
        <v>0.32383474424411457</v>
      </c>
      <c r="F162" s="41">
        <v>2103.1268100000011</v>
      </c>
      <c r="G162" s="40">
        <v>0.32459571124813952</v>
      </c>
      <c r="H162" s="42">
        <v>321.86826999999948</v>
      </c>
      <c r="I162" s="43">
        <v>0.15304273069487395</v>
      </c>
      <c r="J162" s="41">
        <v>2034.0595848466182</v>
      </c>
      <c r="K162" s="40">
        <v>0.33846902346137608</v>
      </c>
      <c r="L162" s="42">
        <v>390.93549515338236</v>
      </c>
      <c r="M162" s="44">
        <v>0.19219471153440254</v>
      </c>
      <c r="N162" s="39">
        <v>10062.44003</v>
      </c>
      <c r="O162" s="40">
        <v>0.2946956523823579</v>
      </c>
      <c r="P162" s="41">
        <v>9378.7189400000007</v>
      </c>
      <c r="Q162" s="40">
        <v>0.27299811342084151</v>
      </c>
      <c r="R162" s="42">
        <v>683.72108999999909</v>
      </c>
      <c r="S162" s="43">
        <v>7.2901330594730349E-2</v>
      </c>
      <c r="T162" s="41">
        <v>8827.1039967345878</v>
      </c>
      <c r="U162" s="40">
        <v>0.27585714419961238</v>
      </c>
      <c r="V162" s="42">
        <v>1235.336033265412</v>
      </c>
      <c r="W162" s="44">
        <v>0.13994805473260541</v>
      </c>
    </row>
    <row r="163" spans="2:23" ht="18.399999999999999" x14ac:dyDescent="0.85">
      <c r="B163" s="48">
        <v>10003</v>
      </c>
      <c r="C163" s="49" t="s">
        <v>2</v>
      </c>
      <c r="D163" s="41">
        <v>-42.490729999999999</v>
      </c>
      <c r="E163" s="40">
        <v>-5.6742278760811855E-3</v>
      </c>
      <c r="F163" s="41">
        <v>-40.446259999999995</v>
      </c>
      <c r="G163" s="40">
        <v>-6.2424588330111993E-3</v>
      </c>
      <c r="H163" s="42">
        <v>-2.044470000000004</v>
      </c>
      <c r="I163" s="43">
        <v>-5.0547813320687855E-2</v>
      </c>
      <c r="J163" s="41">
        <v>-43.817050000000002</v>
      </c>
      <c r="K163" s="40">
        <v>-7.2911896165404732E-3</v>
      </c>
      <c r="L163" s="42">
        <v>1.3263200000000026</v>
      </c>
      <c r="M163" s="44">
        <v>3.0269495550248191E-2</v>
      </c>
      <c r="N163" s="39">
        <v>-116.60088000000002</v>
      </c>
      <c r="O163" s="40">
        <v>-3.414854875905982E-3</v>
      </c>
      <c r="P163" s="41">
        <v>-213.42850999999996</v>
      </c>
      <c r="Q163" s="40">
        <v>-6.2125308320862419E-3</v>
      </c>
      <c r="R163" s="42">
        <v>96.827629999999942</v>
      </c>
      <c r="S163" s="43">
        <v>0.45367711183477766</v>
      </c>
      <c r="T163" s="41">
        <v>-182.12539000000001</v>
      </c>
      <c r="U163" s="40">
        <v>-5.6916277399956042E-3</v>
      </c>
      <c r="V163" s="42">
        <v>65.524509999999992</v>
      </c>
      <c r="W163" s="44">
        <v>0.35977690974333665</v>
      </c>
    </row>
    <row r="164" spans="2:23" ht="18.399999999999999" x14ac:dyDescent="0.85">
      <c r="B164" s="48">
        <v>10003</v>
      </c>
      <c r="C164" s="49" t="s">
        <v>58</v>
      </c>
      <c r="D164" s="41">
        <v>-134.19509999999997</v>
      </c>
      <c r="E164" s="40">
        <v>-1.7920463528244914E-2</v>
      </c>
      <c r="F164" s="41">
        <v>-120.30067999999999</v>
      </c>
      <c r="G164" s="40">
        <v>-1.8567156579699921E-2</v>
      </c>
      <c r="H164" s="42">
        <v>-13.894419999999982</v>
      </c>
      <c r="I164" s="43">
        <v>-0.11549743525971744</v>
      </c>
      <c r="J164" s="41">
        <v>-103.64173714251581</v>
      </c>
      <c r="K164" s="40">
        <v>-1.724606192552279E-2</v>
      </c>
      <c r="L164" s="42">
        <v>-30.55336285748416</v>
      </c>
      <c r="M164" s="44">
        <v>-0.29479786522171858</v>
      </c>
      <c r="N164" s="39">
        <v>-585.98802999999998</v>
      </c>
      <c r="O164" s="40">
        <v>-1.7161655053272672E-2</v>
      </c>
      <c r="P164" s="41">
        <v>-642.59945000000005</v>
      </c>
      <c r="Q164" s="40">
        <v>-1.8704946662499129E-2</v>
      </c>
      <c r="R164" s="42">
        <v>56.611420000000066</v>
      </c>
      <c r="S164" s="43">
        <v>8.8097523270522657E-2</v>
      </c>
      <c r="T164" s="41">
        <v>-527.19258803543289</v>
      </c>
      <c r="U164" s="40">
        <v>-1.6475374237400642E-2</v>
      </c>
      <c r="V164" s="42">
        <v>-58.79544196456709</v>
      </c>
      <c r="W164" s="44">
        <v>-0.11152554739752035</v>
      </c>
    </row>
    <row r="165" spans="2:23" ht="18.399999999999999" x14ac:dyDescent="0.85">
      <c r="B165" s="48">
        <v>10003</v>
      </c>
      <c r="C165" s="49" t="s">
        <v>59</v>
      </c>
      <c r="D165" s="41">
        <v>2248.3092500000007</v>
      </c>
      <c r="E165" s="40">
        <v>0.3002400528397885</v>
      </c>
      <c r="F165" s="41">
        <v>1942.3798700000011</v>
      </c>
      <c r="G165" s="40">
        <v>0.29978609583542837</v>
      </c>
      <c r="H165" s="42">
        <v>305.92937999999958</v>
      </c>
      <c r="I165" s="43">
        <v>0.15750234273175381</v>
      </c>
      <c r="J165" s="41">
        <v>1886.6007977041027</v>
      </c>
      <c r="K165" s="40">
        <v>0.31393177191931287</v>
      </c>
      <c r="L165" s="42">
        <v>361.70845229589804</v>
      </c>
      <c r="M165" s="44">
        <v>0.19172495460411065</v>
      </c>
      <c r="N165" s="39">
        <v>9359.8511199999994</v>
      </c>
      <c r="O165" s="40">
        <v>0.27411914245317925</v>
      </c>
      <c r="P165" s="41">
        <v>8522.6909799999994</v>
      </c>
      <c r="Q165" s="40">
        <v>0.24808063592625612</v>
      </c>
      <c r="R165" s="42">
        <v>837.16013999999996</v>
      </c>
      <c r="S165" s="43">
        <v>9.8227208045503958E-2</v>
      </c>
      <c r="T165" s="41">
        <v>8117.7860186991547</v>
      </c>
      <c r="U165" s="40">
        <v>0.25369014222221614</v>
      </c>
      <c r="V165" s="42">
        <v>1242.0651013008446</v>
      </c>
      <c r="W165" s="44">
        <v>0.15300540054144973</v>
      </c>
    </row>
    <row r="166" spans="2:23" ht="18.399999999999999" x14ac:dyDescent="0.85">
      <c r="B166" s="48">
        <v>10003</v>
      </c>
      <c r="C166" s="49" t="s">
        <v>3</v>
      </c>
      <c r="D166" s="41">
        <v>-538.57801000000006</v>
      </c>
      <c r="E166" s="40">
        <v>-7.192190762046996E-2</v>
      </c>
      <c r="F166" s="41">
        <v>-600.81635000000006</v>
      </c>
      <c r="G166" s="40">
        <v>-9.2729743889176625E-2</v>
      </c>
      <c r="H166" s="42">
        <v>62.238339999999994</v>
      </c>
      <c r="I166" s="43">
        <v>0.10358962435026942</v>
      </c>
      <c r="J166" s="41">
        <v>-580.50732999999991</v>
      </c>
      <c r="K166" s="40">
        <v>-9.6596850240297627E-2</v>
      </c>
      <c r="L166" s="42">
        <v>41.929319999999848</v>
      </c>
      <c r="M166" s="44">
        <v>7.2228752046937725E-2</v>
      </c>
      <c r="N166" s="39">
        <v>-2290.0798999999997</v>
      </c>
      <c r="O166" s="40">
        <v>-6.7068880721391486E-2</v>
      </c>
      <c r="P166" s="41">
        <v>-2526.8343299999997</v>
      </c>
      <c r="Q166" s="40">
        <v>-7.3551730191524001E-2</v>
      </c>
      <c r="R166" s="42">
        <v>236.75442999999996</v>
      </c>
      <c r="S166" s="43">
        <v>9.369606356424641E-2</v>
      </c>
      <c r="T166" s="41">
        <v>-2193.1746000000003</v>
      </c>
      <c r="U166" s="40">
        <v>-6.8539226694387667E-2</v>
      </c>
      <c r="V166" s="42">
        <v>-96.905299999999443</v>
      </c>
      <c r="W166" s="44">
        <v>-4.4184945421125811E-2</v>
      </c>
    </row>
    <row r="167" spans="2:23" ht="18.399999999999999" x14ac:dyDescent="0.85">
      <c r="B167" s="48">
        <v>10003</v>
      </c>
      <c r="C167" s="49" t="s">
        <v>4</v>
      </c>
      <c r="D167" s="41">
        <v>-296.94905</v>
      </c>
      <c r="E167" s="40">
        <v>-3.9654686499521793E-2</v>
      </c>
      <c r="F167" s="41">
        <v>-237.34479000000002</v>
      </c>
      <c r="G167" s="40">
        <v>-3.6631695509169164E-2</v>
      </c>
      <c r="H167" s="42">
        <v>-59.604259999999982</v>
      </c>
      <c r="I167" s="43">
        <v>-0.25112942230583607</v>
      </c>
      <c r="J167" s="41">
        <v>-262.55786999999998</v>
      </c>
      <c r="K167" s="40">
        <v>-4.3689824291799274E-2</v>
      </c>
      <c r="L167" s="42">
        <v>-34.39118000000002</v>
      </c>
      <c r="M167" s="44">
        <v>-0.13098514243736065</v>
      </c>
      <c r="N167" s="39">
        <v>-1038.9385199999999</v>
      </c>
      <c r="O167" s="40">
        <v>-3.0427079716624297E-2</v>
      </c>
      <c r="P167" s="41">
        <v>-1035.2242799999999</v>
      </c>
      <c r="Q167" s="40">
        <v>-3.0133569117004474E-2</v>
      </c>
      <c r="R167" s="42">
        <v>-3.714240000000018</v>
      </c>
      <c r="S167" s="43">
        <v>-3.5878602074518756E-3</v>
      </c>
      <c r="T167" s="41">
        <v>-1121.4782399999999</v>
      </c>
      <c r="U167" s="40">
        <v>-3.5047483827408396E-2</v>
      </c>
      <c r="V167" s="42">
        <v>82.539719999999988</v>
      </c>
      <c r="W167" s="44">
        <v>7.3599038354948368E-2</v>
      </c>
    </row>
    <row r="168" spans="2:23" ht="18.399999999999999" x14ac:dyDescent="0.85">
      <c r="B168" s="48">
        <v>10003</v>
      </c>
      <c r="C168" s="49" t="s">
        <v>60</v>
      </c>
      <c r="D168" s="41">
        <v>-569.86417000000006</v>
      </c>
      <c r="E168" s="40">
        <v>-7.6099873054519609E-2</v>
      </c>
      <c r="F168" s="41">
        <v>-569.86417000000006</v>
      </c>
      <c r="G168" s="40">
        <v>-8.7952597388067433E-2</v>
      </c>
      <c r="H168" s="42">
        <v>0</v>
      </c>
      <c r="I168" s="43">
        <v>0</v>
      </c>
      <c r="J168" s="41">
        <v>-569.86417000000006</v>
      </c>
      <c r="K168" s="40">
        <v>-9.4825820522889043E-2</v>
      </c>
      <c r="L168" s="42">
        <v>0</v>
      </c>
      <c r="M168" s="44">
        <v>0</v>
      </c>
      <c r="N168" s="39">
        <v>-2279.4566800000002</v>
      </c>
      <c r="O168" s="40">
        <v>-6.6757761674821503E-2</v>
      </c>
      <c r="P168" s="41">
        <v>-2279.4566800000002</v>
      </c>
      <c r="Q168" s="40">
        <v>-6.6350999240471414E-2</v>
      </c>
      <c r="R168" s="42">
        <v>0</v>
      </c>
      <c r="S168" s="43">
        <v>0</v>
      </c>
      <c r="T168" s="41">
        <v>-2279.4566800000002</v>
      </c>
      <c r="U168" s="40">
        <v>-7.1235640851647783E-2</v>
      </c>
      <c r="V168" s="42">
        <v>0</v>
      </c>
      <c r="W168" s="44">
        <v>0</v>
      </c>
    </row>
    <row r="169" spans="2:23" ht="18.399999999999999" x14ac:dyDescent="0.85">
      <c r="B169" s="48">
        <v>10003</v>
      </c>
      <c r="C169" s="49" t="s">
        <v>61</v>
      </c>
      <c r="D169" s="41">
        <v>842.91802000000052</v>
      </c>
      <c r="E169" s="40">
        <v>0.11256358566527713</v>
      </c>
      <c r="F169" s="41">
        <v>534.35456000000113</v>
      </c>
      <c r="G169" s="40">
        <v>8.2472059049015167E-2</v>
      </c>
      <c r="H169" s="42">
        <v>308.5634599999994</v>
      </c>
      <c r="I169" s="43">
        <v>0.57745078473738254</v>
      </c>
      <c r="J169" s="41">
        <v>473.67142770410283</v>
      </c>
      <c r="K169" s="40">
        <v>7.8819276864326923E-2</v>
      </c>
      <c r="L169" s="42">
        <v>369.2465922958977</v>
      </c>
      <c r="M169" s="44">
        <v>0.77954162041321573</v>
      </c>
      <c r="N169" s="39">
        <v>3751.3760199999997</v>
      </c>
      <c r="O169" s="40">
        <v>0.10986542034034197</v>
      </c>
      <c r="P169" s="41">
        <v>2681.17569</v>
      </c>
      <c r="Q169" s="40">
        <v>7.8044337377256232E-2</v>
      </c>
      <c r="R169" s="42">
        <v>1070.2003299999997</v>
      </c>
      <c r="S169" s="43">
        <v>0.39915337662933964</v>
      </c>
      <c r="T169" s="41">
        <v>2523.6764986991548</v>
      </c>
      <c r="U169" s="40">
        <v>7.8867790848772323E-2</v>
      </c>
      <c r="V169" s="42">
        <v>1227.6995213008449</v>
      </c>
      <c r="W169" s="44">
        <v>0.48647262116743983</v>
      </c>
    </row>
    <row r="170" spans="2:23" ht="18.399999999999999" x14ac:dyDescent="0.85">
      <c r="B170" s="48">
        <v>10003</v>
      </c>
      <c r="C170" s="49" t="s">
        <v>62</v>
      </c>
      <c r="D170" s="41">
        <v>-339.59197</v>
      </c>
      <c r="E170" s="40">
        <v>-4.5349237884765116E-2</v>
      </c>
      <c r="F170" s="41">
        <v>-254.69552999999999</v>
      </c>
      <c r="G170" s="40">
        <v>-3.9309601455782786E-2</v>
      </c>
      <c r="H170" s="42">
        <v>-84.896440000000013</v>
      </c>
      <c r="I170" s="43">
        <v>-0.33332520598221732</v>
      </c>
      <c r="J170" s="41">
        <v>-274.90298000000001</v>
      </c>
      <c r="K170" s="40">
        <v>-4.5744059751444549E-2</v>
      </c>
      <c r="L170" s="42">
        <v>-64.68898999999999</v>
      </c>
      <c r="M170" s="44">
        <v>-0.23531571029168177</v>
      </c>
      <c r="N170" s="39">
        <v>-1342.0393599999998</v>
      </c>
      <c r="O170" s="40">
        <v>-3.9303902784899584E-2</v>
      </c>
      <c r="P170" s="41">
        <v>-951.38920000000019</v>
      </c>
      <c r="Q170" s="40">
        <v>-2.7693276490164627E-2</v>
      </c>
      <c r="R170" s="42">
        <v>-390.65015999999957</v>
      </c>
      <c r="S170" s="43">
        <v>-0.41061025288073427</v>
      </c>
      <c r="T170" s="41">
        <v>-1133.7776199999998</v>
      </c>
      <c r="U170" s="40">
        <v>-3.5431853587125847E-2</v>
      </c>
      <c r="V170" s="42">
        <v>-208.26173999999992</v>
      </c>
      <c r="W170" s="44">
        <v>-0.18368834974886869</v>
      </c>
    </row>
    <row r="171" spans="2:23" ht="18.399999999999999" x14ac:dyDescent="0.85">
      <c r="B171" s="48">
        <v>10003</v>
      </c>
      <c r="C171" s="50" t="s">
        <v>5</v>
      </c>
      <c r="D171" s="51">
        <v>503.32605000000052</v>
      </c>
      <c r="E171" s="52">
        <v>6.7214347780512024E-2</v>
      </c>
      <c r="F171" s="51">
        <v>279.65903000000117</v>
      </c>
      <c r="G171" s="52">
        <v>4.3162457593232388E-2</v>
      </c>
      <c r="H171" s="53">
        <v>223.66701999999935</v>
      </c>
      <c r="I171" s="54">
        <v>0.79978472356139696</v>
      </c>
      <c r="J171" s="51">
        <v>198.76844770410281</v>
      </c>
      <c r="K171" s="52">
        <v>3.3075217112882374E-2</v>
      </c>
      <c r="L171" s="53">
        <v>304.55760229589771</v>
      </c>
      <c r="M171" s="55">
        <v>1.5322230757130941</v>
      </c>
      <c r="N171" s="56">
        <v>2409.3366599999999</v>
      </c>
      <c r="O171" s="52">
        <v>7.0561517555442391E-2</v>
      </c>
      <c r="P171" s="51">
        <v>1729.78649</v>
      </c>
      <c r="Q171" s="52">
        <v>5.0351060887091612E-2</v>
      </c>
      <c r="R171" s="53">
        <v>679.55016999999998</v>
      </c>
      <c r="S171" s="54">
        <v>0.39285205077535318</v>
      </c>
      <c r="T171" s="51">
        <v>1389.8988786991549</v>
      </c>
      <c r="U171" s="52">
        <v>4.3435937261646469E-2</v>
      </c>
      <c r="V171" s="53">
        <v>1019.437781300845</v>
      </c>
      <c r="W171" s="55">
        <v>0.73346183447170288</v>
      </c>
    </row>
    <row r="172" spans="2:23" ht="18.399999999999999" x14ac:dyDescent="0.85">
      <c r="B172" s="48">
        <v>10006</v>
      </c>
      <c r="C172" s="49" t="s">
        <v>1</v>
      </c>
      <c r="D172" s="41">
        <v>5764.6381099999999</v>
      </c>
      <c r="E172" s="40">
        <v>1</v>
      </c>
      <c r="F172" s="41">
        <v>5629.2403800000002</v>
      </c>
      <c r="G172" s="40">
        <v>1</v>
      </c>
      <c r="H172" s="42">
        <v>135.39772999999968</v>
      </c>
      <c r="I172" s="43">
        <v>2.4052575633659416E-2</v>
      </c>
      <c r="J172" s="41">
        <v>5282.6825799999997</v>
      </c>
      <c r="K172" s="40">
        <v>1</v>
      </c>
      <c r="L172" s="42">
        <v>481.95553000000018</v>
      </c>
      <c r="M172" s="44">
        <v>9.1233104147628002E-2</v>
      </c>
      <c r="N172" s="39">
        <v>30028.574380000005</v>
      </c>
      <c r="O172" s="40">
        <v>1</v>
      </c>
      <c r="P172" s="41">
        <v>29761.367340000004</v>
      </c>
      <c r="Q172" s="40">
        <v>1</v>
      </c>
      <c r="R172" s="42">
        <v>267.20704000000114</v>
      </c>
      <c r="S172" s="43">
        <v>8.978318668876089E-3</v>
      </c>
      <c r="T172" s="41">
        <v>26778.883269999998</v>
      </c>
      <c r="U172" s="40">
        <v>1</v>
      </c>
      <c r="V172" s="42">
        <v>3249.691110000007</v>
      </c>
      <c r="W172" s="44">
        <v>0.12135274937475043</v>
      </c>
    </row>
    <row r="173" spans="2:23" ht="18.399999999999999" x14ac:dyDescent="0.85">
      <c r="B173" s="48">
        <v>10006</v>
      </c>
      <c r="C173" s="49" t="s">
        <v>56</v>
      </c>
      <c r="D173" s="41">
        <v>583.59744000000023</v>
      </c>
      <c r="E173" s="40">
        <v>0.10123748080345676</v>
      </c>
      <c r="F173" s="41">
        <v>646.87342000000046</v>
      </c>
      <c r="G173" s="40">
        <v>0.114913092412657</v>
      </c>
      <c r="H173" s="42">
        <v>-63.275980000000231</v>
      </c>
      <c r="I173" s="43">
        <v>-9.7818179018702281E-2</v>
      </c>
      <c r="J173" s="41">
        <v>414.07541700200039</v>
      </c>
      <c r="K173" s="40">
        <v>7.8383550541096567E-2</v>
      </c>
      <c r="L173" s="42">
        <v>169.52202299799984</v>
      </c>
      <c r="M173" s="44">
        <v>0.40939890666627254</v>
      </c>
      <c r="N173" s="39">
        <v>1738.5654400000014</v>
      </c>
      <c r="O173" s="40">
        <v>5.7897035603459809E-2</v>
      </c>
      <c r="P173" s="41">
        <v>2048.336270000003</v>
      </c>
      <c r="Q173" s="40">
        <v>6.8825341477069465E-2</v>
      </c>
      <c r="R173" s="42">
        <v>-309.77083000000152</v>
      </c>
      <c r="S173" s="43">
        <v>-0.15123045690149356</v>
      </c>
      <c r="T173" s="41">
        <v>1408.0057912108336</v>
      </c>
      <c r="U173" s="40">
        <v>5.2578958465687865E-2</v>
      </c>
      <c r="V173" s="42">
        <v>330.5596487891678</v>
      </c>
      <c r="W173" s="44">
        <v>0.23477151220017253</v>
      </c>
    </row>
    <row r="174" spans="2:23" ht="18.399999999999999" x14ac:dyDescent="0.85">
      <c r="B174" s="48">
        <v>10006</v>
      </c>
      <c r="C174" s="49" t="s">
        <v>57</v>
      </c>
      <c r="D174" s="41">
        <v>1725.8801500000002</v>
      </c>
      <c r="E174" s="40">
        <v>0.29939089272682901</v>
      </c>
      <c r="F174" s="41">
        <v>1782.5252599999999</v>
      </c>
      <c r="G174" s="40">
        <v>0.31665467090961213</v>
      </c>
      <c r="H174" s="42">
        <v>-56.645109999999704</v>
      </c>
      <c r="I174" s="43">
        <v>-3.1778012503452378E-2</v>
      </c>
      <c r="J174" s="41">
        <v>1420.7426130995193</v>
      </c>
      <c r="K174" s="40">
        <v>0.26894339979433696</v>
      </c>
      <c r="L174" s="42">
        <v>305.13753690048088</v>
      </c>
      <c r="M174" s="44">
        <v>0.21477327003994551</v>
      </c>
      <c r="N174" s="39">
        <v>7752.3434900000038</v>
      </c>
      <c r="O174" s="40">
        <v>0.25816555231350952</v>
      </c>
      <c r="P174" s="41">
        <v>7845.5533200000045</v>
      </c>
      <c r="Q174" s="40">
        <v>0.26361535175352607</v>
      </c>
      <c r="R174" s="42">
        <v>-93.209830000000693</v>
      </c>
      <c r="S174" s="43">
        <v>-1.1880593528360678E-2</v>
      </c>
      <c r="T174" s="41">
        <v>6306.9863025548711</v>
      </c>
      <c r="U174" s="40">
        <v>0.23552088557854456</v>
      </c>
      <c r="V174" s="42">
        <v>1445.3571874451327</v>
      </c>
      <c r="W174" s="44">
        <v>0.22916764332588432</v>
      </c>
    </row>
    <row r="175" spans="2:23" ht="18.399999999999999" x14ac:dyDescent="0.85">
      <c r="B175" s="48">
        <v>10006</v>
      </c>
      <c r="C175" s="49" t="s">
        <v>2</v>
      </c>
      <c r="D175" s="41">
        <v>-36.366099999999989</v>
      </c>
      <c r="E175" s="40">
        <v>-6.3084792672267144E-3</v>
      </c>
      <c r="F175" s="41">
        <v>-34.073359999999994</v>
      </c>
      <c r="G175" s="40">
        <v>-6.0529232542739621E-3</v>
      </c>
      <c r="H175" s="42">
        <v>-2.2927399999999949</v>
      </c>
      <c r="I175" s="43">
        <v>-6.7288344912271508E-2</v>
      </c>
      <c r="J175" s="41">
        <v>-52.61010000000001</v>
      </c>
      <c r="K175" s="40">
        <v>-9.9589742906718449E-3</v>
      </c>
      <c r="L175" s="42">
        <v>16.244000000000021</v>
      </c>
      <c r="M175" s="44">
        <v>0.30876200577455692</v>
      </c>
      <c r="N175" s="39">
        <v>-142.56480999999999</v>
      </c>
      <c r="O175" s="40">
        <v>-4.7476383059647589E-3</v>
      </c>
      <c r="P175" s="41">
        <v>-179.24663000000001</v>
      </c>
      <c r="Q175" s="40">
        <v>-6.0227955238833456E-3</v>
      </c>
      <c r="R175" s="42">
        <v>36.681820000000016</v>
      </c>
      <c r="S175" s="43">
        <v>0.20464440530904271</v>
      </c>
      <c r="T175" s="41">
        <v>-216.39312000000001</v>
      </c>
      <c r="U175" s="40">
        <v>-8.0807372666813985E-3</v>
      </c>
      <c r="V175" s="42">
        <v>73.828310000000016</v>
      </c>
      <c r="W175" s="44">
        <v>0.34117678972418353</v>
      </c>
    </row>
    <row r="176" spans="2:23" ht="18.399999999999999" x14ac:dyDescent="0.85">
      <c r="B176" s="48">
        <v>10006</v>
      </c>
      <c r="C176" s="49" t="s">
        <v>58</v>
      </c>
      <c r="D176" s="41">
        <v>-95.97478000000001</v>
      </c>
      <c r="E176" s="40">
        <v>-1.6648882057923323E-2</v>
      </c>
      <c r="F176" s="41">
        <v>-102.31187</v>
      </c>
      <c r="G176" s="40">
        <v>-1.817507569289482E-2</v>
      </c>
      <c r="H176" s="42">
        <v>6.3370899999999892</v>
      </c>
      <c r="I176" s="43">
        <v>6.1938951951518328E-2</v>
      </c>
      <c r="J176" s="41">
        <v>-73.410810224654611</v>
      </c>
      <c r="K176" s="40">
        <v>-1.389650222456762E-2</v>
      </c>
      <c r="L176" s="42">
        <v>-22.563969775345399</v>
      </c>
      <c r="M176" s="44">
        <v>-0.3073657640651869</v>
      </c>
      <c r="N176" s="39">
        <v>-470.73721</v>
      </c>
      <c r="O176" s="40">
        <v>-1.5676308973013586E-2</v>
      </c>
      <c r="P176" s="41">
        <v>-543.37180000000001</v>
      </c>
      <c r="Q176" s="40">
        <v>-1.8257622164748293E-2</v>
      </c>
      <c r="R176" s="42">
        <v>72.634590000000003</v>
      </c>
      <c r="S176" s="43">
        <v>0.13367383069934805</v>
      </c>
      <c r="T176" s="41">
        <v>-403.45968044408886</v>
      </c>
      <c r="U176" s="40">
        <v>-1.5066337022951177E-2</v>
      </c>
      <c r="V176" s="42">
        <v>-67.277529555911144</v>
      </c>
      <c r="W176" s="44">
        <v>-0.16675155614523521</v>
      </c>
    </row>
    <row r="177" spans="2:23" ht="18.399999999999999" x14ac:dyDescent="0.85">
      <c r="B177" s="48">
        <v>10006</v>
      </c>
      <c r="C177" s="49" t="s">
        <v>59</v>
      </c>
      <c r="D177" s="41">
        <v>1593.53927</v>
      </c>
      <c r="E177" s="40">
        <v>0.27643353140167892</v>
      </c>
      <c r="F177" s="41">
        <v>1646.1400300000003</v>
      </c>
      <c r="G177" s="40">
        <v>0.29242667196244337</v>
      </c>
      <c r="H177" s="42">
        <v>-52.600760000000264</v>
      </c>
      <c r="I177" s="43">
        <v>-3.1954000899911447E-2</v>
      </c>
      <c r="J177" s="41">
        <v>1294.7217028748646</v>
      </c>
      <c r="K177" s="40">
        <v>0.24508792327909748</v>
      </c>
      <c r="L177" s="42">
        <v>298.81756712513538</v>
      </c>
      <c r="M177" s="44">
        <v>0.2307967545933817</v>
      </c>
      <c r="N177" s="39">
        <v>7139.0414700000028</v>
      </c>
      <c r="O177" s="40">
        <v>0.23774160503453118</v>
      </c>
      <c r="P177" s="41">
        <v>7122.9348900000032</v>
      </c>
      <c r="Q177" s="40">
        <v>0.23933493406489442</v>
      </c>
      <c r="R177" s="42">
        <v>16.106579999999667</v>
      </c>
      <c r="S177" s="43">
        <v>2.2612280259099293E-3</v>
      </c>
      <c r="T177" s="41">
        <v>5687.1335021107807</v>
      </c>
      <c r="U177" s="40">
        <v>0.21237381128891195</v>
      </c>
      <c r="V177" s="42">
        <v>1451.9079678892222</v>
      </c>
      <c r="W177" s="44">
        <v>0.25529697295664788</v>
      </c>
    </row>
    <row r="178" spans="2:23" ht="18.399999999999999" x14ac:dyDescent="0.85">
      <c r="B178" s="48">
        <v>10006</v>
      </c>
      <c r="C178" s="49" t="s">
        <v>3</v>
      </c>
      <c r="D178" s="41">
        <v>-547.41030999999987</v>
      </c>
      <c r="E178" s="40">
        <v>-9.4960047717548721E-2</v>
      </c>
      <c r="F178" s="41">
        <v>-575.59397999999976</v>
      </c>
      <c r="G178" s="40">
        <v>-0.10225073742542858</v>
      </c>
      <c r="H178" s="42">
        <v>28.183669999999893</v>
      </c>
      <c r="I178" s="43">
        <v>4.8964497509164193E-2</v>
      </c>
      <c r="J178" s="41">
        <v>-592.33484999999996</v>
      </c>
      <c r="K178" s="40">
        <v>-0.11212766260887097</v>
      </c>
      <c r="L178" s="42">
        <v>44.924540000000093</v>
      </c>
      <c r="M178" s="44">
        <v>7.5843148516417866E-2</v>
      </c>
      <c r="N178" s="39">
        <v>-2316.1440999999991</v>
      </c>
      <c r="O178" s="40">
        <v>-7.7131337328575453E-2</v>
      </c>
      <c r="P178" s="41">
        <v>-2367.5975599999992</v>
      </c>
      <c r="Q178" s="40">
        <v>-7.9552714529278035E-2</v>
      </c>
      <c r="R178" s="42">
        <v>51.453460000000177</v>
      </c>
      <c r="S178" s="43">
        <v>2.1732350492876921E-2</v>
      </c>
      <c r="T178" s="41">
        <v>-2336.46506</v>
      </c>
      <c r="U178" s="40">
        <v>-8.7250279873227893E-2</v>
      </c>
      <c r="V178" s="42">
        <v>20.320960000000923</v>
      </c>
      <c r="W178" s="44">
        <v>8.6973096015400819E-3</v>
      </c>
    </row>
    <row r="179" spans="2:23" ht="18.399999999999999" x14ac:dyDescent="0.85">
      <c r="B179" s="48">
        <v>10006</v>
      </c>
      <c r="C179" s="49" t="s">
        <v>4</v>
      </c>
      <c r="D179" s="41">
        <v>-92.814940000000021</v>
      </c>
      <c r="E179" s="40">
        <v>-1.6100740103527508E-2</v>
      </c>
      <c r="F179" s="41">
        <v>-110.41342000000002</v>
      </c>
      <c r="G179" s="40">
        <v>-1.9614266321311368E-2</v>
      </c>
      <c r="H179" s="42">
        <v>17.598479999999995</v>
      </c>
      <c r="I179" s="43">
        <v>0.15938714696094</v>
      </c>
      <c r="J179" s="41">
        <v>-105.05147999999997</v>
      </c>
      <c r="K179" s="40">
        <v>-1.9886010262611685E-2</v>
      </c>
      <c r="L179" s="42">
        <v>12.236539999999948</v>
      </c>
      <c r="M179" s="44">
        <v>0.11648136704023543</v>
      </c>
      <c r="N179" s="39">
        <v>-384.97124000000002</v>
      </c>
      <c r="O179" s="40">
        <v>-1.2820163725668016E-2</v>
      </c>
      <c r="P179" s="41">
        <v>-504.27410000000003</v>
      </c>
      <c r="Q179" s="40">
        <v>-1.6943915722657115E-2</v>
      </c>
      <c r="R179" s="42">
        <v>119.30286000000001</v>
      </c>
      <c r="S179" s="43">
        <v>0.23658335813796505</v>
      </c>
      <c r="T179" s="41">
        <v>-549.56835000000001</v>
      </c>
      <c r="U179" s="40">
        <v>-2.0522452129871808E-2</v>
      </c>
      <c r="V179" s="42">
        <v>164.59710999999999</v>
      </c>
      <c r="W179" s="44">
        <v>0.29950252775655656</v>
      </c>
    </row>
    <row r="180" spans="2:23" ht="18.399999999999999" x14ac:dyDescent="0.85">
      <c r="B180" s="48">
        <v>10006</v>
      </c>
      <c r="C180" s="49" t="s">
        <v>60</v>
      </c>
      <c r="D180" s="41">
        <v>-264.83317</v>
      </c>
      <c r="E180" s="40">
        <v>-4.5940987959086299E-2</v>
      </c>
      <c r="F180" s="41">
        <v>-230.28992000000002</v>
      </c>
      <c r="G180" s="40">
        <v>-4.0909590718170755E-2</v>
      </c>
      <c r="H180" s="42">
        <v>-34.543249999999972</v>
      </c>
      <c r="I180" s="43">
        <v>-0.14999896652011502</v>
      </c>
      <c r="J180" s="41">
        <v>-230.28992000000002</v>
      </c>
      <c r="K180" s="40">
        <v>-4.3593366913974231E-2</v>
      </c>
      <c r="L180" s="42">
        <v>-34.543249999999972</v>
      </c>
      <c r="M180" s="44">
        <v>-0.14999896652011502</v>
      </c>
      <c r="N180" s="39">
        <v>-955.70293000000015</v>
      </c>
      <c r="O180" s="40">
        <v>-3.1826450297171918E-2</v>
      </c>
      <c r="P180" s="41">
        <v>-921.15968000000009</v>
      </c>
      <c r="Q180" s="40">
        <v>-3.0951524151309372E-2</v>
      </c>
      <c r="R180" s="42">
        <v>-34.543250000000057</v>
      </c>
      <c r="S180" s="43">
        <v>-3.7499741630028852E-2</v>
      </c>
      <c r="T180" s="41">
        <v>-921.15968000000009</v>
      </c>
      <c r="U180" s="40">
        <v>-3.4398733909563814E-2</v>
      </c>
      <c r="V180" s="42">
        <v>-34.543250000000057</v>
      </c>
      <c r="W180" s="44">
        <v>-3.7499741630028852E-2</v>
      </c>
    </row>
    <row r="181" spans="2:23" ht="18.399999999999999" x14ac:dyDescent="0.85">
      <c r="B181" s="48">
        <v>10006</v>
      </c>
      <c r="C181" s="49" t="s">
        <v>61</v>
      </c>
      <c r="D181" s="41">
        <v>688.48085000000015</v>
      </c>
      <c r="E181" s="40">
        <v>0.11943175562151639</v>
      </c>
      <c r="F181" s="41">
        <v>729.84271000000047</v>
      </c>
      <c r="G181" s="40">
        <v>0.12965207749753271</v>
      </c>
      <c r="H181" s="42">
        <v>-41.36186000000032</v>
      </c>
      <c r="I181" s="43">
        <v>-5.667229313011881E-2</v>
      </c>
      <c r="J181" s="41">
        <v>367.04545287486462</v>
      </c>
      <c r="K181" s="40">
        <v>6.948088349364058E-2</v>
      </c>
      <c r="L181" s="42">
        <v>321.43539712513552</v>
      </c>
      <c r="M181" s="44">
        <v>0.87573730884692702</v>
      </c>
      <c r="N181" s="39">
        <v>3482.223200000004</v>
      </c>
      <c r="O181" s="40">
        <v>0.11596365368311579</v>
      </c>
      <c r="P181" s="41">
        <v>3329.9035500000036</v>
      </c>
      <c r="Q181" s="40">
        <v>0.11188677966164988</v>
      </c>
      <c r="R181" s="42">
        <v>152.31965000000037</v>
      </c>
      <c r="S181" s="43">
        <v>4.5742961534126172E-2</v>
      </c>
      <c r="T181" s="41">
        <v>1879.9404121107805</v>
      </c>
      <c r="U181" s="40">
        <v>7.0202345376248421E-2</v>
      </c>
      <c r="V181" s="42">
        <v>1602.2827878892235</v>
      </c>
      <c r="W181" s="44">
        <v>0.85230509305887758</v>
      </c>
    </row>
    <row r="182" spans="2:23" ht="18.399999999999999" x14ac:dyDescent="0.85">
      <c r="B182" s="48">
        <v>10006</v>
      </c>
      <c r="C182" s="49" t="s">
        <v>62</v>
      </c>
      <c r="D182" s="41">
        <v>-309.72584000000001</v>
      </c>
      <c r="E182" s="40">
        <v>-5.3728583492988778E-2</v>
      </c>
      <c r="F182" s="41">
        <v>-210.00539000000003</v>
      </c>
      <c r="G182" s="40">
        <v>-3.7306168474546479E-2</v>
      </c>
      <c r="H182" s="42">
        <v>-99.720449999999971</v>
      </c>
      <c r="I182" s="43">
        <v>-0.47484709797210423</v>
      </c>
      <c r="J182" s="41">
        <v>-129.66400000000002</v>
      </c>
      <c r="K182" s="40">
        <v>-2.454510526354586E-2</v>
      </c>
      <c r="L182" s="42">
        <v>-180.06183999999999</v>
      </c>
      <c r="M182" s="44">
        <v>-1.3886802813425467</v>
      </c>
      <c r="N182" s="39">
        <v>-1215.0372399999999</v>
      </c>
      <c r="O182" s="40">
        <v>-4.0462701446434754E-2</v>
      </c>
      <c r="P182" s="41">
        <v>-772.30307000000005</v>
      </c>
      <c r="Q182" s="40">
        <v>-2.594985173822998E-2</v>
      </c>
      <c r="R182" s="42">
        <v>-442.73416999999984</v>
      </c>
      <c r="S182" s="43">
        <v>-0.57326480652213363</v>
      </c>
      <c r="T182" s="41">
        <v>-516.69897999999989</v>
      </c>
      <c r="U182" s="40">
        <v>-1.9295015956802442E-2</v>
      </c>
      <c r="V182" s="42">
        <v>-698.33825999999999</v>
      </c>
      <c r="W182" s="44">
        <v>-1.3515379109128494</v>
      </c>
    </row>
    <row r="183" spans="2:23" ht="18.399999999999999" x14ac:dyDescent="0.85">
      <c r="B183" s="48">
        <v>10006</v>
      </c>
      <c r="C183" s="50" t="s">
        <v>5</v>
      </c>
      <c r="D183" s="51">
        <v>378.75501000000014</v>
      </c>
      <c r="E183" s="52">
        <v>6.5703172128527623E-2</v>
      </c>
      <c r="F183" s="51">
        <v>519.83732000000043</v>
      </c>
      <c r="G183" s="52">
        <v>9.2345909022986228E-2</v>
      </c>
      <c r="H183" s="53">
        <v>-141.08231000000029</v>
      </c>
      <c r="I183" s="54">
        <v>-0.2713970401355566</v>
      </c>
      <c r="J183" s="51">
        <v>237.38145287486461</v>
      </c>
      <c r="K183" s="52">
        <v>4.4935778230094724E-2</v>
      </c>
      <c r="L183" s="53">
        <v>141.37355712513553</v>
      </c>
      <c r="M183" s="55">
        <v>0.59555435107923305</v>
      </c>
      <c r="N183" s="56">
        <v>2267.1859600000043</v>
      </c>
      <c r="O183" s="52">
        <v>7.5500952236681032E-2</v>
      </c>
      <c r="P183" s="51">
        <v>2557.6004800000037</v>
      </c>
      <c r="Q183" s="52">
        <v>8.5936927923419906E-2</v>
      </c>
      <c r="R183" s="53">
        <v>-290.41451999999936</v>
      </c>
      <c r="S183" s="54">
        <v>-0.11354960333757794</v>
      </c>
      <c r="T183" s="51">
        <v>1363.2414321107806</v>
      </c>
      <c r="U183" s="52">
        <v>5.0907329419445979E-2</v>
      </c>
      <c r="V183" s="53">
        <v>903.94452788922376</v>
      </c>
      <c r="W183" s="55">
        <v>0.66308469402195136</v>
      </c>
    </row>
    <row r="184" spans="2:23" ht="18.399999999999999" x14ac:dyDescent="0.85">
      <c r="B184" s="48">
        <v>20001</v>
      </c>
      <c r="C184" s="49" t="s">
        <v>1</v>
      </c>
      <c r="D184" s="41">
        <v>3174.97622</v>
      </c>
      <c r="E184" s="40">
        <v>1</v>
      </c>
      <c r="F184" s="41">
        <v>3971.7566800000004</v>
      </c>
      <c r="G184" s="40">
        <v>1</v>
      </c>
      <c r="H184" s="42">
        <v>-796.7804600000004</v>
      </c>
      <c r="I184" s="43">
        <v>-0.20061159939938725</v>
      </c>
      <c r="J184" s="41">
        <v>5029.2083700000003</v>
      </c>
      <c r="K184" s="40">
        <v>1</v>
      </c>
      <c r="L184" s="42">
        <v>-1854.2321500000003</v>
      </c>
      <c r="M184" s="44">
        <v>-0.36869264774567295</v>
      </c>
      <c r="N184" s="39">
        <v>13815.637299999999</v>
      </c>
      <c r="O184" s="40">
        <v>1</v>
      </c>
      <c r="P184" s="41">
        <v>21158.5687</v>
      </c>
      <c r="Q184" s="40">
        <v>1</v>
      </c>
      <c r="R184" s="42">
        <v>-7342.9314000000013</v>
      </c>
      <c r="S184" s="43">
        <v>-0.3470429169436211</v>
      </c>
      <c r="T184" s="41">
        <v>25577.631929999992</v>
      </c>
      <c r="U184" s="40">
        <v>1</v>
      </c>
      <c r="V184" s="42">
        <v>-11761.994629999994</v>
      </c>
      <c r="W184" s="44">
        <v>-0.45985471454862697</v>
      </c>
    </row>
    <row r="185" spans="2:23" ht="18.399999999999999" x14ac:dyDescent="0.85">
      <c r="B185" s="48">
        <v>20001</v>
      </c>
      <c r="C185" s="49" t="s">
        <v>56</v>
      </c>
      <c r="D185" s="41">
        <v>295.45928000000009</v>
      </c>
      <c r="E185" s="40">
        <v>9.305873793284665E-2</v>
      </c>
      <c r="F185" s="41">
        <v>425.85906000000034</v>
      </c>
      <c r="G185" s="40">
        <v>0.10722184018583945</v>
      </c>
      <c r="H185" s="42">
        <v>-130.39978000000025</v>
      </c>
      <c r="I185" s="43">
        <v>-0.30620407606216044</v>
      </c>
      <c r="J185" s="41">
        <v>570.81420423846271</v>
      </c>
      <c r="K185" s="40">
        <v>0.11349981194723548</v>
      </c>
      <c r="L185" s="42">
        <v>-275.35492423846262</v>
      </c>
      <c r="M185" s="44">
        <v>-0.48238975518456201</v>
      </c>
      <c r="N185" s="39">
        <v>544.57519999999965</v>
      </c>
      <c r="O185" s="40">
        <v>3.9417305780023608E-2</v>
      </c>
      <c r="P185" s="41">
        <v>1304.2885200000003</v>
      </c>
      <c r="Q185" s="40">
        <v>6.1643513722173478E-2</v>
      </c>
      <c r="R185" s="42">
        <v>-759.71332000000064</v>
      </c>
      <c r="S185" s="43">
        <v>-0.58247336256551618</v>
      </c>
      <c r="T185" s="41">
        <v>1849.6343906171353</v>
      </c>
      <c r="U185" s="40">
        <v>7.2314528400406766E-2</v>
      </c>
      <c r="V185" s="42">
        <v>-1305.0591906171358</v>
      </c>
      <c r="W185" s="44">
        <v>-0.70557684115167185</v>
      </c>
    </row>
    <row r="186" spans="2:23" ht="18.399999999999999" x14ac:dyDescent="0.85">
      <c r="B186" s="48">
        <v>20001</v>
      </c>
      <c r="C186" s="49" t="s">
        <v>57</v>
      </c>
      <c r="D186" s="41">
        <v>878.7421599999999</v>
      </c>
      <c r="E186" s="40">
        <v>0.27677125720330586</v>
      </c>
      <c r="F186" s="41">
        <v>1249.1723400000005</v>
      </c>
      <c r="G186" s="40">
        <v>0.31451381357027147</v>
      </c>
      <c r="H186" s="42">
        <v>-370.43018000000063</v>
      </c>
      <c r="I186" s="43">
        <v>-0.29654049176273023</v>
      </c>
      <c r="J186" s="41">
        <v>1533.7576660758748</v>
      </c>
      <c r="K186" s="40">
        <v>0.30496999790761797</v>
      </c>
      <c r="L186" s="42">
        <v>-655.0155060758749</v>
      </c>
      <c r="M186" s="44">
        <v>-0.42706584003699538</v>
      </c>
      <c r="N186" s="39">
        <v>3275.3144699999998</v>
      </c>
      <c r="O186" s="40">
        <v>0.23707299192053921</v>
      </c>
      <c r="P186" s="41">
        <v>5523.8340899999985</v>
      </c>
      <c r="Q186" s="40">
        <v>0.26106841952877458</v>
      </c>
      <c r="R186" s="42">
        <v>-2248.5196199999987</v>
      </c>
      <c r="S186" s="43">
        <v>-0.40705777606003357</v>
      </c>
      <c r="T186" s="41">
        <v>6622.9174571893818</v>
      </c>
      <c r="U186" s="40">
        <v>0.25893395742478276</v>
      </c>
      <c r="V186" s="42">
        <v>-3347.602987189382</v>
      </c>
      <c r="W186" s="44">
        <v>-0.50545745267524889</v>
      </c>
    </row>
    <row r="187" spans="2:23" ht="18.399999999999999" x14ac:dyDescent="0.85">
      <c r="B187" s="48">
        <v>20001</v>
      </c>
      <c r="C187" s="49" t="s">
        <v>2</v>
      </c>
      <c r="D187" s="41">
        <v>-30.265949999999997</v>
      </c>
      <c r="E187" s="40">
        <v>-9.5326540744925629E-3</v>
      </c>
      <c r="F187" s="41">
        <v>-23.403089999999995</v>
      </c>
      <c r="G187" s="40">
        <v>-5.8923775763625062E-3</v>
      </c>
      <c r="H187" s="42">
        <v>-6.8628600000000013</v>
      </c>
      <c r="I187" s="43">
        <v>-0.29324589188863531</v>
      </c>
      <c r="J187" s="41">
        <v>-78.981759999999994</v>
      </c>
      <c r="K187" s="40">
        <v>-1.5704610783505872E-2</v>
      </c>
      <c r="L187" s="42">
        <v>48.715809999999998</v>
      </c>
      <c r="M187" s="44">
        <v>0.61679823290845892</v>
      </c>
      <c r="N187" s="39">
        <v>-119.9676</v>
      </c>
      <c r="O187" s="40">
        <v>-8.6834647866732874E-3</v>
      </c>
      <c r="P187" s="41">
        <v>-125.25092999999998</v>
      </c>
      <c r="Q187" s="40">
        <v>-5.9196315108025234E-3</v>
      </c>
      <c r="R187" s="42">
        <v>5.2833299999999781</v>
      </c>
      <c r="S187" s="43">
        <v>4.2181962241717316E-2</v>
      </c>
      <c r="T187" s="41">
        <v>-265.73012</v>
      </c>
      <c r="U187" s="40">
        <v>-1.0389160369780959E-2</v>
      </c>
      <c r="V187" s="42">
        <v>145.76251999999999</v>
      </c>
      <c r="W187" s="44">
        <v>0.54853593563273895</v>
      </c>
    </row>
    <row r="188" spans="2:23" ht="18.399999999999999" x14ac:dyDescent="0.85">
      <c r="B188" s="48">
        <v>20001</v>
      </c>
      <c r="C188" s="49" t="s">
        <v>58</v>
      </c>
      <c r="D188" s="41">
        <v>-58.715869999999995</v>
      </c>
      <c r="E188" s="40">
        <v>-1.8493325912217383E-2</v>
      </c>
      <c r="F188" s="41">
        <v>-75.255340000000004</v>
      </c>
      <c r="G188" s="40">
        <v>-1.894762093029324E-2</v>
      </c>
      <c r="H188" s="42">
        <v>16.539470000000009</v>
      </c>
      <c r="I188" s="43">
        <v>0.21977802505443478</v>
      </c>
      <c r="J188" s="41">
        <v>-85.719948314011404</v>
      </c>
      <c r="K188" s="40">
        <v>-1.7044421707667564E-2</v>
      </c>
      <c r="L188" s="42">
        <v>27.004078314011409</v>
      </c>
      <c r="M188" s="44">
        <v>0.31502676850771549</v>
      </c>
      <c r="N188" s="39">
        <v>-248.35932</v>
      </c>
      <c r="O188" s="40">
        <v>-1.7976682118022887E-2</v>
      </c>
      <c r="P188" s="41">
        <v>-403.42999999999995</v>
      </c>
      <c r="Q188" s="40">
        <v>-1.9066979705484519E-2</v>
      </c>
      <c r="R188" s="42">
        <v>155.07067999999995</v>
      </c>
      <c r="S188" s="43">
        <v>0.38438063604590628</v>
      </c>
      <c r="T188" s="41">
        <v>-429.76413633588885</v>
      </c>
      <c r="U188" s="40">
        <v>-1.6802342668471144E-2</v>
      </c>
      <c r="V188" s="42">
        <v>181.40481633588885</v>
      </c>
      <c r="W188" s="44">
        <v>0.42210319800652024</v>
      </c>
    </row>
    <row r="189" spans="2:23" ht="18.399999999999999" x14ac:dyDescent="0.85">
      <c r="B189" s="48">
        <v>20001</v>
      </c>
      <c r="C189" s="49" t="s">
        <v>59</v>
      </c>
      <c r="D189" s="41">
        <v>789.76033999999993</v>
      </c>
      <c r="E189" s="40">
        <v>0.24874527721659595</v>
      </c>
      <c r="F189" s="41">
        <v>1150.5139100000006</v>
      </c>
      <c r="G189" s="40">
        <v>0.28967381506361572</v>
      </c>
      <c r="H189" s="42">
        <v>-360.75357000000065</v>
      </c>
      <c r="I189" s="43">
        <v>-0.31355863398470379</v>
      </c>
      <c r="J189" s="41">
        <v>1369.0559577618637</v>
      </c>
      <c r="K189" s="40">
        <v>0.27222096541644458</v>
      </c>
      <c r="L189" s="42">
        <v>-579.29561776186381</v>
      </c>
      <c r="M189" s="44">
        <v>-0.42313509135806093</v>
      </c>
      <c r="N189" s="39">
        <v>2906.9875499999994</v>
      </c>
      <c r="O189" s="40">
        <v>0.21041284501584301</v>
      </c>
      <c r="P189" s="41">
        <v>4995.1531599999989</v>
      </c>
      <c r="Q189" s="40">
        <v>0.23608180831248757</v>
      </c>
      <c r="R189" s="42">
        <v>-2088.1656099999996</v>
      </c>
      <c r="S189" s="43">
        <v>-0.41803835500411363</v>
      </c>
      <c r="T189" s="41">
        <v>5927.4232008534927</v>
      </c>
      <c r="U189" s="40">
        <v>0.23174245438653063</v>
      </c>
      <c r="V189" s="42">
        <v>-3020.4356508534934</v>
      </c>
      <c r="W189" s="44">
        <v>-0.50956976556331923</v>
      </c>
    </row>
    <row r="190" spans="2:23" ht="18.399999999999999" x14ac:dyDescent="0.85">
      <c r="B190" s="48">
        <v>20001</v>
      </c>
      <c r="C190" s="49" t="s">
        <v>3</v>
      </c>
      <c r="D190" s="41">
        <v>-485.94803000000002</v>
      </c>
      <c r="E190" s="40">
        <v>-0.15305564398841387</v>
      </c>
      <c r="F190" s="41">
        <v>-468.43600999999995</v>
      </c>
      <c r="G190" s="40">
        <v>-0.11794176928280509</v>
      </c>
      <c r="H190" s="42">
        <v>-17.512020000000064</v>
      </c>
      <c r="I190" s="43">
        <v>-3.7384017509670242E-2</v>
      </c>
      <c r="J190" s="41">
        <v>-632.02650000000006</v>
      </c>
      <c r="K190" s="40">
        <v>-0.12567116999369823</v>
      </c>
      <c r="L190" s="42">
        <v>146.07847000000004</v>
      </c>
      <c r="M190" s="44">
        <v>0.23112712837199076</v>
      </c>
      <c r="N190" s="39">
        <v>-1969.5582300000005</v>
      </c>
      <c r="O190" s="40">
        <v>-0.14256007068164714</v>
      </c>
      <c r="P190" s="41">
        <v>-2000.5936399999996</v>
      </c>
      <c r="Q190" s="40">
        <v>-9.455240892546761E-2</v>
      </c>
      <c r="R190" s="42">
        <v>31.035409999999047</v>
      </c>
      <c r="S190" s="43">
        <v>1.5513100401538343E-2</v>
      </c>
      <c r="T190" s="41">
        <v>-2462.1775900000007</v>
      </c>
      <c r="U190" s="40">
        <v>-9.6262922100779538E-2</v>
      </c>
      <c r="V190" s="42">
        <v>492.61936000000014</v>
      </c>
      <c r="W190" s="44">
        <v>0.2000746664256659</v>
      </c>
    </row>
    <row r="191" spans="2:23" ht="18.399999999999999" x14ac:dyDescent="0.85">
      <c r="B191" s="48">
        <v>20001</v>
      </c>
      <c r="C191" s="49" t="s">
        <v>4</v>
      </c>
      <c r="D191" s="41">
        <v>-200.66492</v>
      </c>
      <c r="E191" s="40">
        <v>-6.3202022974521682E-2</v>
      </c>
      <c r="F191" s="41">
        <v>-257.54644000000008</v>
      </c>
      <c r="G191" s="40">
        <v>-6.4844465749095193E-2</v>
      </c>
      <c r="H191" s="42">
        <v>56.88152000000008</v>
      </c>
      <c r="I191" s="43">
        <v>0.22085927493309582</v>
      </c>
      <c r="J191" s="41">
        <v>-330.18436999999994</v>
      </c>
      <c r="K191" s="40">
        <v>-6.5653348540816156E-2</v>
      </c>
      <c r="L191" s="42">
        <v>129.51944999999995</v>
      </c>
      <c r="M191" s="44">
        <v>0.39226402509603941</v>
      </c>
      <c r="N191" s="39">
        <v>-799.56904000000009</v>
      </c>
      <c r="O191" s="40">
        <v>-5.7874206063588556E-2</v>
      </c>
      <c r="P191" s="41">
        <v>-1064.9780700000001</v>
      </c>
      <c r="Q191" s="40">
        <v>-5.0333181090836267E-2</v>
      </c>
      <c r="R191" s="42">
        <v>265.40903000000003</v>
      </c>
      <c r="S191" s="43">
        <v>0.2492154885405293</v>
      </c>
      <c r="T191" s="41">
        <v>-1351.5988</v>
      </c>
      <c r="U191" s="40">
        <v>-5.2842999840603318E-2</v>
      </c>
      <c r="V191" s="42">
        <v>552.0297599999999</v>
      </c>
      <c r="W191" s="44">
        <v>0.40842723447224127</v>
      </c>
    </row>
    <row r="192" spans="2:23" ht="18.399999999999999" x14ac:dyDescent="0.85">
      <c r="B192" s="48">
        <v>20001</v>
      </c>
      <c r="C192" s="49" t="s">
        <v>60</v>
      </c>
      <c r="D192" s="41">
        <v>-291.66667000000001</v>
      </c>
      <c r="E192" s="40">
        <v>-9.1864206151440087E-2</v>
      </c>
      <c r="F192" s="41">
        <v>-291.66667000000001</v>
      </c>
      <c r="G192" s="40">
        <v>-7.343518082784467E-2</v>
      </c>
      <c r="H192" s="42">
        <v>0</v>
      </c>
      <c r="I192" s="43">
        <v>0</v>
      </c>
      <c r="J192" s="41">
        <v>-291.66667000000001</v>
      </c>
      <c r="K192" s="40">
        <v>-5.7994548752411307E-2</v>
      </c>
      <c r="L192" s="42">
        <v>0</v>
      </c>
      <c r="M192" s="44">
        <v>0</v>
      </c>
      <c r="N192" s="39">
        <v>-1166.66668</v>
      </c>
      <c r="O192" s="40">
        <v>-8.4445375531101999E-2</v>
      </c>
      <c r="P192" s="41">
        <v>-1166.66668</v>
      </c>
      <c r="Q192" s="40">
        <v>-5.5139206084388874E-2</v>
      </c>
      <c r="R192" s="42">
        <v>0</v>
      </c>
      <c r="S192" s="43">
        <v>0</v>
      </c>
      <c r="T192" s="41">
        <v>-1166.66668</v>
      </c>
      <c r="U192" s="40">
        <v>-4.5612771471295485E-2</v>
      </c>
      <c r="V192" s="42">
        <v>0</v>
      </c>
      <c r="W192" s="44">
        <v>0</v>
      </c>
    </row>
    <row r="193" spans="2:23" ht="18.399999999999999" x14ac:dyDescent="0.85">
      <c r="B193" s="48">
        <v>20001</v>
      </c>
      <c r="C193" s="49" t="s">
        <v>61</v>
      </c>
      <c r="D193" s="41">
        <v>-188.51928000000009</v>
      </c>
      <c r="E193" s="40">
        <v>-5.9376595897779695E-2</v>
      </c>
      <c r="F193" s="41">
        <v>132.86479000000054</v>
      </c>
      <c r="G193" s="40">
        <v>3.3452399203870796E-2</v>
      </c>
      <c r="H193" s="42">
        <v>-321.38407000000063</v>
      </c>
      <c r="I193" s="43">
        <v>-2.418880653030794</v>
      </c>
      <c r="J193" s="41">
        <v>115.17841776186378</v>
      </c>
      <c r="K193" s="40">
        <v>2.2901898129518896E-2</v>
      </c>
      <c r="L193" s="42">
        <v>-303.69769776186388</v>
      </c>
      <c r="M193" s="44">
        <v>-2.6367587232338234</v>
      </c>
      <c r="N193" s="39">
        <v>-1028.8064000000018</v>
      </c>
      <c r="O193" s="40">
        <v>-7.4466807260494733E-2</v>
      </c>
      <c r="P193" s="41">
        <v>762.91476999999941</v>
      </c>
      <c r="Q193" s="40">
        <v>3.605701221179481E-2</v>
      </c>
      <c r="R193" s="42">
        <v>-1791.7211700000012</v>
      </c>
      <c r="S193" s="43">
        <v>-2.3485207528489749</v>
      </c>
      <c r="T193" s="41">
        <v>946.98013085349157</v>
      </c>
      <c r="U193" s="40">
        <v>3.7023760973852272E-2</v>
      </c>
      <c r="V193" s="42">
        <v>-1975.7865308534933</v>
      </c>
      <c r="W193" s="44">
        <v>-2.0864075881642439</v>
      </c>
    </row>
    <row r="194" spans="2:23" ht="18.399999999999999" x14ac:dyDescent="0.85">
      <c r="B194" s="48">
        <v>20001</v>
      </c>
      <c r="C194" s="49" t="s">
        <v>62</v>
      </c>
      <c r="D194" s="41">
        <v>-152.75453000000002</v>
      </c>
      <c r="E194" s="40">
        <v>-4.8112023339815763E-2</v>
      </c>
      <c r="F194" s="41">
        <v>-209.90249000000003</v>
      </c>
      <c r="G194" s="40">
        <v>-5.2848778742407759E-2</v>
      </c>
      <c r="H194" s="42">
        <v>57.147960000000012</v>
      </c>
      <c r="I194" s="43">
        <v>0.2722595620471201</v>
      </c>
      <c r="J194" s="41">
        <v>-53.444879999999998</v>
      </c>
      <c r="K194" s="40">
        <v>-1.0626897131327249E-2</v>
      </c>
      <c r="L194" s="42">
        <v>-99.309650000000019</v>
      </c>
      <c r="M194" s="44">
        <v>-1.8581695758321475</v>
      </c>
      <c r="N194" s="39">
        <v>-413.17757999999998</v>
      </c>
      <c r="O194" s="40">
        <v>-2.9906516147467192E-2</v>
      </c>
      <c r="P194" s="41">
        <v>-842.7406000000002</v>
      </c>
      <c r="Q194" s="40">
        <v>-3.9829754646872696E-2</v>
      </c>
      <c r="R194" s="42">
        <v>429.56302000000022</v>
      </c>
      <c r="S194" s="43">
        <v>0.50972152047735697</v>
      </c>
      <c r="T194" s="41">
        <v>-291.83531999999997</v>
      </c>
      <c r="U194" s="40">
        <v>-1.1409786519670199E-2</v>
      </c>
      <c r="V194" s="42">
        <v>-121.34226000000001</v>
      </c>
      <c r="W194" s="44">
        <v>-0.41579017920106459</v>
      </c>
    </row>
    <row r="195" spans="2:23" ht="18.399999999999999" x14ac:dyDescent="0.85">
      <c r="B195" s="48">
        <v>20001</v>
      </c>
      <c r="C195" s="50" t="s">
        <v>5</v>
      </c>
      <c r="D195" s="51">
        <v>-341.27381000000014</v>
      </c>
      <c r="E195" s="52">
        <v>-0.10748861923759546</v>
      </c>
      <c r="F195" s="51">
        <v>-77.037699999999489</v>
      </c>
      <c r="G195" s="52">
        <v>-1.939637953853696E-2</v>
      </c>
      <c r="H195" s="53">
        <v>-264.23611000000062</v>
      </c>
      <c r="I195" s="54">
        <v>-3.4299584489153023</v>
      </c>
      <c r="J195" s="51">
        <v>61.733537761863786</v>
      </c>
      <c r="K195" s="52">
        <v>1.2275000998191647E-2</v>
      </c>
      <c r="L195" s="53">
        <v>-403.00734776186391</v>
      </c>
      <c r="M195" s="55">
        <v>-6.5281751600962643</v>
      </c>
      <c r="N195" s="56">
        <v>-1441.9839800000018</v>
      </c>
      <c r="O195" s="52">
        <v>-0.10437332340796193</v>
      </c>
      <c r="P195" s="51">
        <v>-79.825830000000792</v>
      </c>
      <c r="Q195" s="52">
        <v>-3.7727424350778886E-3</v>
      </c>
      <c r="R195" s="53">
        <v>-1362.1581500000011</v>
      </c>
      <c r="S195" s="54">
        <v>-17.064127613831108</v>
      </c>
      <c r="T195" s="51">
        <v>655.14481085349166</v>
      </c>
      <c r="U195" s="52">
        <v>2.5613974454182079E-2</v>
      </c>
      <c r="V195" s="53">
        <v>-2097.1287908534932</v>
      </c>
      <c r="W195" s="55">
        <v>-3.2010156473977913</v>
      </c>
    </row>
    <row r="196" spans="2:23" ht="18.399999999999999" x14ac:dyDescent="0.85">
      <c r="B196" s="48">
        <v>20006</v>
      </c>
      <c r="C196" s="49" t="s">
        <v>1</v>
      </c>
      <c r="D196" s="41">
        <v>12255.453629999998</v>
      </c>
      <c r="E196" s="40">
        <v>1</v>
      </c>
      <c r="F196" s="41">
        <v>13973.56357</v>
      </c>
      <c r="G196" s="40">
        <v>1</v>
      </c>
      <c r="H196" s="42">
        <v>-1718.1099400000021</v>
      </c>
      <c r="I196" s="43">
        <v>-0.12295431522483152</v>
      </c>
      <c r="J196" s="41">
        <v>13949.262940000001</v>
      </c>
      <c r="K196" s="40">
        <v>1</v>
      </c>
      <c r="L196" s="42">
        <v>-1693.8093100000024</v>
      </c>
      <c r="M196" s="44">
        <v>-0.12142643789034507</v>
      </c>
      <c r="N196" s="39">
        <v>69869.523690000002</v>
      </c>
      <c r="O196" s="40">
        <v>1</v>
      </c>
      <c r="P196" s="41">
        <v>74065.994779999994</v>
      </c>
      <c r="Q196" s="40">
        <v>1</v>
      </c>
      <c r="R196" s="42">
        <v>-4196.4710899999918</v>
      </c>
      <c r="S196" s="43">
        <v>-5.6658539488531424E-2</v>
      </c>
      <c r="T196" s="41">
        <v>76543.81495</v>
      </c>
      <c r="U196" s="40">
        <v>1</v>
      </c>
      <c r="V196" s="42">
        <v>-6674.2912599999981</v>
      </c>
      <c r="W196" s="44">
        <v>-8.7195696534851097E-2</v>
      </c>
    </row>
    <row r="197" spans="2:23" ht="18.399999999999999" x14ac:dyDescent="0.85">
      <c r="B197" s="48">
        <v>20006</v>
      </c>
      <c r="C197" s="49" t="s">
        <v>56</v>
      </c>
      <c r="D197" s="41">
        <v>1337.8171500000001</v>
      </c>
      <c r="E197" s="40">
        <v>0.10916096542727487</v>
      </c>
      <c r="F197" s="41">
        <v>1508.4482599999994</v>
      </c>
      <c r="G197" s="40">
        <v>0.10795014832426167</v>
      </c>
      <c r="H197" s="42">
        <v>-170.63110999999935</v>
      </c>
      <c r="I197" s="43">
        <v>-0.11311697890121827</v>
      </c>
      <c r="J197" s="41">
        <v>1785.8683118327951</v>
      </c>
      <c r="K197" s="40">
        <v>0.12802599818458904</v>
      </c>
      <c r="L197" s="42">
        <v>-448.05116183279506</v>
      </c>
      <c r="M197" s="44">
        <v>-0.25088701046101802</v>
      </c>
      <c r="N197" s="39">
        <v>3942.0350500000045</v>
      </c>
      <c r="O197" s="40">
        <v>5.6419950241684613E-2</v>
      </c>
      <c r="P197" s="41">
        <v>4477.1319699999976</v>
      </c>
      <c r="Q197" s="40">
        <v>6.0447874673101067E-2</v>
      </c>
      <c r="R197" s="42">
        <v>-535.09691999999313</v>
      </c>
      <c r="S197" s="43">
        <v>-0.11951779031431888</v>
      </c>
      <c r="T197" s="41">
        <v>4991.1494454449921</v>
      </c>
      <c r="U197" s="40">
        <v>6.5206436976068066E-2</v>
      </c>
      <c r="V197" s="42">
        <v>-1049.1143954449876</v>
      </c>
      <c r="W197" s="44">
        <v>-0.21019494745893197</v>
      </c>
    </row>
    <row r="198" spans="2:23" ht="18.399999999999999" x14ac:dyDescent="0.85">
      <c r="B198" s="48">
        <v>20006</v>
      </c>
      <c r="C198" s="49" t="s">
        <v>57</v>
      </c>
      <c r="D198" s="41">
        <v>3668.3891000000017</v>
      </c>
      <c r="E198" s="40">
        <v>0.2993270759900874</v>
      </c>
      <c r="F198" s="41">
        <v>4229.0726800000029</v>
      </c>
      <c r="G198" s="40">
        <v>0.30264811540840209</v>
      </c>
      <c r="H198" s="42">
        <v>-560.68358000000126</v>
      </c>
      <c r="I198" s="43">
        <v>-0.13257837413189144</v>
      </c>
      <c r="J198" s="41">
        <v>4330.5608783947291</v>
      </c>
      <c r="K198" s="40">
        <v>0.31045087450295988</v>
      </c>
      <c r="L198" s="42">
        <v>-662.17177839472743</v>
      </c>
      <c r="M198" s="44">
        <v>-0.15290670123085398</v>
      </c>
      <c r="N198" s="39">
        <v>17583.837470000002</v>
      </c>
      <c r="O198" s="40">
        <v>0.25166677173894447</v>
      </c>
      <c r="P198" s="41">
        <v>18475.438959999992</v>
      </c>
      <c r="Q198" s="40">
        <v>0.24944563311244294</v>
      </c>
      <c r="R198" s="42">
        <v>-891.60148999999001</v>
      </c>
      <c r="S198" s="43">
        <v>-4.8258744592230805E-2</v>
      </c>
      <c r="T198" s="41">
        <v>18666.987145800831</v>
      </c>
      <c r="U198" s="40">
        <v>0.24387322683086141</v>
      </c>
      <c r="V198" s="42">
        <v>-1083.1496758008288</v>
      </c>
      <c r="W198" s="44">
        <v>-5.8024879287736857E-2</v>
      </c>
    </row>
    <row r="199" spans="2:23" ht="18.399999999999999" x14ac:dyDescent="0.85">
      <c r="B199" s="48">
        <v>20006</v>
      </c>
      <c r="C199" s="49" t="s">
        <v>2</v>
      </c>
      <c r="D199" s="41">
        <v>-76.422570000000007</v>
      </c>
      <c r="E199" s="40">
        <v>-6.235800999885144E-3</v>
      </c>
      <c r="F199" s="41">
        <v>-79.645929999999993</v>
      </c>
      <c r="G199" s="40">
        <v>-5.6997579465693868E-3</v>
      </c>
      <c r="H199" s="42">
        <v>3.2233599999999853</v>
      </c>
      <c r="I199" s="43">
        <v>4.0471120118755415E-2</v>
      </c>
      <c r="J199" s="41">
        <v>-59.383470000000003</v>
      </c>
      <c r="K199" s="40">
        <v>-4.2571044975943367E-3</v>
      </c>
      <c r="L199" s="42">
        <v>-17.039100000000005</v>
      </c>
      <c r="M199" s="44">
        <v>-0.28693338398716012</v>
      </c>
      <c r="N199" s="39">
        <v>-296.56065999999998</v>
      </c>
      <c r="O199" s="40">
        <v>-4.2444923671698777E-3</v>
      </c>
      <c r="P199" s="41">
        <v>-428.80983000000003</v>
      </c>
      <c r="Q199" s="40">
        <v>-5.7895641754857168E-3</v>
      </c>
      <c r="R199" s="42">
        <v>132.24917000000005</v>
      </c>
      <c r="S199" s="43">
        <v>0.30840983752634599</v>
      </c>
      <c r="T199" s="41">
        <v>-232.80258000000001</v>
      </c>
      <c r="U199" s="40">
        <v>-3.0414290188184563E-3</v>
      </c>
      <c r="V199" s="42">
        <v>-63.758079999999978</v>
      </c>
      <c r="W199" s="44">
        <v>-0.27387187891130749</v>
      </c>
    </row>
    <row r="200" spans="2:23" ht="18.399999999999999" x14ac:dyDescent="0.85">
      <c r="B200" s="48">
        <v>20006</v>
      </c>
      <c r="C200" s="49" t="s">
        <v>58</v>
      </c>
      <c r="D200" s="41">
        <v>-216.50028</v>
      </c>
      <c r="E200" s="40">
        <v>-1.766562760843313E-2</v>
      </c>
      <c r="F200" s="41">
        <v>-254.48724999999999</v>
      </c>
      <c r="G200" s="40">
        <v>-1.8212050829064214E-2</v>
      </c>
      <c r="H200" s="42">
        <v>37.986969999999985</v>
      </c>
      <c r="I200" s="43">
        <v>0.14926865687770208</v>
      </c>
      <c r="J200" s="41">
        <v>-236.27801828949535</v>
      </c>
      <c r="K200" s="40">
        <v>-1.6938387304461788E-2</v>
      </c>
      <c r="L200" s="42">
        <v>19.777738289495346</v>
      </c>
      <c r="M200" s="44">
        <v>8.3705367230831565E-2</v>
      </c>
      <c r="N200" s="39">
        <v>-1214.0949599999999</v>
      </c>
      <c r="O200" s="40">
        <v>-1.7376602785883394E-2</v>
      </c>
      <c r="P200" s="41">
        <v>-1362.98308</v>
      </c>
      <c r="Q200" s="40">
        <v>-1.8402278725189628E-2</v>
      </c>
      <c r="R200" s="42">
        <v>148.88812000000007</v>
      </c>
      <c r="S200" s="43">
        <v>0.10923695399065414</v>
      </c>
      <c r="T200" s="41">
        <v>-1218.9676102879071</v>
      </c>
      <c r="U200" s="40">
        <v>-1.5925096117617887E-2</v>
      </c>
      <c r="V200" s="42">
        <v>4.8726502879071631</v>
      </c>
      <c r="W200" s="44">
        <v>3.9973582946607545E-3</v>
      </c>
    </row>
    <row r="201" spans="2:23" ht="18.399999999999999" x14ac:dyDescent="0.85">
      <c r="B201" s="48">
        <v>20006</v>
      </c>
      <c r="C201" s="49" t="s">
        <v>59</v>
      </c>
      <c r="D201" s="41">
        <v>3375.4662500000022</v>
      </c>
      <c r="E201" s="40">
        <v>0.27542564738176917</v>
      </c>
      <c r="F201" s="41">
        <v>3894.9395000000027</v>
      </c>
      <c r="G201" s="40">
        <v>0.27873630663276844</v>
      </c>
      <c r="H201" s="42">
        <v>-519.47325000000046</v>
      </c>
      <c r="I201" s="43">
        <v>-0.13337132707709584</v>
      </c>
      <c r="J201" s="41">
        <v>4034.899390105234</v>
      </c>
      <c r="K201" s="40">
        <v>0.28925538270090373</v>
      </c>
      <c r="L201" s="42">
        <v>-659.43314010523181</v>
      </c>
      <c r="M201" s="44">
        <v>-0.16343236258191637</v>
      </c>
      <c r="N201" s="39">
        <v>16073.181850000004</v>
      </c>
      <c r="O201" s="40">
        <v>0.2300456765858912</v>
      </c>
      <c r="P201" s="41">
        <v>16683.646049999996</v>
      </c>
      <c r="Q201" s="40">
        <v>0.22525379021176764</v>
      </c>
      <c r="R201" s="42">
        <v>-610.46419999999125</v>
      </c>
      <c r="S201" s="43">
        <v>-3.6590574876166918E-2</v>
      </c>
      <c r="T201" s="41">
        <v>17215.216955512926</v>
      </c>
      <c r="U201" s="40">
        <v>0.22490670169442509</v>
      </c>
      <c r="V201" s="42">
        <v>-1142.0351055129213</v>
      </c>
      <c r="W201" s="44">
        <v>-6.6338699562377632E-2</v>
      </c>
    </row>
    <row r="202" spans="2:23" ht="18.399999999999999" x14ac:dyDescent="0.85">
      <c r="B202" s="48">
        <v>20006</v>
      </c>
      <c r="C202" s="49" t="s">
        <v>3</v>
      </c>
      <c r="D202" s="41">
        <v>-1184.19444</v>
      </c>
      <c r="E202" s="40">
        <v>-9.6625916571641435E-2</v>
      </c>
      <c r="F202" s="41">
        <v>-1157.9314400000001</v>
      </c>
      <c r="G202" s="40">
        <v>-8.2865865546708217E-2</v>
      </c>
      <c r="H202" s="42">
        <v>-26.26299999999992</v>
      </c>
      <c r="I202" s="43">
        <v>-2.2680962872896792E-2</v>
      </c>
      <c r="J202" s="41">
        <v>-1201.6721599999998</v>
      </c>
      <c r="K202" s="40">
        <v>-8.6145925069213716E-2</v>
      </c>
      <c r="L202" s="42">
        <v>17.477719999999863</v>
      </c>
      <c r="M202" s="44">
        <v>1.4544499391581032E-2</v>
      </c>
      <c r="N202" s="39">
        <v>-5061.1580599999998</v>
      </c>
      <c r="O202" s="40">
        <v>-7.2437277266345135E-2</v>
      </c>
      <c r="P202" s="41">
        <v>-4886.3318299999992</v>
      </c>
      <c r="Q202" s="40">
        <v>-6.5972675375710374E-2</v>
      </c>
      <c r="R202" s="42">
        <v>-174.82623000000058</v>
      </c>
      <c r="S202" s="43">
        <v>-3.5778624146367198E-2</v>
      </c>
      <c r="T202" s="41">
        <v>-4635.0322299999998</v>
      </c>
      <c r="U202" s="40">
        <v>-6.0553974648738094E-2</v>
      </c>
      <c r="V202" s="42">
        <v>-426.12582999999995</v>
      </c>
      <c r="W202" s="44">
        <v>-9.1935893615134573E-2</v>
      </c>
    </row>
    <row r="203" spans="2:23" ht="18.399999999999999" x14ac:dyDescent="0.85">
      <c r="B203" s="48">
        <v>20006</v>
      </c>
      <c r="C203" s="49" t="s">
        <v>4</v>
      </c>
      <c r="D203" s="41">
        <v>-379.70066000000003</v>
      </c>
      <c r="E203" s="40">
        <v>-3.0982179155778836E-2</v>
      </c>
      <c r="F203" s="41">
        <v>-371.3417399999999</v>
      </c>
      <c r="G203" s="40">
        <v>-2.6574591237215797E-2</v>
      </c>
      <c r="H203" s="42">
        <v>-8.3589200000001256</v>
      </c>
      <c r="I203" s="43">
        <v>-2.2510046944898054E-2</v>
      </c>
      <c r="J203" s="41">
        <v>-396.11851999999999</v>
      </c>
      <c r="K203" s="40">
        <v>-2.8397093215879975E-2</v>
      </c>
      <c r="L203" s="42">
        <v>16.417859999999962</v>
      </c>
      <c r="M203" s="44">
        <v>4.1446837678783516E-2</v>
      </c>
      <c r="N203" s="39">
        <v>-1702.81574</v>
      </c>
      <c r="O203" s="40">
        <v>-2.4371366084519532E-2</v>
      </c>
      <c r="P203" s="41">
        <v>-1653.1563799999997</v>
      </c>
      <c r="Q203" s="40">
        <v>-2.2320045587862686E-2</v>
      </c>
      <c r="R203" s="42">
        <v>-49.659360000000333</v>
      </c>
      <c r="S203" s="43">
        <v>-3.0039118259338745E-2</v>
      </c>
      <c r="T203" s="41">
        <v>-1708.1346400000004</v>
      </c>
      <c r="U203" s="40">
        <v>-2.2315776148808225E-2</v>
      </c>
      <c r="V203" s="42">
        <v>5.3189000000004398</v>
      </c>
      <c r="W203" s="44">
        <v>3.1138646073007679E-3</v>
      </c>
    </row>
    <row r="204" spans="2:23" ht="18.399999999999999" x14ac:dyDescent="0.85">
      <c r="B204" s="48">
        <v>20006</v>
      </c>
      <c r="C204" s="49" t="s">
        <v>60</v>
      </c>
      <c r="D204" s="41">
        <v>-938.57358999999997</v>
      </c>
      <c r="E204" s="40">
        <v>-7.6584157415640286E-2</v>
      </c>
      <c r="F204" s="41">
        <v>-938.57358999999997</v>
      </c>
      <c r="G204" s="40">
        <v>-6.7167804783529531E-2</v>
      </c>
      <c r="H204" s="42">
        <v>0</v>
      </c>
      <c r="I204" s="43">
        <v>0</v>
      </c>
      <c r="J204" s="41">
        <v>-938.57358999999997</v>
      </c>
      <c r="K204" s="40">
        <v>-6.7284815981825633E-2</v>
      </c>
      <c r="L204" s="42">
        <v>0</v>
      </c>
      <c r="M204" s="44">
        <v>0</v>
      </c>
      <c r="N204" s="39">
        <v>-3754.2943599999999</v>
      </c>
      <c r="O204" s="40">
        <v>-5.3732931924041855E-2</v>
      </c>
      <c r="P204" s="41">
        <v>-3754.2943599999999</v>
      </c>
      <c r="Q204" s="40">
        <v>-5.0688502478788963E-2</v>
      </c>
      <c r="R204" s="42">
        <v>0</v>
      </c>
      <c r="S204" s="43">
        <v>0</v>
      </c>
      <c r="T204" s="41">
        <v>-3754.2943599999999</v>
      </c>
      <c r="U204" s="40">
        <v>-4.9047651498065288E-2</v>
      </c>
      <c r="V204" s="42">
        <v>0</v>
      </c>
      <c r="W204" s="44">
        <v>0</v>
      </c>
    </row>
    <row r="205" spans="2:23" ht="18.399999999999999" x14ac:dyDescent="0.85">
      <c r="B205" s="48">
        <v>20006</v>
      </c>
      <c r="C205" s="49" t="s">
        <v>61</v>
      </c>
      <c r="D205" s="41">
        <v>872.99756000000252</v>
      </c>
      <c r="E205" s="40">
        <v>7.1233394238708628E-2</v>
      </c>
      <c r="F205" s="41">
        <v>1427.0927300000026</v>
      </c>
      <c r="G205" s="40">
        <v>0.10212804506531489</v>
      </c>
      <c r="H205" s="42">
        <v>-554.09517000000005</v>
      </c>
      <c r="I205" s="43">
        <v>-0.38826851146526342</v>
      </c>
      <c r="J205" s="41">
        <v>1498.535120105234</v>
      </c>
      <c r="K205" s="40">
        <v>0.10742754843398443</v>
      </c>
      <c r="L205" s="42">
        <v>-625.53756010523148</v>
      </c>
      <c r="M205" s="44">
        <v>-0.41743269924918636</v>
      </c>
      <c r="N205" s="39">
        <v>5554.9136900000049</v>
      </c>
      <c r="O205" s="40">
        <v>7.950410131098469E-2</v>
      </c>
      <c r="P205" s="41">
        <v>6389.8634799999963</v>
      </c>
      <c r="Q205" s="40">
        <v>8.6272566769405604E-2</v>
      </c>
      <c r="R205" s="42">
        <v>-834.94978999999148</v>
      </c>
      <c r="S205" s="43">
        <v>-0.13066786052837423</v>
      </c>
      <c r="T205" s="41">
        <v>7117.755725512925</v>
      </c>
      <c r="U205" s="40">
        <v>9.298929939881348E-2</v>
      </c>
      <c r="V205" s="42">
        <v>-1562.8420355129201</v>
      </c>
      <c r="W205" s="44">
        <v>-0.21956949574864729</v>
      </c>
    </row>
    <row r="206" spans="2:23" ht="18.399999999999999" x14ac:dyDescent="0.85">
      <c r="B206" s="48">
        <v>20006</v>
      </c>
      <c r="C206" s="49" t="s">
        <v>62</v>
      </c>
      <c r="D206" s="41">
        <v>-486.92401000000007</v>
      </c>
      <c r="E206" s="40">
        <v>-3.9731210667556506E-2</v>
      </c>
      <c r="F206" s="41">
        <v>-446.42421000000007</v>
      </c>
      <c r="G206" s="40">
        <v>-3.1947771072400828E-2</v>
      </c>
      <c r="H206" s="42">
        <v>-40.499799999999993</v>
      </c>
      <c r="I206" s="43">
        <v>-9.0720438302394013E-2</v>
      </c>
      <c r="J206" s="41">
        <v>-361.04621999999995</v>
      </c>
      <c r="K206" s="40">
        <v>-2.5882817002802868E-2</v>
      </c>
      <c r="L206" s="42">
        <v>-125.87779000000012</v>
      </c>
      <c r="M206" s="44">
        <v>-0.34864730061430954</v>
      </c>
      <c r="N206" s="39">
        <v>-1929.5990299999999</v>
      </c>
      <c r="O206" s="40">
        <v>-2.7617177391409235E-2</v>
      </c>
      <c r="P206" s="41">
        <v>-1709.6988900000001</v>
      </c>
      <c r="Q206" s="40">
        <v>-2.3083452738039363E-2</v>
      </c>
      <c r="R206" s="42">
        <v>-219.90013999999974</v>
      </c>
      <c r="S206" s="43">
        <v>-0.12861922136476309</v>
      </c>
      <c r="T206" s="41">
        <v>-1583.3424299999999</v>
      </c>
      <c r="U206" s="40">
        <v>-2.0685439196286098E-2</v>
      </c>
      <c r="V206" s="42">
        <v>-346.25659999999993</v>
      </c>
      <c r="W206" s="44">
        <v>-0.21868712253230019</v>
      </c>
    </row>
    <row r="207" spans="2:23" ht="18.399999999999999" x14ac:dyDescent="0.85">
      <c r="B207" s="48">
        <v>20006</v>
      </c>
      <c r="C207" s="50" t="s">
        <v>5</v>
      </c>
      <c r="D207" s="51">
        <v>386.07355000000246</v>
      </c>
      <c r="E207" s="52">
        <v>3.1502183571152115E-2</v>
      </c>
      <c r="F207" s="51">
        <v>980.66852000000245</v>
      </c>
      <c r="G207" s="52">
        <v>7.0180273992914072E-2</v>
      </c>
      <c r="H207" s="53">
        <v>-594.59496999999999</v>
      </c>
      <c r="I207" s="54">
        <v>-0.60631595475298683</v>
      </c>
      <c r="J207" s="51">
        <v>1137.4889001052341</v>
      </c>
      <c r="K207" s="52">
        <v>8.1544731431181558E-2</v>
      </c>
      <c r="L207" s="53">
        <v>-751.4153501052316</v>
      </c>
      <c r="M207" s="55">
        <v>-0.66059136931860596</v>
      </c>
      <c r="N207" s="56">
        <v>3625.314660000005</v>
      </c>
      <c r="O207" s="52">
        <v>5.1886923919575452E-2</v>
      </c>
      <c r="P207" s="51">
        <v>4680.1645899999967</v>
      </c>
      <c r="Q207" s="52">
        <v>6.3189114031366247E-2</v>
      </c>
      <c r="R207" s="53">
        <v>-1054.8499299999917</v>
      </c>
      <c r="S207" s="54">
        <v>-0.2253873575843606</v>
      </c>
      <c r="T207" s="51">
        <v>5534.4132955129253</v>
      </c>
      <c r="U207" s="52">
        <v>7.2303860202527381E-2</v>
      </c>
      <c r="V207" s="53">
        <v>-1909.0986355129203</v>
      </c>
      <c r="W207" s="55">
        <v>-0.34495050036482439</v>
      </c>
    </row>
    <row r="208" spans="2:23" ht="18.399999999999999" x14ac:dyDescent="0.85">
      <c r="B208" s="48">
        <v>20010</v>
      </c>
      <c r="C208" s="49" t="s">
        <v>1</v>
      </c>
      <c r="D208" s="41">
        <v>5927.5983600000018</v>
      </c>
      <c r="E208" s="40">
        <v>1</v>
      </c>
      <c r="F208" s="41">
        <v>7221.3575200000005</v>
      </c>
      <c r="G208" s="40">
        <v>1</v>
      </c>
      <c r="H208" s="42">
        <v>-1293.7591599999987</v>
      </c>
      <c r="I208" s="43">
        <v>-0.17915733384157367</v>
      </c>
      <c r="J208" s="41">
        <v>6239.9408000000012</v>
      </c>
      <c r="K208" s="40">
        <v>1</v>
      </c>
      <c r="L208" s="42">
        <v>-312.34243999999944</v>
      </c>
      <c r="M208" s="44">
        <v>-5.0055353089247155E-2</v>
      </c>
      <c r="N208" s="39">
        <v>37618.890179999995</v>
      </c>
      <c r="O208" s="40">
        <v>1</v>
      </c>
      <c r="P208" s="41">
        <v>39215.073950000013</v>
      </c>
      <c r="Q208" s="40">
        <v>1</v>
      </c>
      <c r="R208" s="42">
        <v>-1596.1837700000178</v>
      </c>
      <c r="S208" s="43">
        <v>-4.0703321687858687E-2</v>
      </c>
      <c r="T208" s="41">
        <v>39150.640120000004</v>
      </c>
      <c r="U208" s="40">
        <v>1</v>
      </c>
      <c r="V208" s="42">
        <v>-1531.7499400000088</v>
      </c>
      <c r="W208" s="44">
        <v>-3.912451840646964E-2</v>
      </c>
    </row>
    <row r="209" spans="2:23" ht="18.399999999999999" x14ac:dyDescent="0.85">
      <c r="B209" s="48">
        <v>20010</v>
      </c>
      <c r="C209" s="49" t="s">
        <v>56</v>
      </c>
      <c r="D209" s="41">
        <v>246.2557599999997</v>
      </c>
      <c r="E209" s="40">
        <v>4.1543934835692818E-2</v>
      </c>
      <c r="F209" s="41">
        <v>479.93430000000114</v>
      </c>
      <c r="G209" s="40">
        <v>6.6460398709078328E-2</v>
      </c>
      <c r="H209" s="42">
        <v>-233.67854000000145</v>
      </c>
      <c r="I209" s="43">
        <v>-0.48689693568474035</v>
      </c>
      <c r="J209" s="41">
        <v>496.68202511231937</v>
      </c>
      <c r="K209" s="40">
        <v>7.9597233536625747E-2</v>
      </c>
      <c r="L209" s="42">
        <v>-250.42626511231967</v>
      </c>
      <c r="M209" s="44">
        <v>-0.50419836525327932</v>
      </c>
      <c r="N209" s="39">
        <v>-853.72754000000839</v>
      </c>
      <c r="O209" s="40">
        <v>-2.2694118192085604E-2</v>
      </c>
      <c r="P209" s="41">
        <v>615.8852700000034</v>
      </c>
      <c r="Q209" s="40">
        <v>1.5705319612179469E-2</v>
      </c>
      <c r="R209" s="42">
        <v>-1469.6128100000119</v>
      </c>
      <c r="S209" s="43">
        <v>-2.3861795071020349</v>
      </c>
      <c r="T209" s="41">
        <v>-900.55046687733818</v>
      </c>
      <c r="U209" s="40">
        <v>-2.3002190107673216E-2</v>
      </c>
      <c r="V209" s="42">
        <v>46.822926877329792</v>
      </c>
      <c r="W209" s="44">
        <v>5.1993673424753695E-2</v>
      </c>
    </row>
    <row r="210" spans="2:23" ht="18.399999999999999" x14ac:dyDescent="0.85">
      <c r="B210" s="48">
        <v>20010</v>
      </c>
      <c r="C210" s="49" t="s">
        <v>57</v>
      </c>
      <c r="D210" s="41">
        <v>1504.1068899999996</v>
      </c>
      <c r="E210" s="40">
        <v>0.25374642454688834</v>
      </c>
      <c r="F210" s="41">
        <v>2031.7715299999995</v>
      </c>
      <c r="G210" s="40">
        <v>0.28135589802511252</v>
      </c>
      <c r="H210" s="42">
        <v>-527.66463999999996</v>
      </c>
      <c r="I210" s="43">
        <v>-0.25970668070144681</v>
      </c>
      <c r="J210" s="41">
        <v>1757.7350566367304</v>
      </c>
      <c r="K210" s="40">
        <v>0.28169098281136418</v>
      </c>
      <c r="L210" s="42">
        <v>-253.62816663673084</v>
      </c>
      <c r="M210" s="44">
        <v>-0.14429260296032656</v>
      </c>
      <c r="N210" s="39">
        <v>7099.8585499999972</v>
      </c>
      <c r="O210" s="40">
        <v>0.18873120700872303</v>
      </c>
      <c r="P210" s="41">
        <v>8619.9685400000071</v>
      </c>
      <c r="Q210" s="40">
        <v>0.21981262998485318</v>
      </c>
      <c r="R210" s="42">
        <v>-1520.1099900000099</v>
      </c>
      <c r="S210" s="43">
        <v>-0.17634751019636652</v>
      </c>
      <c r="T210" s="41">
        <v>6662.3868892391783</v>
      </c>
      <c r="U210" s="40">
        <v>0.17017312791868541</v>
      </c>
      <c r="V210" s="42">
        <v>437.47166076081885</v>
      </c>
      <c r="W210" s="44">
        <v>6.5662902505317672E-2</v>
      </c>
    </row>
    <row r="211" spans="2:23" ht="18.399999999999999" x14ac:dyDescent="0.85">
      <c r="B211" s="48">
        <v>20010</v>
      </c>
      <c r="C211" s="49" t="s">
        <v>2</v>
      </c>
      <c r="D211" s="41">
        <v>-26.038160000000001</v>
      </c>
      <c r="E211" s="40">
        <v>-4.3926997779923796E-3</v>
      </c>
      <c r="F211" s="41">
        <v>-49.559350000000009</v>
      </c>
      <c r="G211" s="40">
        <v>-6.8628855257120694E-3</v>
      </c>
      <c r="H211" s="42">
        <v>23.521190000000008</v>
      </c>
      <c r="I211" s="43">
        <v>0.47460650714749092</v>
      </c>
      <c r="J211" s="41">
        <v>-21.286479999999997</v>
      </c>
      <c r="K211" s="40">
        <v>-3.4113272356686452E-3</v>
      </c>
      <c r="L211" s="42">
        <v>-4.7516800000000039</v>
      </c>
      <c r="M211" s="44">
        <v>-0.22322525847392358</v>
      </c>
      <c r="N211" s="39">
        <v>-97.371840000000006</v>
      </c>
      <c r="O211" s="40">
        <v>-2.5883761996723536E-3</v>
      </c>
      <c r="P211" s="41">
        <v>-265.52705999999995</v>
      </c>
      <c r="Q211" s="40">
        <v>-6.7710457549704523E-3</v>
      </c>
      <c r="R211" s="42">
        <v>168.15521999999993</v>
      </c>
      <c r="S211" s="43">
        <v>0.6332884490190942</v>
      </c>
      <c r="T211" s="41">
        <v>-123.63538</v>
      </c>
      <c r="U211" s="40">
        <v>-3.1579401925753234E-3</v>
      </c>
      <c r="V211" s="42">
        <v>26.263539999999992</v>
      </c>
      <c r="W211" s="44">
        <v>0.21242738122372409</v>
      </c>
    </row>
    <row r="212" spans="2:23" ht="18.399999999999999" x14ac:dyDescent="0.85">
      <c r="B212" s="48">
        <v>20010</v>
      </c>
      <c r="C212" s="49" t="s">
        <v>58</v>
      </c>
      <c r="D212" s="41">
        <v>-100.61882</v>
      </c>
      <c r="E212" s="40">
        <v>-1.6974635238275484E-2</v>
      </c>
      <c r="F212" s="41">
        <v>-130.36537000000001</v>
      </c>
      <c r="G212" s="40">
        <v>-1.8052751112092841E-2</v>
      </c>
      <c r="H212" s="42">
        <v>29.746550000000013</v>
      </c>
      <c r="I212" s="43">
        <v>0.22817831146415654</v>
      </c>
      <c r="J212" s="41">
        <v>-104.06485599600205</v>
      </c>
      <c r="K212" s="40">
        <v>-1.6677218475534581E-2</v>
      </c>
      <c r="L212" s="42">
        <v>3.4460359960020526</v>
      </c>
      <c r="M212" s="44">
        <v>3.311431090755982E-2</v>
      </c>
      <c r="N212" s="39">
        <v>-659.09393999999998</v>
      </c>
      <c r="O212" s="40">
        <v>-1.7520291982202226E-2</v>
      </c>
      <c r="P212" s="41">
        <v>-714.27623999999992</v>
      </c>
      <c r="Q212" s="40">
        <v>-1.8214328523534499E-2</v>
      </c>
      <c r="R212" s="42">
        <v>55.182299999999941</v>
      </c>
      <c r="S212" s="43">
        <v>7.7256244726829987E-2</v>
      </c>
      <c r="T212" s="41">
        <v>-645.0470579324674</v>
      </c>
      <c r="U212" s="40">
        <v>-1.6476028385623936E-2</v>
      </c>
      <c r="V212" s="42">
        <v>-14.046882067532579</v>
      </c>
      <c r="W212" s="44">
        <v>-2.1776522960287967E-2</v>
      </c>
    </row>
    <row r="213" spans="2:23" ht="18.399999999999999" x14ac:dyDescent="0.85">
      <c r="B213" s="48">
        <v>20010</v>
      </c>
      <c r="C213" s="49" t="s">
        <v>59</v>
      </c>
      <c r="D213" s="41">
        <v>1377.4499099999996</v>
      </c>
      <c r="E213" s="40">
        <v>0.23237908953062048</v>
      </c>
      <c r="F213" s="41">
        <v>1851.8468099999993</v>
      </c>
      <c r="G213" s="40">
        <v>0.25644026138730758</v>
      </c>
      <c r="H213" s="42">
        <v>-474.39689999999973</v>
      </c>
      <c r="I213" s="43">
        <v>-0.25617502346211884</v>
      </c>
      <c r="J213" s="41">
        <v>1632.3837206407288</v>
      </c>
      <c r="K213" s="40">
        <v>0.26160243710016101</v>
      </c>
      <c r="L213" s="42">
        <v>-254.93381064072923</v>
      </c>
      <c r="M213" s="44">
        <v>-0.15617272300453036</v>
      </c>
      <c r="N213" s="39">
        <v>6343.3927699999967</v>
      </c>
      <c r="O213" s="40">
        <v>0.16862253882684844</v>
      </c>
      <c r="P213" s="41">
        <v>7640.1652400000048</v>
      </c>
      <c r="Q213" s="40">
        <v>0.19482725570634815</v>
      </c>
      <c r="R213" s="42">
        <v>-1296.7724700000081</v>
      </c>
      <c r="S213" s="43">
        <v>-0.16973094550504869</v>
      </c>
      <c r="T213" s="41">
        <v>5893.7044513067094</v>
      </c>
      <c r="U213" s="40">
        <v>0.15053915934048612</v>
      </c>
      <c r="V213" s="42">
        <v>449.68831869328733</v>
      </c>
      <c r="W213" s="44">
        <v>7.6299774175745391E-2</v>
      </c>
    </row>
    <row r="214" spans="2:23" ht="18.399999999999999" x14ac:dyDescent="0.85">
      <c r="B214" s="48">
        <v>20010</v>
      </c>
      <c r="C214" s="49" t="s">
        <v>3</v>
      </c>
      <c r="D214" s="41">
        <v>-553.32141999999988</v>
      </c>
      <c r="E214" s="40">
        <v>-9.3346645031462575E-2</v>
      </c>
      <c r="F214" s="41">
        <v>-540.55835999999977</v>
      </c>
      <c r="G214" s="40">
        <v>-7.4855504453683344E-2</v>
      </c>
      <c r="H214" s="42">
        <v>-12.76306000000011</v>
      </c>
      <c r="I214" s="43">
        <v>-2.3610882643642982E-2</v>
      </c>
      <c r="J214" s="41">
        <v>-636.91423999999995</v>
      </c>
      <c r="K214" s="40">
        <v>-0.10207055810529482</v>
      </c>
      <c r="L214" s="42">
        <v>83.592820000000074</v>
      </c>
      <c r="M214" s="44">
        <v>0.13124658666761804</v>
      </c>
      <c r="N214" s="39">
        <v>-2324.2380299999995</v>
      </c>
      <c r="O214" s="40">
        <v>-6.1783801140302533E-2</v>
      </c>
      <c r="P214" s="41">
        <v>-2314.4812399999996</v>
      </c>
      <c r="Q214" s="40">
        <v>-5.9020193177526797E-2</v>
      </c>
      <c r="R214" s="42">
        <v>-9.7567899999999099</v>
      </c>
      <c r="S214" s="43">
        <v>-4.2155407576342733E-3</v>
      </c>
      <c r="T214" s="41">
        <v>-2353.9711899999998</v>
      </c>
      <c r="U214" s="40">
        <v>-6.0125994946311989E-2</v>
      </c>
      <c r="V214" s="42">
        <v>29.733160000000225</v>
      </c>
      <c r="W214" s="44">
        <v>1.2631063679245892E-2</v>
      </c>
    </row>
    <row r="215" spans="2:23" ht="18.399999999999999" x14ac:dyDescent="0.85">
      <c r="B215" s="48">
        <v>20010</v>
      </c>
      <c r="C215" s="49" t="s">
        <v>4</v>
      </c>
      <c r="D215" s="41">
        <v>-180.98818000000003</v>
      </c>
      <c r="E215" s="40">
        <v>-3.0533138213500684E-2</v>
      </c>
      <c r="F215" s="41">
        <v>-183.33379000000005</v>
      </c>
      <c r="G215" s="40">
        <v>-2.5387718236113594E-2</v>
      </c>
      <c r="H215" s="42">
        <v>2.345610000000022</v>
      </c>
      <c r="I215" s="43">
        <v>1.2794204494436193E-2</v>
      </c>
      <c r="J215" s="41">
        <v>-184.61671000000004</v>
      </c>
      <c r="K215" s="40">
        <v>-2.9586291908410414E-2</v>
      </c>
      <c r="L215" s="42">
        <v>3.628530000000012</v>
      </c>
      <c r="M215" s="44">
        <v>1.9654396397812589E-2</v>
      </c>
      <c r="N215" s="39">
        <v>-775.83134999999993</v>
      </c>
      <c r="O215" s="40">
        <v>-2.0623451310971132E-2</v>
      </c>
      <c r="P215" s="41">
        <v>-824.36725000000013</v>
      </c>
      <c r="Q215" s="40">
        <v>-2.1021693113497237E-2</v>
      </c>
      <c r="R215" s="42">
        <v>48.535900000000197</v>
      </c>
      <c r="S215" s="43">
        <v>5.8876550469466354E-2</v>
      </c>
      <c r="T215" s="41">
        <v>-790.78178000000003</v>
      </c>
      <c r="U215" s="40">
        <v>-2.0198438073456459E-2</v>
      </c>
      <c r="V215" s="42">
        <v>14.950430000000097</v>
      </c>
      <c r="W215" s="44">
        <v>1.8905885767879094E-2</v>
      </c>
    </row>
    <row r="216" spans="2:23" ht="18.399999999999999" x14ac:dyDescent="0.85">
      <c r="B216" s="48">
        <v>20010</v>
      </c>
      <c r="C216" s="49" t="s">
        <v>60</v>
      </c>
      <c r="D216" s="41">
        <v>-251.12913</v>
      </c>
      <c r="E216" s="40">
        <v>-4.2366083993585546E-2</v>
      </c>
      <c r="F216" s="41">
        <v>-203.44005999999999</v>
      </c>
      <c r="G216" s="40">
        <v>-2.8171996669124889E-2</v>
      </c>
      <c r="H216" s="42">
        <v>-47.689070000000015</v>
      </c>
      <c r="I216" s="43">
        <v>-0.23441336971685919</v>
      </c>
      <c r="J216" s="41">
        <v>-203.44005999999999</v>
      </c>
      <c r="K216" s="40">
        <v>-3.2602883027351787E-2</v>
      </c>
      <c r="L216" s="42">
        <v>-47.689070000000015</v>
      </c>
      <c r="M216" s="44">
        <v>-0.23441336971685919</v>
      </c>
      <c r="N216" s="39">
        <v>-861.44930999999997</v>
      </c>
      <c r="O216" s="40">
        <v>-2.2899381291635969E-2</v>
      </c>
      <c r="P216" s="41">
        <v>-813.76023999999995</v>
      </c>
      <c r="Q216" s="40">
        <v>-2.0751210135101623E-2</v>
      </c>
      <c r="R216" s="42">
        <v>-47.689070000000015</v>
      </c>
      <c r="S216" s="43">
        <v>-5.8603342429214798E-2</v>
      </c>
      <c r="T216" s="41">
        <v>-813.76023999999995</v>
      </c>
      <c r="U216" s="40">
        <v>-2.0785362321171671E-2</v>
      </c>
      <c r="V216" s="42">
        <v>-47.689070000000015</v>
      </c>
      <c r="W216" s="44">
        <v>-5.8603342429214798E-2</v>
      </c>
    </row>
    <row r="217" spans="2:23" ht="18.399999999999999" x14ac:dyDescent="0.85">
      <c r="B217" s="48">
        <v>20010</v>
      </c>
      <c r="C217" s="49" t="s">
        <v>61</v>
      </c>
      <c r="D217" s="41">
        <v>392.01117999999963</v>
      </c>
      <c r="E217" s="40">
        <v>6.6133222292071678E-2</v>
      </c>
      <c r="F217" s="41">
        <v>924.51459999999952</v>
      </c>
      <c r="G217" s="40">
        <v>0.12802504202838574</v>
      </c>
      <c r="H217" s="42">
        <v>-532.50341999999989</v>
      </c>
      <c r="I217" s="43">
        <v>-0.57598162322152635</v>
      </c>
      <c r="J217" s="41">
        <v>607.41271064072885</v>
      </c>
      <c r="K217" s="40">
        <v>9.7342704059104015E-2</v>
      </c>
      <c r="L217" s="42">
        <v>-215.40153064072922</v>
      </c>
      <c r="M217" s="44">
        <v>-0.35462137500137769</v>
      </c>
      <c r="N217" s="39">
        <v>2381.8740799999973</v>
      </c>
      <c r="O217" s="40">
        <v>6.3315905083938806E-2</v>
      </c>
      <c r="P217" s="41">
        <v>3687.5565100000049</v>
      </c>
      <c r="Q217" s="40">
        <v>9.403415928022249E-2</v>
      </c>
      <c r="R217" s="42">
        <v>-1305.6824300000076</v>
      </c>
      <c r="S217" s="43">
        <v>-0.3540779446929766</v>
      </c>
      <c r="T217" s="41">
        <v>1935.1912413067098</v>
      </c>
      <c r="U217" s="40">
        <v>4.9429363999546005E-2</v>
      </c>
      <c r="V217" s="42">
        <v>446.68283869328752</v>
      </c>
      <c r="W217" s="44">
        <v>0.23082103161632306</v>
      </c>
    </row>
    <row r="218" spans="2:23" ht="18.399999999999999" x14ac:dyDescent="0.85">
      <c r="B218" s="48">
        <v>20010</v>
      </c>
      <c r="C218" s="49" t="s">
        <v>62</v>
      </c>
      <c r="D218" s="41">
        <v>-199.61751999999998</v>
      </c>
      <c r="E218" s="40">
        <v>-3.3675952363277181E-2</v>
      </c>
      <c r="F218" s="41">
        <v>-210.74981</v>
      </c>
      <c r="G218" s="40">
        <v>-2.9184237093415642E-2</v>
      </c>
      <c r="H218" s="42">
        <v>11.132290000000012</v>
      </c>
      <c r="I218" s="43">
        <v>5.2822301476808033E-2</v>
      </c>
      <c r="J218" s="41">
        <v>-124.02236000000001</v>
      </c>
      <c r="K218" s="40">
        <v>-1.9875566768197541E-2</v>
      </c>
      <c r="L218" s="42">
        <v>-75.595159999999979</v>
      </c>
      <c r="M218" s="44">
        <v>-0.60952847534912236</v>
      </c>
      <c r="N218" s="39">
        <v>-795.98283000000004</v>
      </c>
      <c r="O218" s="40">
        <v>-2.1159125805980918E-2</v>
      </c>
      <c r="P218" s="41">
        <v>-774.10019000000011</v>
      </c>
      <c r="Q218" s="40">
        <v>-1.9739863068650412E-2</v>
      </c>
      <c r="R218" s="42">
        <v>-21.882639999999924</v>
      </c>
      <c r="S218" s="43">
        <v>-2.8268485504440867E-2</v>
      </c>
      <c r="T218" s="41">
        <v>-572.33366999999998</v>
      </c>
      <c r="U218" s="40">
        <v>-1.4618756379097484E-2</v>
      </c>
      <c r="V218" s="42">
        <v>-223.64916000000005</v>
      </c>
      <c r="W218" s="44">
        <v>-0.39076708522145842</v>
      </c>
    </row>
    <row r="219" spans="2:23" ht="18.399999999999999" x14ac:dyDescent="0.85">
      <c r="B219" s="48">
        <v>20010</v>
      </c>
      <c r="C219" s="50" t="s">
        <v>5</v>
      </c>
      <c r="D219" s="51">
        <v>192.39365999999964</v>
      </c>
      <c r="E219" s="52">
        <v>3.2457269928794497E-2</v>
      </c>
      <c r="F219" s="51">
        <v>713.76478999999949</v>
      </c>
      <c r="G219" s="52">
        <v>9.8840804934970106E-2</v>
      </c>
      <c r="H219" s="53">
        <v>-521.37112999999988</v>
      </c>
      <c r="I219" s="54">
        <v>-0.7304522964771073</v>
      </c>
      <c r="J219" s="51">
        <v>483.39035064072885</v>
      </c>
      <c r="K219" s="52">
        <v>7.7467137290906471E-2</v>
      </c>
      <c r="L219" s="53">
        <v>-290.99669064072918</v>
      </c>
      <c r="M219" s="55">
        <v>-0.60199110357709062</v>
      </c>
      <c r="N219" s="56">
        <v>1585.8912499999974</v>
      </c>
      <c r="O219" s="52">
        <v>4.2156779277957891E-2</v>
      </c>
      <c r="P219" s="51">
        <v>2913.4563200000048</v>
      </c>
      <c r="Q219" s="52">
        <v>7.4294296211572075E-2</v>
      </c>
      <c r="R219" s="53">
        <v>-1327.5650700000074</v>
      </c>
      <c r="S219" s="54">
        <v>-0.4556667147836303</v>
      </c>
      <c r="T219" s="51">
        <v>1362.8575713067098</v>
      </c>
      <c r="U219" s="52">
        <v>3.4810607620448526E-2</v>
      </c>
      <c r="V219" s="53">
        <v>223.03367869328758</v>
      </c>
      <c r="W219" s="55">
        <v>0.16365149476290658</v>
      </c>
    </row>
    <row r="220" spans="2:23" ht="18.399999999999999" x14ac:dyDescent="0.85">
      <c r="B220" s="48">
        <v>30001</v>
      </c>
      <c r="C220" s="49" t="s">
        <v>1</v>
      </c>
      <c r="D220" s="41">
        <v>3476.6674599999997</v>
      </c>
      <c r="E220" s="40">
        <v>1</v>
      </c>
      <c r="F220" s="41">
        <v>3892.7329</v>
      </c>
      <c r="G220" s="40">
        <v>1</v>
      </c>
      <c r="H220" s="42">
        <v>-416.06544000000031</v>
      </c>
      <c r="I220" s="43">
        <v>-0.1068826068184643</v>
      </c>
      <c r="J220" s="41">
        <v>3473.1121999999996</v>
      </c>
      <c r="K220" s="40">
        <v>1</v>
      </c>
      <c r="L220" s="42">
        <v>3.5552600000000893</v>
      </c>
      <c r="M220" s="44">
        <v>1.0236525039415915E-3</v>
      </c>
      <c r="N220" s="39">
        <v>24579.436089999999</v>
      </c>
      <c r="O220" s="40">
        <v>1</v>
      </c>
      <c r="P220" s="41">
        <v>21051.441650000001</v>
      </c>
      <c r="Q220" s="40">
        <v>1</v>
      </c>
      <c r="R220" s="42">
        <v>3527.9944399999986</v>
      </c>
      <c r="S220" s="43">
        <v>0.16758920831438631</v>
      </c>
      <c r="T220" s="41">
        <v>21915.01081</v>
      </c>
      <c r="U220" s="40">
        <v>1</v>
      </c>
      <c r="V220" s="42">
        <v>2664.4252799999995</v>
      </c>
      <c r="W220" s="44">
        <v>0.12157992086338375</v>
      </c>
    </row>
    <row r="221" spans="2:23" ht="18.399999999999999" x14ac:dyDescent="0.85">
      <c r="B221" s="48">
        <v>30001</v>
      </c>
      <c r="C221" s="49" t="s">
        <v>56</v>
      </c>
      <c r="D221" s="41">
        <v>56.726389999999782</v>
      </c>
      <c r="E221" s="40">
        <v>1.6316311713056326E-2</v>
      </c>
      <c r="F221" s="41">
        <v>277.53393999999992</v>
      </c>
      <c r="G221" s="40">
        <v>7.1295397636966032E-2</v>
      </c>
      <c r="H221" s="42">
        <v>-220.80755000000013</v>
      </c>
      <c r="I221" s="43">
        <v>-0.79560557530369147</v>
      </c>
      <c r="J221" s="41">
        <v>260.70237562267602</v>
      </c>
      <c r="K221" s="40">
        <v>7.5063044500167903E-2</v>
      </c>
      <c r="L221" s="42">
        <v>-203.97598562267623</v>
      </c>
      <c r="M221" s="44">
        <v>-0.78240938593477971</v>
      </c>
      <c r="N221" s="39">
        <v>-682.91545000000031</v>
      </c>
      <c r="O221" s="40">
        <v>-2.7784016179192999E-2</v>
      </c>
      <c r="P221" s="41">
        <v>424.78106999999903</v>
      </c>
      <c r="Q221" s="40">
        <v>2.0178241331989678E-2</v>
      </c>
      <c r="R221" s="42">
        <v>-1107.6965199999993</v>
      </c>
      <c r="S221" s="43">
        <v>-2.6076880497523156</v>
      </c>
      <c r="T221" s="41">
        <v>172.64294485288605</v>
      </c>
      <c r="U221" s="40">
        <v>7.8778398217402498E-3</v>
      </c>
      <c r="V221" s="42">
        <v>-855.55839485288629</v>
      </c>
      <c r="W221" s="44">
        <v>-4.9556522311521727</v>
      </c>
    </row>
    <row r="222" spans="2:23" ht="18.399999999999999" x14ac:dyDescent="0.85">
      <c r="B222" s="48">
        <v>30001</v>
      </c>
      <c r="C222" s="49" t="s">
        <v>57</v>
      </c>
      <c r="D222" s="41">
        <v>726.64218000000005</v>
      </c>
      <c r="E222" s="40">
        <v>0.20900537320874518</v>
      </c>
      <c r="F222" s="41">
        <v>1067.3451100000004</v>
      </c>
      <c r="G222" s="40">
        <v>0.27418914613946427</v>
      </c>
      <c r="H222" s="42">
        <v>-340.70293000000038</v>
      </c>
      <c r="I222" s="43">
        <v>-0.31920596891103031</v>
      </c>
      <c r="J222" s="41">
        <v>921.05551562267681</v>
      </c>
      <c r="K222" s="40">
        <v>0.26519601515398117</v>
      </c>
      <c r="L222" s="42">
        <v>-194.41333562267675</v>
      </c>
      <c r="M222" s="44">
        <v>-0.21107667488560036</v>
      </c>
      <c r="N222" s="39">
        <v>4328.5222399999993</v>
      </c>
      <c r="O222" s="40">
        <v>0.17610339896125743</v>
      </c>
      <c r="P222" s="41">
        <v>4502.6572300000053</v>
      </c>
      <c r="Q222" s="40">
        <v>0.2138883077397222</v>
      </c>
      <c r="R222" s="42">
        <v>-174.13499000000593</v>
      </c>
      <c r="S222" s="43">
        <v>-3.8673827721060108E-2</v>
      </c>
      <c r="T222" s="41">
        <v>4134.3655348528855</v>
      </c>
      <c r="U222" s="40">
        <v>0.18865450584064236</v>
      </c>
      <c r="V222" s="42">
        <v>194.15670514711383</v>
      </c>
      <c r="W222" s="44">
        <v>4.6961668848669563E-2</v>
      </c>
    </row>
    <row r="223" spans="2:23" ht="18.399999999999999" x14ac:dyDescent="0.85">
      <c r="B223" s="48">
        <v>30001</v>
      </c>
      <c r="C223" s="49" t="s">
        <v>2</v>
      </c>
      <c r="D223" s="41">
        <v>-26.265720000000002</v>
      </c>
      <c r="E223" s="40">
        <v>-7.5548554189304043E-3</v>
      </c>
      <c r="F223" s="41">
        <v>-25.303660000000001</v>
      </c>
      <c r="G223" s="40">
        <v>-6.5002302110170468E-3</v>
      </c>
      <c r="H223" s="42">
        <v>-0.96206000000000103</v>
      </c>
      <c r="I223" s="43">
        <v>-3.8020586745158645E-2</v>
      </c>
      <c r="J223" s="41">
        <v>-40.482049999999994</v>
      </c>
      <c r="K223" s="40">
        <v>-1.1655842848958349E-2</v>
      </c>
      <c r="L223" s="42">
        <v>14.216329999999992</v>
      </c>
      <c r="M223" s="44">
        <v>0.35117613856017654</v>
      </c>
      <c r="N223" s="39">
        <v>-114.11238</v>
      </c>
      <c r="O223" s="40">
        <v>-4.6425955250627557E-3</v>
      </c>
      <c r="P223" s="41">
        <v>-133.42293999999998</v>
      </c>
      <c r="Q223" s="40">
        <v>-6.3379478811134045E-3</v>
      </c>
      <c r="R223" s="42">
        <v>19.310559999999981</v>
      </c>
      <c r="S223" s="43">
        <v>0.14473193290449141</v>
      </c>
      <c r="T223" s="41">
        <v>-144.53654</v>
      </c>
      <c r="U223" s="40">
        <v>-6.5953214102019422E-3</v>
      </c>
      <c r="V223" s="42">
        <v>30.424160000000001</v>
      </c>
      <c r="W223" s="44">
        <v>0.21049459188659145</v>
      </c>
    </row>
    <row r="224" spans="2:23" ht="18.399999999999999" x14ac:dyDescent="0.85">
      <c r="B224" s="48">
        <v>30001</v>
      </c>
      <c r="C224" s="49" t="s">
        <v>58</v>
      </c>
      <c r="D224" s="41">
        <v>-54.844409999999996</v>
      </c>
      <c r="E224" s="40">
        <v>-1.5774994482791287E-2</v>
      </c>
      <c r="F224" s="41">
        <v>-69.881569999999996</v>
      </c>
      <c r="G224" s="40">
        <v>-1.7951801933289591E-2</v>
      </c>
      <c r="H224" s="42">
        <v>15.03716</v>
      </c>
      <c r="I224" s="43">
        <v>0.21518062630819543</v>
      </c>
      <c r="J224" s="41">
        <v>-56.999870000000001</v>
      </c>
      <c r="K224" s="40">
        <v>-1.6411756003736361E-2</v>
      </c>
      <c r="L224" s="42">
        <v>2.155460000000005</v>
      </c>
      <c r="M224" s="44">
        <v>3.7815173964431938E-2</v>
      </c>
      <c r="N224" s="39">
        <v>-368.66323</v>
      </c>
      <c r="O224" s="40">
        <v>-1.4998848169262455E-2</v>
      </c>
      <c r="P224" s="41">
        <v>-380.3431599999999</v>
      </c>
      <c r="Q224" s="40">
        <v>-1.8067321294358948E-2</v>
      </c>
      <c r="R224" s="42">
        <v>11.679929999999899</v>
      </c>
      <c r="S224" s="43">
        <v>3.0708926118192589E-2</v>
      </c>
      <c r="T224" s="41">
        <v>-334.17027999999999</v>
      </c>
      <c r="U224" s="40">
        <v>-1.5248465213967192E-2</v>
      </c>
      <c r="V224" s="42">
        <v>-34.492950000000008</v>
      </c>
      <c r="W224" s="44">
        <v>-0.10321968189391351</v>
      </c>
    </row>
    <row r="225" spans="2:23" ht="18.399999999999999" x14ac:dyDescent="0.85">
      <c r="B225" s="48">
        <v>30001</v>
      </c>
      <c r="C225" s="49" t="s">
        <v>59</v>
      </c>
      <c r="D225" s="41">
        <v>645.53205000000014</v>
      </c>
      <c r="E225" s="40">
        <v>0.1856755233070235</v>
      </c>
      <c r="F225" s="41">
        <v>972.15988000000038</v>
      </c>
      <c r="G225" s="40">
        <v>0.24973711399515758</v>
      </c>
      <c r="H225" s="42">
        <v>-326.62783000000024</v>
      </c>
      <c r="I225" s="43">
        <v>-0.33598159800628691</v>
      </c>
      <c r="J225" s="41">
        <v>823.57359562267675</v>
      </c>
      <c r="K225" s="40">
        <v>0.23712841630128645</v>
      </c>
      <c r="L225" s="42">
        <v>-178.04154562267661</v>
      </c>
      <c r="M225" s="44">
        <v>-0.21618170685531179</v>
      </c>
      <c r="N225" s="39">
        <v>3845.7466299999992</v>
      </c>
      <c r="O225" s="40">
        <v>0.15646195526693221</v>
      </c>
      <c r="P225" s="41">
        <v>3988.8911300000045</v>
      </c>
      <c r="Q225" s="40">
        <v>0.18948303856424981</v>
      </c>
      <c r="R225" s="42">
        <v>-143.14450000000534</v>
      </c>
      <c r="S225" s="43">
        <v>-3.5885787637429244E-2</v>
      </c>
      <c r="T225" s="41">
        <v>3655.6587148528852</v>
      </c>
      <c r="U225" s="40">
        <v>0.16681071921647322</v>
      </c>
      <c r="V225" s="42">
        <v>190.08791514711402</v>
      </c>
      <c r="W225" s="44">
        <v>5.199826624263084E-2</v>
      </c>
    </row>
    <row r="226" spans="2:23" ht="18.399999999999999" x14ac:dyDescent="0.85">
      <c r="B226" s="48">
        <v>30001</v>
      </c>
      <c r="C226" s="49" t="s">
        <v>3</v>
      </c>
      <c r="D226" s="41">
        <v>-385.69807000000003</v>
      </c>
      <c r="E226" s="40">
        <v>-0.11093901687105849</v>
      </c>
      <c r="F226" s="41">
        <v>-359.60712999999998</v>
      </c>
      <c r="G226" s="40">
        <v>-9.2379091820042419E-2</v>
      </c>
      <c r="H226" s="42">
        <v>-26.090940000000046</v>
      </c>
      <c r="I226" s="43">
        <v>-7.2554011929630111E-2</v>
      </c>
      <c r="J226" s="41">
        <v>-411.46946000000008</v>
      </c>
      <c r="K226" s="40">
        <v>-0.1184728382803182</v>
      </c>
      <c r="L226" s="42">
        <v>25.771390000000054</v>
      </c>
      <c r="M226" s="44">
        <v>6.2632570592237993E-2</v>
      </c>
      <c r="N226" s="39">
        <v>-1663.3596200000006</v>
      </c>
      <c r="O226" s="40">
        <v>-6.7672814539334727E-2</v>
      </c>
      <c r="P226" s="41">
        <v>-1512.2224799999999</v>
      </c>
      <c r="Q226" s="40">
        <v>-7.1834628009906379E-2</v>
      </c>
      <c r="R226" s="42">
        <v>-151.13714000000073</v>
      </c>
      <c r="S226" s="43">
        <v>-9.9943719921423688E-2</v>
      </c>
      <c r="T226" s="41">
        <v>-1601.4967599999998</v>
      </c>
      <c r="U226" s="40">
        <v>-7.3077616702302686E-2</v>
      </c>
      <c r="V226" s="42">
        <v>-61.862860000000865</v>
      </c>
      <c r="W226" s="44">
        <v>-3.8628151829667688E-2</v>
      </c>
    </row>
    <row r="227" spans="2:23" ht="18.399999999999999" x14ac:dyDescent="0.85">
      <c r="B227" s="48">
        <v>30001</v>
      </c>
      <c r="C227" s="49" t="s">
        <v>4</v>
      </c>
      <c r="D227" s="41">
        <v>-192.41946000000002</v>
      </c>
      <c r="E227" s="40">
        <v>-5.534594901981222E-2</v>
      </c>
      <c r="F227" s="41">
        <v>-183.76132999999999</v>
      </c>
      <c r="G227" s="40">
        <v>-4.7206251936781997E-2</v>
      </c>
      <c r="H227" s="42">
        <v>-8.6581300000000283</v>
      </c>
      <c r="I227" s="43">
        <v>-4.7116169653321667E-2</v>
      </c>
      <c r="J227" s="41">
        <v>-204.39556999999999</v>
      </c>
      <c r="K227" s="40">
        <v>-5.8850839889364938E-2</v>
      </c>
      <c r="L227" s="42">
        <v>11.976109999999977</v>
      </c>
      <c r="M227" s="44">
        <v>5.8592806096531239E-2</v>
      </c>
      <c r="N227" s="39">
        <v>-811.59695999999985</v>
      </c>
      <c r="O227" s="40">
        <v>-3.3019348248196523E-2</v>
      </c>
      <c r="P227" s="41">
        <v>-779.42964000000006</v>
      </c>
      <c r="Q227" s="40">
        <v>-3.7025000613200285E-2</v>
      </c>
      <c r="R227" s="42">
        <v>-32.167319999999791</v>
      </c>
      <c r="S227" s="43">
        <v>-4.1270331982755731E-2</v>
      </c>
      <c r="T227" s="41">
        <v>-809.01015999999993</v>
      </c>
      <c r="U227" s="40">
        <v>-3.6915800179794664E-2</v>
      </c>
      <c r="V227" s="42">
        <v>-2.5867999999999256</v>
      </c>
      <c r="W227" s="44">
        <v>-3.1974876557791633E-3</v>
      </c>
    </row>
    <row r="228" spans="2:23" ht="18.399999999999999" x14ac:dyDescent="0.85">
      <c r="B228" s="48">
        <v>30001</v>
      </c>
      <c r="C228" s="49" t="s">
        <v>60</v>
      </c>
      <c r="D228" s="41">
        <v>-195.01901000000001</v>
      </c>
      <c r="E228" s="40">
        <v>-5.6093662176134623E-2</v>
      </c>
      <c r="F228" s="41">
        <v>-209.49921000000001</v>
      </c>
      <c r="G228" s="40">
        <v>-5.3818028460159699E-2</v>
      </c>
      <c r="H228" s="42">
        <v>14.480199999999996</v>
      </c>
      <c r="I228" s="43">
        <v>6.9118160397836331E-2</v>
      </c>
      <c r="J228" s="41">
        <v>-180.23228</v>
      </c>
      <c r="K228" s="40">
        <v>-5.1893595605693371E-2</v>
      </c>
      <c r="L228" s="42">
        <v>-14.786730000000006</v>
      </c>
      <c r="M228" s="44">
        <v>-8.2042628545785506E-2</v>
      </c>
      <c r="N228" s="39">
        <v>-1334.5253499999999</v>
      </c>
      <c r="O228" s="40">
        <v>-5.4294384342810198E-2</v>
      </c>
      <c r="P228" s="41">
        <v>-1142.81702</v>
      </c>
      <c r="Q228" s="40">
        <v>-5.4286876832494745E-2</v>
      </c>
      <c r="R228" s="42">
        <v>-191.70832999999993</v>
      </c>
      <c r="S228" s="43">
        <v>-0.16775067805692984</v>
      </c>
      <c r="T228" s="41">
        <v>-1137.5849599999999</v>
      </c>
      <c r="U228" s="40">
        <v>-5.1908939031000183E-2</v>
      </c>
      <c r="V228" s="42">
        <v>-196.94038999999998</v>
      </c>
      <c r="W228" s="44">
        <v>-0.17312147832896807</v>
      </c>
    </row>
    <row r="229" spans="2:23" ht="18.399999999999999" x14ac:dyDescent="0.85">
      <c r="B229" s="48">
        <v>30001</v>
      </c>
      <c r="C229" s="49" t="s">
        <v>61</v>
      </c>
      <c r="D229" s="41">
        <v>-127.60448999999983</v>
      </c>
      <c r="E229" s="40">
        <v>-3.67031047599818E-2</v>
      </c>
      <c r="F229" s="41">
        <v>219.29221000000052</v>
      </c>
      <c r="G229" s="40">
        <v>5.6333741778173511E-2</v>
      </c>
      <c r="H229" s="42">
        <v>-346.89670000000035</v>
      </c>
      <c r="I229" s="43">
        <v>-1.5818924894778503</v>
      </c>
      <c r="J229" s="41">
        <v>27.476285622676642</v>
      </c>
      <c r="K229" s="40">
        <v>7.9111425259099453E-3</v>
      </c>
      <c r="L229" s="42">
        <v>-155.08077562267647</v>
      </c>
      <c r="M229" s="44">
        <v>-5.6441681292862125</v>
      </c>
      <c r="N229" s="39">
        <v>36.264699999998811</v>
      </c>
      <c r="O229" s="40">
        <v>1.4754081365907696E-3</v>
      </c>
      <c r="P229" s="41">
        <v>554.42199000000483</v>
      </c>
      <c r="Q229" s="40">
        <v>2.6336533108648395E-2</v>
      </c>
      <c r="R229" s="42">
        <v>-518.15729000000601</v>
      </c>
      <c r="S229" s="43">
        <v>-0.93459007641454028</v>
      </c>
      <c r="T229" s="41">
        <v>107.56683485288522</v>
      </c>
      <c r="U229" s="40">
        <v>4.9083633033756751E-3</v>
      </c>
      <c r="V229" s="42">
        <v>-71.302134852886411</v>
      </c>
      <c r="W229" s="44">
        <v>-0.66286355780946271</v>
      </c>
    </row>
    <row r="230" spans="2:23" ht="18.399999999999999" x14ac:dyDescent="0.85">
      <c r="B230" s="48">
        <v>30001</v>
      </c>
      <c r="C230" s="49" t="s">
        <v>62</v>
      </c>
      <c r="D230" s="41">
        <v>-3.0690900000000001</v>
      </c>
      <c r="E230" s="40">
        <v>-8.8276777555251155E-4</v>
      </c>
      <c r="F230" s="41">
        <v>-39.733610000000006</v>
      </c>
      <c r="G230" s="40">
        <v>-1.020712466555309E-2</v>
      </c>
      <c r="H230" s="42">
        <v>36.664520000000003</v>
      </c>
      <c r="I230" s="43">
        <v>0.92275833985384159</v>
      </c>
      <c r="J230" s="41">
        <v>-25.602240000000002</v>
      </c>
      <c r="K230" s="40">
        <v>-7.3715556900234907E-3</v>
      </c>
      <c r="L230" s="42">
        <v>22.533150000000003</v>
      </c>
      <c r="M230" s="44">
        <v>0.88012416101091162</v>
      </c>
      <c r="N230" s="39">
        <v>-11.085430000000002</v>
      </c>
      <c r="O230" s="40">
        <v>-4.5100424433699863E-4</v>
      </c>
      <c r="P230" s="41">
        <v>-152.68445000000003</v>
      </c>
      <c r="Q230" s="40">
        <v>-7.2529213218991122E-3</v>
      </c>
      <c r="R230" s="42">
        <v>141.59902000000002</v>
      </c>
      <c r="S230" s="43">
        <v>0.92739647030198558</v>
      </c>
      <c r="T230" s="41">
        <v>-101.86591999999999</v>
      </c>
      <c r="U230" s="40">
        <v>-4.6482258614044458E-3</v>
      </c>
      <c r="V230" s="42">
        <v>90.780489999999986</v>
      </c>
      <c r="W230" s="44">
        <v>0.89117626385743143</v>
      </c>
    </row>
    <row r="231" spans="2:23" ht="18.399999999999999" x14ac:dyDescent="0.85">
      <c r="B231" s="48">
        <v>30001</v>
      </c>
      <c r="C231" s="50" t="s">
        <v>5</v>
      </c>
      <c r="D231" s="51">
        <v>-130.67357999999982</v>
      </c>
      <c r="E231" s="52">
        <v>-3.7585872535534311E-2</v>
      </c>
      <c r="F231" s="51">
        <v>179.55860000000052</v>
      </c>
      <c r="G231" s="52">
        <v>4.6126617112620422E-2</v>
      </c>
      <c r="H231" s="53">
        <v>-310.23218000000031</v>
      </c>
      <c r="I231" s="54">
        <v>-1.7277489354450268</v>
      </c>
      <c r="J231" s="51">
        <v>1.8740456226766398</v>
      </c>
      <c r="K231" s="52">
        <v>5.3958683588645369E-4</v>
      </c>
      <c r="L231" s="53">
        <v>-132.54762562267646</v>
      </c>
      <c r="M231" s="55">
        <v>-70.728067672847203</v>
      </c>
      <c r="N231" s="56">
        <v>25.179269999998809</v>
      </c>
      <c r="O231" s="52">
        <v>1.024403892253771E-3</v>
      </c>
      <c r="P231" s="51">
        <v>401.7375400000048</v>
      </c>
      <c r="Q231" s="52">
        <v>1.9083611786749284E-2</v>
      </c>
      <c r="R231" s="53">
        <v>-376.55827000000602</v>
      </c>
      <c r="S231" s="54">
        <v>-0.93732407979598198</v>
      </c>
      <c r="T231" s="51">
        <v>5.7009148528852336</v>
      </c>
      <c r="U231" s="52">
        <v>2.6013744197122911E-4</v>
      </c>
      <c r="V231" s="53">
        <v>19.478355147113575</v>
      </c>
      <c r="W231" s="55">
        <v>3.416706905779443</v>
      </c>
    </row>
    <row r="232" spans="2:23" ht="18.399999999999999" x14ac:dyDescent="0.85">
      <c r="B232" s="48">
        <v>40004</v>
      </c>
      <c r="C232" s="49" t="s">
        <v>1</v>
      </c>
      <c r="D232" s="41">
        <v>9722.4297700000006</v>
      </c>
      <c r="E232" s="40">
        <v>1</v>
      </c>
      <c r="F232" s="41">
        <v>8756.3083100000003</v>
      </c>
      <c r="G232" s="40">
        <v>1</v>
      </c>
      <c r="H232" s="42">
        <v>966.1214600000003</v>
      </c>
      <c r="I232" s="43">
        <v>0.11033433563510514</v>
      </c>
      <c r="J232" s="41">
        <v>8162.1645500000004</v>
      </c>
      <c r="K232" s="40">
        <v>1</v>
      </c>
      <c r="L232" s="42">
        <v>1560.2652200000002</v>
      </c>
      <c r="M232" s="44">
        <v>0.19115826573234182</v>
      </c>
      <c r="N232" s="39">
        <v>45810.779490000001</v>
      </c>
      <c r="O232" s="40">
        <v>1</v>
      </c>
      <c r="P232" s="41">
        <v>45889.676269999996</v>
      </c>
      <c r="Q232" s="40">
        <v>1</v>
      </c>
      <c r="R232" s="42">
        <v>-78.896779999995488</v>
      </c>
      <c r="S232" s="43">
        <v>-1.7192707905759105E-3</v>
      </c>
      <c r="T232" s="41">
        <v>40338.094039999996</v>
      </c>
      <c r="U232" s="40">
        <v>1</v>
      </c>
      <c r="V232" s="42">
        <v>5472.6854500000045</v>
      </c>
      <c r="W232" s="44">
        <v>0.1356704023886996</v>
      </c>
    </row>
    <row r="233" spans="2:23" ht="18.399999999999999" x14ac:dyDescent="0.85">
      <c r="B233" s="48">
        <v>40004</v>
      </c>
      <c r="C233" s="49" t="s">
        <v>56</v>
      </c>
      <c r="D233" s="41">
        <v>1163.3554899999992</v>
      </c>
      <c r="E233" s="40">
        <v>0.11965686742111578</v>
      </c>
      <c r="F233" s="41">
        <v>1063.8604700000008</v>
      </c>
      <c r="G233" s="40">
        <v>0.12149646087553086</v>
      </c>
      <c r="H233" s="42">
        <v>99.495019999998476</v>
      </c>
      <c r="I233" s="43">
        <v>9.3522621439255479E-2</v>
      </c>
      <c r="J233" s="41">
        <v>1150.8833712766102</v>
      </c>
      <c r="K233" s="40">
        <v>0.14100222609168178</v>
      </c>
      <c r="L233" s="42">
        <v>12.47211872338903</v>
      </c>
      <c r="M233" s="44">
        <v>1.0836996201930011E-2</v>
      </c>
      <c r="N233" s="39">
        <v>3758.6206200000038</v>
      </c>
      <c r="O233" s="40">
        <v>8.2046641900526282E-2</v>
      </c>
      <c r="P233" s="41">
        <v>3623.862450000001</v>
      </c>
      <c r="Q233" s="40">
        <v>7.8969013175825595E-2</v>
      </c>
      <c r="R233" s="42">
        <v>134.75817000000279</v>
      </c>
      <c r="S233" s="43">
        <v>3.718633691518914E-2</v>
      </c>
      <c r="T233" s="41">
        <v>4155.3536584436879</v>
      </c>
      <c r="U233" s="40">
        <v>0.10301313825891632</v>
      </c>
      <c r="V233" s="42">
        <v>-396.73303844368411</v>
      </c>
      <c r="W233" s="44">
        <v>-9.5475155920248009E-2</v>
      </c>
    </row>
    <row r="234" spans="2:23" ht="18.399999999999999" x14ac:dyDescent="0.85">
      <c r="B234" s="48">
        <v>40004</v>
      </c>
      <c r="C234" s="49" t="s">
        <v>57</v>
      </c>
      <c r="D234" s="41">
        <v>3024.49575</v>
      </c>
      <c r="E234" s="40">
        <v>0.31108435047096256</v>
      </c>
      <c r="F234" s="41">
        <v>2775.7138500000001</v>
      </c>
      <c r="G234" s="40">
        <v>0.31699590189509896</v>
      </c>
      <c r="H234" s="42">
        <v>248.78189999999995</v>
      </c>
      <c r="I234" s="43">
        <v>8.962807891742873E-2</v>
      </c>
      <c r="J234" s="41">
        <v>2676.3310290469713</v>
      </c>
      <c r="K234" s="40">
        <v>0.32789476524912392</v>
      </c>
      <c r="L234" s="42">
        <v>348.16472095302879</v>
      </c>
      <c r="M234" s="44">
        <v>0.13009030541226008</v>
      </c>
      <c r="N234" s="39">
        <v>12502.498910000004</v>
      </c>
      <c r="O234" s="40">
        <v>0.27291609200252015</v>
      </c>
      <c r="P234" s="41">
        <v>12283.954099999997</v>
      </c>
      <c r="Q234" s="40">
        <v>0.26768447935272388</v>
      </c>
      <c r="R234" s="42">
        <v>218.54481000000669</v>
      </c>
      <c r="S234" s="43">
        <v>1.7791079991092341E-2</v>
      </c>
      <c r="T234" s="41">
        <v>11412.367066214052</v>
      </c>
      <c r="U234" s="40">
        <v>0.28291785563535399</v>
      </c>
      <c r="V234" s="42">
        <v>1090.1318437859518</v>
      </c>
      <c r="W234" s="44">
        <v>9.5521975192442959E-2</v>
      </c>
    </row>
    <row r="235" spans="2:23" ht="18.399999999999999" x14ac:dyDescent="0.85">
      <c r="B235" s="48">
        <v>40004</v>
      </c>
      <c r="C235" s="49" t="s">
        <v>2</v>
      </c>
      <c r="D235" s="41">
        <v>-71.480940000000004</v>
      </c>
      <c r="E235" s="40">
        <v>-7.3521683047343836E-3</v>
      </c>
      <c r="F235" s="41">
        <v>-53.396929999999998</v>
      </c>
      <c r="G235" s="40">
        <v>-6.0981098551565272E-3</v>
      </c>
      <c r="H235" s="42">
        <v>-18.084010000000006</v>
      </c>
      <c r="I235" s="43">
        <v>-0.33867134309032387</v>
      </c>
      <c r="J235" s="41">
        <v>-34.809800000000003</v>
      </c>
      <c r="K235" s="40">
        <v>-4.2647755735333711E-3</v>
      </c>
      <c r="L235" s="42">
        <v>-36.671140000000001</v>
      </c>
      <c r="M235" s="44">
        <v>-1.0534717234801694</v>
      </c>
      <c r="N235" s="39">
        <v>-151.68627000000001</v>
      </c>
      <c r="O235" s="40">
        <v>-3.3111479806431036E-3</v>
      </c>
      <c r="P235" s="41">
        <v>-277.68354999999997</v>
      </c>
      <c r="Q235" s="40">
        <v>-6.0511115477520448E-3</v>
      </c>
      <c r="R235" s="42">
        <v>125.99727999999996</v>
      </c>
      <c r="S235" s="43">
        <v>0.45374412708278894</v>
      </c>
      <c r="T235" s="41">
        <v>-101.66819999999998</v>
      </c>
      <c r="U235" s="40">
        <v>-2.5204016803368032E-3</v>
      </c>
      <c r="V235" s="42">
        <v>-50.018070000000023</v>
      </c>
      <c r="W235" s="44">
        <v>-0.49197359646379135</v>
      </c>
    </row>
    <row r="236" spans="2:23" ht="18.399999999999999" x14ac:dyDescent="0.85">
      <c r="B236" s="48">
        <v>40004</v>
      </c>
      <c r="C236" s="49" t="s">
        <v>58</v>
      </c>
      <c r="D236" s="41">
        <v>-187.36141999999998</v>
      </c>
      <c r="E236" s="40">
        <v>-1.9271048948908989E-2</v>
      </c>
      <c r="F236" s="41">
        <v>-168.23865000000001</v>
      </c>
      <c r="G236" s="40">
        <v>-1.9213422374343054E-2</v>
      </c>
      <c r="H236" s="42">
        <v>-19.122769999999974</v>
      </c>
      <c r="I236" s="43">
        <v>-0.11366454735579472</v>
      </c>
      <c r="J236" s="41">
        <v>-145.31069723829</v>
      </c>
      <c r="K236" s="40">
        <v>-1.7802961009685845E-2</v>
      </c>
      <c r="L236" s="42">
        <v>-42.050722761709977</v>
      </c>
      <c r="M236" s="44">
        <v>-0.28938490806876005</v>
      </c>
      <c r="N236" s="39">
        <v>-806.63312000000008</v>
      </c>
      <c r="O236" s="40">
        <v>-1.7607932652097296E-2</v>
      </c>
      <c r="P236" s="41">
        <v>-882.73460999999998</v>
      </c>
      <c r="Q236" s="40">
        <v>-1.9236017373630517E-2</v>
      </c>
      <c r="R236" s="42">
        <v>76.101489999999899</v>
      </c>
      <c r="S236" s="43">
        <v>8.6211064047890792E-2</v>
      </c>
      <c r="T236" s="41">
        <v>-680.88047723828993</v>
      </c>
      <c r="U236" s="40">
        <v>-1.6879341809335768E-2</v>
      </c>
      <c r="V236" s="42">
        <v>-125.75264276171015</v>
      </c>
      <c r="W236" s="44">
        <v>-0.18469121522146403</v>
      </c>
    </row>
    <row r="237" spans="2:23" ht="18.399999999999999" x14ac:dyDescent="0.85">
      <c r="B237" s="48">
        <v>40004</v>
      </c>
      <c r="C237" s="49" t="s">
        <v>59</v>
      </c>
      <c r="D237" s="41">
        <v>2765.6533899999999</v>
      </c>
      <c r="E237" s="40">
        <v>0.2844611332173192</v>
      </c>
      <c r="F237" s="41">
        <v>2554.0782700000004</v>
      </c>
      <c r="G237" s="40">
        <v>0.29168436966559946</v>
      </c>
      <c r="H237" s="42">
        <v>211.57511999999952</v>
      </c>
      <c r="I237" s="43">
        <v>8.2838150453392129E-2</v>
      </c>
      <c r="J237" s="41">
        <v>2496.210531808681</v>
      </c>
      <c r="K237" s="40">
        <v>0.30582702866590467</v>
      </c>
      <c r="L237" s="42">
        <v>269.44285819131892</v>
      </c>
      <c r="M237" s="44">
        <v>0.10794075850488802</v>
      </c>
      <c r="N237" s="39">
        <v>11544.179520000003</v>
      </c>
      <c r="O237" s="40">
        <v>0.25199701136977976</v>
      </c>
      <c r="P237" s="41">
        <v>11123.53594</v>
      </c>
      <c r="Q237" s="40">
        <v>0.24239735043134139</v>
      </c>
      <c r="R237" s="42">
        <v>420.64358000000357</v>
      </c>
      <c r="S237" s="43">
        <v>3.7815635448021356E-2</v>
      </c>
      <c r="T237" s="41">
        <v>10629.818388975762</v>
      </c>
      <c r="U237" s="40">
        <v>0.26351811214568144</v>
      </c>
      <c r="V237" s="42">
        <v>914.36113102424133</v>
      </c>
      <c r="W237" s="44">
        <v>8.6018509212963584E-2</v>
      </c>
    </row>
    <row r="238" spans="2:23" ht="18.399999999999999" x14ac:dyDescent="0.85">
      <c r="B238" s="48">
        <v>40004</v>
      </c>
      <c r="C238" s="49" t="s">
        <v>3</v>
      </c>
      <c r="D238" s="41">
        <v>-766.82762000000002</v>
      </c>
      <c r="E238" s="40">
        <v>-7.8872014315409134E-2</v>
      </c>
      <c r="F238" s="41">
        <v>-661.70632999999987</v>
      </c>
      <c r="G238" s="40">
        <v>-7.5569099051058866E-2</v>
      </c>
      <c r="H238" s="42">
        <v>-105.12129000000016</v>
      </c>
      <c r="I238" s="43">
        <v>-0.15886396311185383</v>
      </c>
      <c r="J238" s="41">
        <v>-738.70761000000005</v>
      </c>
      <c r="K238" s="40">
        <v>-9.0503886006561826E-2</v>
      </c>
      <c r="L238" s="42">
        <v>-28.120009999999979</v>
      </c>
      <c r="M238" s="44">
        <v>-3.8066495619288362E-2</v>
      </c>
      <c r="N238" s="39">
        <v>-3062.0290200000004</v>
      </c>
      <c r="O238" s="40">
        <v>-6.6840797168020424E-2</v>
      </c>
      <c r="P238" s="41">
        <v>-2741.4133299999994</v>
      </c>
      <c r="Q238" s="40">
        <v>-5.9739217027167744E-2</v>
      </c>
      <c r="R238" s="42">
        <v>-320.615690000001</v>
      </c>
      <c r="S238" s="43">
        <v>-0.1169526997229568</v>
      </c>
      <c r="T238" s="41">
        <v>-2734.0391299999997</v>
      </c>
      <c r="U238" s="40">
        <v>-6.7778094009322207E-2</v>
      </c>
      <c r="V238" s="42">
        <v>-327.98989000000074</v>
      </c>
      <c r="W238" s="44">
        <v>-0.11996532397837363</v>
      </c>
    </row>
    <row r="239" spans="2:23" ht="18.399999999999999" x14ac:dyDescent="0.85">
      <c r="B239" s="48">
        <v>40004</v>
      </c>
      <c r="C239" s="49" t="s">
        <v>4</v>
      </c>
      <c r="D239" s="41">
        <v>-240.15073000000001</v>
      </c>
      <c r="E239" s="40">
        <v>-2.4700690638159269E-2</v>
      </c>
      <c r="F239" s="41">
        <v>-331.16005999999999</v>
      </c>
      <c r="G239" s="40">
        <v>-3.7819597971647939E-2</v>
      </c>
      <c r="H239" s="42">
        <v>91.009329999999977</v>
      </c>
      <c r="I239" s="43">
        <v>0.2748197654028689</v>
      </c>
      <c r="J239" s="41">
        <v>-376.82532000000003</v>
      </c>
      <c r="K239" s="40">
        <v>-4.6167327023565095E-2</v>
      </c>
      <c r="L239" s="42">
        <v>136.67459000000002</v>
      </c>
      <c r="M239" s="44">
        <v>0.36270012322951123</v>
      </c>
      <c r="N239" s="39">
        <v>-1168.9916600000004</v>
      </c>
      <c r="O239" s="40">
        <v>-2.5517829493715092E-2</v>
      </c>
      <c r="P239" s="41">
        <v>-1435.3065799999999</v>
      </c>
      <c r="Q239" s="40">
        <v>-3.1277330691005988E-2</v>
      </c>
      <c r="R239" s="42">
        <v>266.31491999999957</v>
      </c>
      <c r="S239" s="43">
        <v>0.18554566927436478</v>
      </c>
      <c r="T239" s="41">
        <v>-1633.03764</v>
      </c>
      <c r="U239" s="40">
        <v>-4.0483758067018483E-2</v>
      </c>
      <c r="V239" s="42">
        <v>464.04597999999964</v>
      </c>
      <c r="W239" s="44">
        <v>0.28416122729418514</v>
      </c>
    </row>
    <row r="240" spans="2:23" ht="18.399999999999999" x14ac:dyDescent="0.85">
      <c r="B240" s="48">
        <v>40004</v>
      </c>
      <c r="C240" s="49" t="s">
        <v>60</v>
      </c>
      <c r="D240" s="41">
        <v>-377.10053999999997</v>
      </c>
      <c r="E240" s="40">
        <v>-3.8786656105616685E-2</v>
      </c>
      <c r="F240" s="41">
        <v>-377.10053999999997</v>
      </c>
      <c r="G240" s="40">
        <v>-4.3066156038537196E-2</v>
      </c>
      <c r="H240" s="42">
        <v>0</v>
      </c>
      <c r="I240" s="43">
        <v>0</v>
      </c>
      <c r="J240" s="41">
        <v>-377.10053999999997</v>
      </c>
      <c r="K240" s="40">
        <v>-4.6201046020323121E-2</v>
      </c>
      <c r="L240" s="42">
        <v>0</v>
      </c>
      <c r="M240" s="44">
        <v>0</v>
      </c>
      <c r="N240" s="39">
        <v>-1508.4021599999999</v>
      </c>
      <c r="O240" s="40">
        <v>-3.2926795326180112E-2</v>
      </c>
      <c r="P240" s="41">
        <v>-1508.4021599999999</v>
      </c>
      <c r="Q240" s="40">
        <v>-3.2870185248748539E-2</v>
      </c>
      <c r="R240" s="42">
        <v>0</v>
      </c>
      <c r="S240" s="43">
        <v>0</v>
      </c>
      <c r="T240" s="41">
        <v>-1508.4021599999999</v>
      </c>
      <c r="U240" s="40">
        <v>-3.7393986897453324E-2</v>
      </c>
      <c r="V240" s="42">
        <v>0</v>
      </c>
      <c r="W240" s="44">
        <v>0</v>
      </c>
    </row>
    <row r="241" spans="2:23" ht="18.399999999999999" x14ac:dyDescent="0.85">
      <c r="B241" s="48">
        <v>40004</v>
      </c>
      <c r="C241" s="49" t="s">
        <v>61</v>
      </c>
      <c r="D241" s="41">
        <v>1381.5744999999999</v>
      </c>
      <c r="E241" s="40">
        <v>0.14210177215813408</v>
      </c>
      <c r="F241" s="41">
        <v>1184.1113400000006</v>
      </c>
      <c r="G241" s="40">
        <v>0.13522951660435545</v>
      </c>
      <c r="H241" s="42">
        <v>197.46315999999933</v>
      </c>
      <c r="I241" s="43">
        <v>0.1667606358706093</v>
      </c>
      <c r="J241" s="41">
        <v>1003.577061808681</v>
      </c>
      <c r="K241" s="40">
        <v>0.12295476961545464</v>
      </c>
      <c r="L241" s="42">
        <v>377.99743819131891</v>
      </c>
      <c r="M241" s="44">
        <v>0.37665013736969927</v>
      </c>
      <c r="N241" s="39">
        <v>5804.7566800000031</v>
      </c>
      <c r="O241" s="40">
        <v>0.12671158938186414</v>
      </c>
      <c r="P241" s="41">
        <v>5438.4138700000003</v>
      </c>
      <c r="Q241" s="40">
        <v>0.1185106174644191</v>
      </c>
      <c r="R241" s="42">
        <v>366.34281000000283</v>
      </c>
      <c r="S241" s="43">
        <v>6.7362068933529473E-2</v>
      </c>
      <c r="T241" s="41">
        <v>4754.3394589757627</v>
      </c>
      <c r="U241" s="40">
        <v>0.1178622731718874</v>
      </c>
      <c r="V241" s="42">
        <v>1050.4172210242405</v>
      </c>
      <c r="W241" s="44">
        <v>0.22093862461611735</v>
      </c>
    </row>
    <row r="242" spans="2:23" ht="18.399999999999999" x14ac:dyDescent="0.85">
      <c r="B242" s="48">
        <v>40004</v>
      </c>
      <c r="C242" s="49" t="s">
        <v>62</v>
      </c>
      <c r="D242" s="41">
        <v>-395.29235999999997</v>
      </c>
      <c r="E242" s="40">
        <v>-4.0657774789974128E-2</v>
      </c>
      <c r="F242" s="41">
        <v>-380.51819999999998</v>
      </c>
      <c r="G242" s="40">
        <v>-4.3456464360149966E-2</v>
      </c>
      <c r="H242" s="42">
        <v>-14.774159999999995</v>
      </c>
      <c r="I242" s="43">
        <v>-3.8826421443179319E-2</v>
      </c>
      <c r="J242" s="41">
        <v>-351.30925999999999</v>
      </c>
      <c r="K242" s="40">
        <v>-4.3041188136791482E-2</v>
      </c>
      <c r="L242" s="42">
        <v>-43.983099999999979</v>
      </c>
      <c r="M242" s="44">
        <v>-0.12519766771875007</v>
      </c>
      <c r="N242" s="39">
        <v>-1551.4712300000003</v>
      </c>
      <c r="O242" s="40">
        <v>-3.3866946759521302E-2</v>
      </c>
      <c r="P242" s="41">
        <v>-1450.7237499999999</v>
      </c>
      <c r="Q242" s="40">
        <v>-3.1613292311421223E-2</v>
      </c>
      <c r="R242" s="42">
        <v>-100.74748000000045</v>
      </c>
      <c r="S242" s="43">
        <v>-6.9446357378515691E-2</v>
      </c>
      <c r="T242" s="41">
        <v>-1436.0115200000002</v>
      </c>
      <c r="U242" s="40">
        <v>-3.5599389464857335E-2</v>
      </c>
      <c r="V242" s="42">
        <v>-115.45971000000009</v>
      </c>
      <c r="W242" s="44">
        <v>-8.0403052755454271E-2</v>
      </c>
    </row>
    <row r="243" spans="2:23" ht="18.399999999999999" x14ac:dyDescent="0.85">
      <c r="B243" s="48">
        <v>40004</v>
      </c>
      <c r="C243" s="50" t="s">
        <v>5</v>
      </c>
      <c r="D243" s="51">
        <v>986.28214000000003</v>
      </c>
      <c r="E243" s="52">
        <v>0.10144399736815995</v>
      </c>
      <c r="F243" s="51">
        <v>803.59314000000063</v>
      </c>
      <c r="G243" s="52">
        <v>9.1773052244205483E-2</v>
      </c>
      <c r="H243" s="53">
        <v>182.6889999999994</v>
      </c>
      <c r="I243" s="54">
        <v>0.2273401686828726</v>
      </c>
      <c r="J243" s="51">
        <v>652.26780180868104</v>
      </c>
      <c r="K243" s="52">
        <v>7.9913581478663162E-2</v>
      </c>
      <c r="L243" s="53">
        <v>334.01433819131898</v>
      </c>
      <c r="M243" s="55">
        <v>0.5120815978730312</v>
      </c>
      <c r="N243" s="56">
        <v>4253.285450000003</v>
      </c>
      <c r="O243" s="52">
        <v>9.2844642622342835E-2</v>
      </c>
      <c r="P243" s="51">
        <v>3987.6901200000002</v>
      </c>
      <c r="Q243" s="52">
        <v>8.6897325152997876E-2</v>
      </c>
      <c r="R243" s="53">
        <v>265.59533000000283</v>
      </c>
      <c r="S243" s="54">
        <v>6.6603803707797338E-2</v>
      </c>
      <c r="T243" s="51">
        <v>3318.3279389757627</v>
      </c>
      <c r="U243" s="52">
        <v>8.2262883707030068E-2</v>
      </c>
      <c r="V243" s="53">
        <v>934.95751102424038</v>
      </c>
      <c r="W243" s="55">
        <v>0.28175560951725132</v>
      </c>
    </row>
    <row r="244" spans="2:23" ht="18.399999999999999" x14ac:dyDescent="0.85">
      <c r="B244" s="48">
        <v>40005</v>
      </c>
      <c r="C244" s="49" t="s">
        <v>1</v>
      </c>
      <c r="D244" s="41">
        <v>5254.0104200000014</v>
      </c>
      <c r="E244" s="40">
        <v>1</v>
      </c>
      <c r="F244" s="41">
        <v>4911.2893799999993</v>
      </c>
      <c r="G244" s="40">
        <v>1</v>
      </c>
      <c r="H244" s="42">
        <v>342.72104000000218</v>
      </c>
      <c r="I244" s="43">
        <v>6.9782294115196736E-2</v>
      </c>
      <c r="J244" s="41">
        <v>4893.7374199999995</v>
      </c>
      <c r="K244" s="40">
        <v>1</v>
      </c>
      <c r="L244" s="42">
        <v>360.27300000000196</v>
      </c>
      <c r="M244" s="44">
        <v>7.361919307881501E-2</v>
      </c>
      <c r="N244" s="39">
        <v>25551.633829999999</v>
      </c>
      <c r="O244" s="40">
        <v>1</v>
      </c>
      <c r="P244" s="41">
        <v>25904.943909999995</v>
      </c>
      <c r="Q244" s="40">
        <v>1</v>
      </c>
      <c r="R244" s="42">
        <v>-353.31007999999565</v>
      </c>
      <c r="S244" s="43">
        <v>-1.3638712410552976E-2</v>
      </c>
      <c r="T244" s="41">
        <v>23845.285330000002</v>
      </c>
      <c r="U244" s="40">
        <v>1</v>
      </c>
      <c r="V244" s="42">
        <v>1706.3484999999964</v>
      </c>
      <c r="W244" s="44">
        <v>7.1559156302198723E-2</v>
      </c>
    </row>
    <row r="245" spans="2:23" ht="18.399999999999999" x14ac:dyDescent="0.85">
      <c r="B245" s="48">
        <v>40005</v>
      </c>
      <c r="C245" s="49" t="s">
        <v>56</v>
      </c>
      <c r="D245" s="41">
        <v>527.23244000000022</v>
      </c>
      <c r="E245" s="40">
        <v>0.10034857144421119</v>
      </c>
      <c r="F245" s="41">
        <v>543.88079000000005</v>
      </c>
      <c r="G245" s="40">
        <v>0.11074093744400786</v>
      </c>
      <c r="H245" s="42">
        <v>-16.648349999999823</v>
      </c>
      <c r="I245" s="43">
        <v>-3.0610292376753775E-2</v>
      </c>
      <c r="J245" s="41">
        <v>578.87574728870618</v>
      </c>
      <c r="K245" s="40">
        <v>0.11828909024070733</v>
      </c>
      <c r="L245" s="42">
        <v>-51.643307288705955</v>
      </c>
      <c r="M245" s="44">
        <v>-8.9213112711301029E-2</v>
      </c>
      <c r="N245" s="39">
        <v>1567.2319899999975</v>
      </c>
      <c r="O245" s="40">
        <v>6.1335881706316611E-2</v>
      </c>
      <c r="P245" s="41">
        <v>1680.1125200000004</v>
      </c>
      <c r="Q245" s="40">
        <v>6.4856829099384089E-2</v>
      </c>
      <c r="R245" s="42">
        <v>-112.88053000000286</v>
      </c>
      <c r="S245" s="43">
        <v>-6.7186291784792393E-2</v>
      </c>
      <c r="T245" s="41">
        <v>1799.677286889445</v>
      </c>
      <c r="U245" s="40">
        <v>7.5473086691281999E-2</v>
      </c>
      <c r="V245" s="42">
        <v>-232.44529688944749</v>
      </c>
      <c r="W245" s="44">
        <v>-0.12915943240646494</v>
      </c>
    </row>
    <row r="246" spans="2:23" ht="18.399999999999999" x14ac:dyDescent="0.85">
      <c r="B246" s="48">
        <v>40005</v>
      </c>
      <c r="C246" s="49" t="s">
        <v>57</v>
      </c>
      <c r="D246" s="41">
        <v>1543.9729499999996</v>
      </c>
      <c r="E246" s="40">
        <v>0.2938656048573271</v>
      </c>
      <c r="F246" s="41">
        <v>1474.5136</v>
      </c>
      <c r="G246" s="40">
        <v>0.30022942773532929</v>
      </c>
      <c r="H246" s="42">
        <v>69.459349999999631</v>
      </c>
      <c r="I246" s="43">
        <v>4.710661875210892E-2</v>
      </c>
      <c r="J246" s="41">
        <v>1456.4245272887067</v>
      </c>
      <c r="K246" s="40">
        <v>0.29760986385099242</v>
      </c>
      <c r="L246" s="42">
        <v>87.548422711292915</v>
      </c>
      <c r="M246" s="44">
        <v>6.0111884324190741E-2</v>
      </c>
      <c r="N246" s="39">
        <v>6523.7808500000001</v>
      </c>
      <c r="O246" s="40">
        <v>0.25531756182027288</v>
      </c>
      <c r="P246" s="41">
        <v>6450.4268600000014</v>
      </c>
      <c r="Q246" s="40">
        <v>0.24900369915527845</v>
      </c>
      <c r="R246" s="42">
        <v>73.353989999998703</v>
      </c>
      <c r="S246" s="43">
        <v>1.1371959033421036E-2</v>
      </c>
      <c r="T246" s="41">
        <v>5885.4743668894489</v>
      </c>
      <c r="U246" s="40">
        <v>0.24681920494718812</v>
      </c>
      <c r="V246" s="42">
        <v>638.3064831105512</v>
      </c>
      <c r="W246" s="44">
        <v>0.10845455154839195</v>
      </c>
    </row>
    <row r="247" spans="2:23" ht="18.399999999999999" x14ac:dyDescent="0.85">
      <c r="B247" s="48">
        <v>40005</v>
      </c>
      <c r="C247" s="49" t="s">
        <v>2</v>
      </c>
      <c r="D247" s="41">
        <v>43.433890000000034</v>
      </c>
      <c r="E247" s="40">
        <v>8.2668069775164287E-3</v>
      </c>
      <c r="F247" s="41">
        <v>-28.532959999999996</v>
      </c>
      <c r="G247" s="40">
        <v>-5.8096678473464336E-3</v>
      </c>
      <c r="H247" s="42">
        <v>71.966850000000022</v>
      </c>
      <c r="I247" s="43">
        <v>2.5222356881304999</v>
      </c>
      <c r="J247" s="41">
        <v>-27.219970000000004</v>
      </c>
      <c r="K247" s="40">
        <v>-5.5622048475171366E-3</v>
      </c>
      <c r="L247" s="42">
        <v>70.653860000000037</v>
      </c>
      <c r="M247" s="44">
        <v>2.5956626697237368</v>
      </c>
      <c r="N247" s="39">
        <v>-6.538050000000009</v>
      </c>
      <c r="O247" s="40">
        <v>-2.5587600556187251E-4</v>
      </c>
      <c r="P247" s="41">
        <v>-152.26749000000004</v>
      </c>
      <c r="Q247" s="40">
        <v>-5.8779316615783428E-3</v>
      </c>
      <c r="R247" s="42">
        <v>145.72944000000004</v>
      </c>
      <c r="S247" s="43">
        <v>0.95706207543054667</v>
      </c>
      <c r="T247" s="41">
        <v>-96.744630000000001</v>
      </c>
      <c r="U247" s="40">
        <v>-4.0571806401613723E-3</v>
      </c>
      <c r="V247" s="42">
        <v>90.206579999999988</v>
      </c>
      <c r="W247" s="44">
        <v>0.93241950483453173</v>
      </c>
    </row>
    <row r="248" spans="2:23" ht="18.399999999999999" x14ac:dyDescent="0.85">
      <c r="B248" s="48">
        <v>40005</v>
      </c>
      <c r="C248" s="49" t="s">
        <v>58</v>
      </c>
      <c r="D248" s="41">
        <v>-94.84214999999999</v>
      </c>
      <c r="E248" s="40">
        <v>-1.8051382166843887E-2</v>
      </c>
      <c r="F248" s="41">
        <v>-89.420490000000001</v>
      </c>
      <c r="G248" s="40">
        <v>-1.820713117906321E-2</v>
      </c>
      <c r="H248" s="42">
        <v>-5.4216599999999886</v>
      </c>
      <c r="I248" s="43">
        <v>-6.0631070127215678E-2</v>
      </c>
      <c r="J248" s="41">
        <v>-81.856749999999991</v>
      </c>
      <c r="K248" s="40">
        <v>-1.6726837379027172E-2</v>
      </c>
      <c r="L248" s="42">
        <v>-12.985399999999998</v>
      </c>
      <c r="M248" s="44">
        <v>-0.15863566535441487</v>
      </c>
      <c r="N248" s="39">
        <v>-441.20679000000001</v>
      </c>
      <c r="O248" s="40">
        <v>-1.7267263335700361E-2</v>
      </c>
      <c r="P248" s="41">
        <v>-475.1895300000001</v>
      </c>
      <c r="Q248" s="40">
        <v>-1.8343584593385833E-2</v>
      </c>
      <c r="R248" s="42">
        <v>33.982740000000092</v>
      </c>
      <c r="S248" s="43">
        <v>7.1514075657348936E-2</v>
      </c>
      <c r="T248" s="41">
        <v>-374.33716000000004</v>
      </c>
      <c r="U248" s="40">
        <v>-1.5698581703656216E-2</v>
      </c>
      <c r="V248" s="42">
        <v>-66.869629999999972</v>
      </c>
      <c r="W248" s="44">
        <v>-0.1786347633774856</v>
      </c>
    </row>
    <row r="249" spans="2:23" ht="18.399999999999999" x14ac:dyDescent="0.85">
      <c r="B249" s="48">
        <v>40005</v>
      </c>
      <c r="C249" s="49" t="s">
        <v>59</v>
      </c>
      <c r="D249" s="41">
        <v>1492.5646899999995</v>
      </c>
      <c r="E249" s="40">
        <v>0.28408102966799958</v>
      </c>
      <c r="F249" s="41">
        <v>1356.5601499999996</v>
      </c>
      <c r="G249" s="40">
        <v>0.27621262870891955</v>
      </c>
      <c r="H249" s="42">
        <v>136.00453999999991</v>
      </c>
      <c r="I249" s="43">
        <v>0.10025691820594904</v>
      </c>
      <c r="J249" s="41">
        <v>1347.3478072887067</v>
      </c>
      <c r="K249" s="40">
        <v>0.2753208216244481</v>
      </c>
      <c r="L249" s="42">
        <v>145.21688271129278</v>
      </c>
      <c r="M249" s="44">
        <v>0.1077798040904638</v>
      </c>
      <c r="N249" s="39">
        <v>6076.0360099999989</v>
      </c>
      <c r="O249" s="40">
        <v>0.23779442247901059</v>
      </c>
      <c r="P249" s="41">
        <v>5822.9698400000025</v>
      </c>
      <c r="Q249" s="40">
        <v>0.22478218290031432</v>
      </c>
      <c r="R249" s="42">
        <v>253.06616999999642</v>
      </c>
      <c r="S249" s="43">
        <v>4.3459982956050532E-2</v>
      </c>
      <c r="T249" s="41">
        <v>5414.3925768894478</v>
      </c>
      <c r="U249" s="40">
        <v>0.2270634426033705</v>
      </c>
      <c r="V249" s="42">
        <v>661.64343311055109</v>
      </c>
      <c r="W249" s="44">
        <v>0.12220086070867496</v>
      </c>
    </row>
    <row r="250" spans="2:23" ht="18.399999999999999" x14ac:dyDescent="0.85">
      <c r="B250" s="48">
        <v>40005</v>
      </c>
      <c r="C250" s="49" t="s">
        <v>3</v>
      </c>
      <c r="D250" s="41">
        <v>-489.68925000000002</v>
      </c>
      <c r="E250" s="40">
        <v>-9.3202946103026554E-2</v>
      </c>
      <c r="F250" s="41">
        <v>-444.00045</v>
      </c>
      <c r="G250" s="40">
        <v>-9.0404049862767413E-2</v>
      </c>
      <c r="H250" s="42">
        <v>-45.688800000000015</v>
      </c>
      <c r="I250" s="43">
        <v>-0.10290259840952867</v>
      </c>
      <c r="J250" s="41">
        <v>-469.46370000000002</v>
      </c>
      <c r="K250" s="40">
        <v>-9.5931526297542966E-2</v>
      </c>
      <c r="L250" s="42">
        <v>-20.225549999999998</v>
      </c>
      <c r="M250" s="44">
        <v>-4.3082244697513351E-2</v>
      </c>
      <c r="N250" s="39">
        <v>-1900.4148699999994</v>
      </c>
      <c r="O250" s="40">
        <v>-7.4375473703318928E-2</v>
      </c>
      <c r="P250" s="41">
        <v>-1832.4147800000001</v>
      </c>
      <c r="Q250" s="40">
        <v>-7.0736102975796813E-2</v>
      </c>
      <c r="R250" s="42">
        <v>-68.000089999999318</v>
      </c>
      <c r="S250" s="43">
        <v>-3.7109551146492781E-2</v>
      </c>
      <c r="T250" s="41">
        <v>-1730.0783100000001</v>
      </c>
      <c r="U250" s="40">
        <v>-7.2554313611981419E-2</v>
      </c>
      <c r="V250" s="42">
        <v>-170.33655999999928</v>
      </c>
      <c r="W250" s="44">
        <v>-9.8455982608093198E-2</v>
      </c>
    </row>
    <row r="251" spans="2:23" ht="18.399999999999999" x14ac:dyDescent="0.85">
      <c r="B251" s="48">
        <v>40005</v>
      </c>
      <c r="C251" s="49" t="s">
        <v>4</v>
      </c>
      <c r="D251" s="41">
        <v>-142.29609000000002</v>
      </c>
      <c r="E251" s="40">
        <v>-2.708332847196751E-2</v>
      </c>
      <c r="F251" s="41">
        <v>-133.88132999999999</v>
      </c>
      <c r="G251" s="40">
        <v>-2.7259914788405323E-2</v>
      </c>
      <c r="H251" s="42">
        <v>-8.4147600000000295</v>
      </c>
      <c r="I251" s="43">
        <v>-6.2852378296511024E-2</v>
      </c>
      <c r="J251" s="41">
        <v>-159.60757000000001</v>
      </c>
      <c r="K251" s="40">
        <v>-3.2614657531012364E-2</v>
      </c>
      <c r="L251" s="42">
        <v>17.311479999999989</v>
      </c>
      <c r="M251" s="44">
        <v>0.10846277529317681</v>
      </c>
      <c r="N251" s="39">
        <v>-607.73273000000006</v>
      </c>
      <c r="O251" s="40">
        <v>-2.3784495897341218E-2</v>
      </c>
      <c r="P251" s="41">
        <v>-598.77541999999994</v>
      </c>
      <c r="Q251" s="40">
        <v>-2.3114329916339126E-2</v>
      </c>
      <c r="R251" s="42">
        <v>-8.9573100000001205</v>
      </c>
      <c r="S251" s="43">
        <v>-1.4959381599198112E-2</v>
      </c>
      <c r="T251" s="41">
        <v>-717.4285900000001</v>
      </c>
      <c r="U251" s="40">
        <v>-3.0086810875665879E-2</v>
      </c>
      <c r="V251" s="42">
        <v>109.69586000000004</v>
      </c>
      <c r="W251" s="44">
        <v>0.15290143371621143</v>
      </c>
    </row>
    <row r="252" spans="2:23" ht="18.399999999999999" x14ac:dyDescent="0.85">
      <c r="B252" s="48">
        <v>40005</v>
      </c>
      <c r="C252" s="49" t="s">
        <v>60</v>
      </c>
      <c r="D252" s="41">
        <v>-426.73346000000004</v>
      </c>
      <c r="E252" s="40">
        <v>-8.1220520304944491E-2</v>
      </c>
      <c r="F252" s="41">
        <v>-426.73346000000004</v>
      </c>
      <c r="G252" s="40">
        <v>-8.688827454105344E-2</v>
      </c>
      <c r="H252" s="42">
        <v>0</v>
      </c>
      <c r="I252" s="43">
        <v>0</v>
      </c>
      <c r="J252" s="41">
        <v>-426.73346000000004</v>
      </c>
      <c r="K252" s="40">
        <v>-8.7199909471236015E-2</v>
      </c>
      <c r="L252" s="42">
        <v>0</v>
      </c>
      <c r="M252" s="44">
        <v>0</v>
      </c>
      <c r="N252" s="39">
        <v>-1706.9338400000001</v>
      </c>
      <c r="O252" s="40">
        <v>-6.6803314862625376E-2</v>
      </c>
      <c r="P252" s="41">
        <v>-1706.9338400000001</v>
      </c>
      <c r="Q252" s="40">
        <v>-6.5892203663142399E-2</v>
      </c>
      <c r="R252" s="42">
        <v>0</v>
      </c>
      <c r="S252" s="43">
        <v>0</v>
      </c>
      <c r="T252" s="41">
        <v>-1706.9338400000001</v>
      </c>
      <c r="U252" s="40">
        <v>-7.1583703712384969E-2</v>
      </c>
      <c r="V252" s="42">
        <v>0</v>
      </c>
      <c r="W252" s="44">
        <v>0</v>
      </c>
    </row>
    <row r="253" spans="2:23" ht="18.399999999999999" x14ac:dyDescent="0.85">
      <c r="B253" s="48">
        <v>40005</v>
      </c>
      <c r="C253" s="49" t="s">
        <v>61</v>
      </c>
      <c r="D253" s="41">
        <v>433.84588999999937</v>
      </c>
      <c r="E253" s="40">
        <v>8.2574234788061057E-2</v>
      </c>
      <c r="F253" s="41">
        <v>351.9449099999996</v>
      </c>
      <c r="G253" s="40">
        <v>7.1660389516693401E-2</v>
      </c>
      <c r="H253" s="42">
        <v>81.900979999999777</v>
      </c>
      <c r="I253" s="43">
        <v>0.2327096590202139</v>
      </c>
      <c r="J253" s="41">
        <v>291.54307728870663</v>
      </c>
      <c r="K253" s="40">
        <v>5.9574728324656753E-2</v>
      </c>
      <c r="L253" s="42">
        <v>142.30281271129275</v>
      </c>
      <c r="M253" s="44">
        <v>0.48810218385111714</v>
      </c>
      <c r="N253" s="39">
        <v>1860.954569999999</v>
      </c>
      <c r="O253" s="40">
        <v>7.2831138015725036E-2</v>
      </c>
      <c r="P253" s="41">
        <v>1684.8458000000019</v>
      </c>
      <c r="Q253" s="40">
        <v>6.5039546345035962E-2</v>
      </c>
      <c r="R253" s="42">
        <v>176.10876999999709</v>
      </c>
      <c r="S253" s="43">
        <v>0.1045251559519553</v>
      </c>
      <c r="T253" s="41">
        <v>1259.9518368894478</v>
      </c>
      <c r="U253" s="40">
        <v>5.2838614403338223E-2</v>
      </c>
      <c r="V253" s="42">
        <v>601.00273311055116</v>
      </c>
      <c r="W253" s="44">
        <v>0.47700452947018884</v>
      </c>
    </row>
    <row r="254" spans="2:23" ht="18.399999999999999" x14ac:dyDescent="0.85">
      <c r="B254" s="48">
        <v>40005</v>
      </c>
      <c r="C254" s="49" t="s">
        <v>62</v>
      </c>
      <c r="D254" s="41">
        <v>-180.11412999999999</v>
      </c>
      <c r="E254" s="40">
        <v>-3.4281266233194857E-2</v>
      </c>
      <c r="F254" s="41">
        <v>-172.71532999999999</v>
      </c>
      <c r="G254" s="40">
        <v>-3.5167003333857721E-2</v>
      </c>
      <c r="H254" s="42">
        <v>-7.3987999999999943</v>
      </c>
      <c r="I254" s="43">
        <v>-4.2838119812526165E-2</v>
      </c>
      <c r="J254" s="41">
        <v>-150.98952</v>
      </c>
      <c r="K254" s="40">
        <v>-3.0853621075566415E-2</v>
      </c>
      <c r="L254" s="42">
        <v>-29.12460999999999</v>
      </c>
      <c r="M254" s="44">
        <v>-0.19289159936398229</v>
      </c>
      <c r="N254" s="39">
        <v>-788.64954</v>
      </c>
      <c r="O254" s="40">
        <v>-3.086493588813299E-2</v>
      </c>
      <c r="P254" s="41">
        <v>-622.83455000000004</v>
      </c>
      <c r="Q254" s="40">
        <v>-2.404307657117024E-2</v>
      </c>
      <c r="R254" s="42">
        <v>-165.81498999999997</v>
      </c>
      <c r="S254" s="43">
        <v>-0.26622638387674535</v>
      </c>
      <c r="T254" s="41">
        <v>-708.42043999999999</v>
      </c>
      <c r="U254" s="40">
        <v>-2.9709035987450685E-2</v>
      </c>
      <c r="V254" s="42">
        <v>-80.229100000000017</v>
      </c>
      <c r="W254" s="44">
        <v>-0.11325068486166212</v>
      </c>
    </row>
    <row r="255" spans="2:23" ht="18.399999999999999" x14ac:dyDescent="0.85">
      <c r="B255" s="48">
        <v>40005</v>
      </c>
      <c r="C255" s="50" t="s">
        <v>5</v>
      </c>
      <c r="D255" s="51">
        <v>253.73175999999938</v>
      </c>
      <c r="E255" s="52">
        <v>4.8292968554866193E-2</v>
      </c>
      <c r="F255" s="51">
        <v>179.2295799999996</v>
      </c>
      <c r="G255" s="52">
        <v>3.649338618283568E-2</v>
      </c>
      <c r="H255" s="53">
        <v>74.502179999999782</v>
      </c>
      <c r="I255" s="54">
        <v>0.4156801572597556</v>
      </c>
      <c r="J255" s="51">
        <v>140.55355728870663</v>
      </c>
      <c r="K255" s="52">
        <v>2.8721107249090338E-2</v>
      </c>
      <c r="L255" s="53">
        <v>113.17820271129276</v>
      </c>
      <c r="M255" s="55">
        <v>0.80523186246234224</v>
      </c>
      <c r="N255" s="56">
        <v>1072.3050299999991</v>
      </c>
      <c r="O255" s="52">
        <v>4.1966202127592056E-2</v>
      </c>
      <c r="P255" s="51">
        <v>1062.0112500000018</v>
      </c>
      <c r="Q255" s="52">
        <v>4.0996469773865729E-2</v>
      </c>
      <c r="R255" s="53">
        <v>10.293779999997241</v>
      </c>
      <c r="S255" s="54">
        <v>9.6927221816126927E-3</v>
      </c>
      <c r="T255" s="51">
        <v>551.53139688944782</v>
      </c>
      <c r="U255" s="52">
        <v>2.3129578415887538E-2</v>
      </c>
      <c r="V255" s="53">
        <v>520.77363311055126</v>
      </c>
      <c r="W255" s="55">
        <v>0.94423207100744289</v>
      </c>
    </row>
    <row r="256" spans="2:23" ht="18.399999999999999" x14ac:dyDescent="0.85">
      <c r="B256" s="48">
        <v>40013</v>
      </c>
      <c r="C256" s="49" t="s">
        <v>1</v>
      </c>
      <c r="D256" s="41">
        <v>3547.9643900000005</v>
      </c>
      <c r="E256" s="40">
        <v>1</v>
      </c>
      <c r="F256" s="41">
        <v>3234.8394599999997</v>
      </c>
      <c r="G256" s="40">
        <v>1</v>
      </c>
      <c r="H256" s="42">
        <v>313.12493000000086</v>
      </c>
      <c r="I256" s="43">
        <v>9.6797672302414942E-2</v>
      </c>
      <c r="J256" s="41">
        <v>4088.6759699999998</v>
      </c>
      <c r="K256" s="40">
        <v>1</v>
      </c>
      <c r="L256" s="42">
        <v>-540.71157999999923</v>
      </c>
      <c r="M256" s="44">
        <v>-0.13224613150256542</v>
      </c>
      <c r="N256" s="39">
        <v>18220.989509999996</v>
      </c>
      <c r="O256" s="40">
        <v>1</v>
      </c>
      <c r="P256" s="41">
        <v>16816.752280000001</v>
      </c>
      <c r="Q256" s="40">
        <v>1</v>
      </c>
      <c r="R256" s="42">
        <v>1404.2372299999952</v>
      </c>
      <c r="S256" s="43">
        <v>8.3502284306705338E-2</v>
      </c>
      <c r="T256" s="41">
        <v>18592.789460000004</v>
      </c>
      <c r="U256" s="40">
        <v>1</v>
      </c>
      <c r="V256" s="42">
        <v>-371.79995000000781</v>
      </c>
      <c r="W256" s="44">
        <v>-1.9996996728214859E-2</v>
      </c>
    </row>
    <row r="257" spans="2:23" ht="18.399999999999999" x14ac:dyDescent="0.85">
      <c r="B257" s="48">
        <v>40013</v>
      </c>
      <c r="C257" s="49" t="s">
        <v>56</v>
      </c>
      <c r="D257" s="41">
        <v>295.69221000000005</v>
      </c>
      <c r="E257" s="40">
        <v>8.3341369161825218E-2</v>
      </c>
      <c r="F257" s="41">
        <v>336.59208999999987</v>
      </c>
      <c r="G257" s="40">
        <v>0.10405217760018295</v>
      </c>
      <c r="H257" s="42">
        <v>-40.899879999999825</v>
      </c>
      <c r="I257" s="43">
        <v>-0.12151170872731989</v>
      </c>
      <c r="J257" s="41">
        <v>445.48605964223623</v>
      </c>
      <c r="K257" s="40">
        <v>0.10895606864200497</v>
      </c>
      <c r="L257" s="42">
        <v>-149.79384964223618</v>
      </c>
      <c r="M257" s="44">
        <v>-0.33624811910508173</v>
      </c>
      <c r="N257" s="39">
        <v>879.16962999999839</v>
      </c>
      <c r="O257" s="40">
        <v>4.8250377923630045E-2</v>
      </c>
      <c r="P257" s="41">
        <v>1013.9987300000007</v>
      </c>
      <c r="Q257" s="40">
        <v>6.0296941592339413E-2</v>
      </c>
      <c r="R257" s="42">
        <v>-134.82910000000231</v>
      </c>
      <c r="S257" s="43">
        <v>-0.132967720778114</v>
      </c>
      <c r="T257" s="41">
        <v>1458.310941649034</v>
      </c>
      <c r="U257" s="40">
        <v>7.8434220146815656E-2</v>
      </c>
      <c r="V257" s="42">
        <v>-579.14131164903563</v>
      </c>
      <c r="W257" s="44">
        <v>-0.39713156852142395</v>
      </c>
    </row>
    <row r="258" spans="2:23" ht="18.399999999999999" x14ac:dyDescent="0.85">
      <c r="B258" s="48">
        <v>40013</v>
      </c>
      <c r="C258" s="49" t="s">
        <v>57</v>
      </c>
      <c r="D258" s="41">
        <v>976.21224000000075</v>
      </c>
      <c r="E258" s="40">
        <v>0.27514713584822664</v>
      </c>
      <c r="F258" s="41">
        <v>978.20340999999939</v>
      </c>
      <c r="G258" s="40">
        <v>0.30239627718650358</v>
      </c>
      <c r="H258" s="42">
        <v>-1.9911699999986467</v>
      </c>
      <c r="I258" s="43">
        <v>-2.0355377824727151E-3</v>
      </c>
      <c r="J258" s="41">
        <v>1194.5713378490836</v>
      </c>
      <c r="K258" s="40">
        <v>0.29216581275064546</v>
      </c>
      <c r="L258" s="42">
        <v>-218.3590978490829</v>
      </c>
      <c r="M258" s="44">
        <v>-0.18279284872367274</v>
      </c>
      <c r="N258" s="39">
        <v>4430.5333199999977</v>
      </c>
      <c r="O258" s="40">
        <v>0.24315547284456995</v>
      </c>
      <c r="P258" s="41">
        <v>4240.7309500000019</v>
      </c>
      <c r="Q258" s="40">
        <v>0.25217300459634301</v>
      </c>
      <c r="R258" s="42">
        <v>189.80236999999579</v>
      </c>
      <c r="S258" s="43">
        <v>4.4756994074334214E-2</v>
      </c>
      <c r="T258" s="41">
        <v>4760.9880598558802</v>
      </c>
      <c r="U258" s="40">
        <v>0.25606636756138901</v>
      </c>
      <c r="V258" s="42">
        <v>-330.45473985588251</v>
      </c>
      <c r="W258" s="44">
        <v>-6.9408857090451456E-2</v>
      </c>
    </row>
    <row r="259" spans="2:23" ht="18.399999999999999" x14ac:dyDescent="0.85">
      <c r="B259" s="48">
        <v>40013</v>
      </c>
      <c r="C259" s="49" t="s">
        <v>2</v>
      </c>
      <c r="D259" s="41">
        <v>-28.67886</v>
      </c>
      <c r="E259" s="40">
        <v>-8.0831871032392179E-3</v>
      </c>
      <c r="F259" s="41">
        <v>-21.313749999999999</v>
      </c>
      <c r="G259" s="40">
        <v>-6.5888122930217998E-3</v>
      </c>
      <c r="H259" s="42">
        <v>-7.3651100000000014</v>
      </c>
      <c r="I259" s="43">
        <v>-0.3455567415400857</v>
      </c>
      <c r="J259" s="41">
        <v>-41.430150000000005</v>
      </c>
      <c r="K259" s="40">
        <v>-1.0132901287357337E-2</v>
      </c>
      <c r="L259" s="42">
        <v>12.751290000000004</v>
      </c>
      <c r="M259" s="44">
        <v>0.30777803121639685</v>
      </c>
      <c r="N259" s="39">
        <v>-91.41758999999999</v>
      </c>
      <c r="O259" s="40">
        <v>-5.0171583683656928E-3</v>
      </c>
      <c r="P259" s="41">
        <v>-107.57256999999998</v>
      </c>
      <c r="Q259" s="40">
        <v>-6.396750585898503E-3</v>
      </c>
      <c r="R259" s="42">
        <v>16.154979999999995</v>
      </c>
      <c r="S259" s="43">
        <v>0.15017750342861566</v>
      </c>
      <c r="T259" s="41">
        <v>-143.93165999999999</v>
      </c>
      <c r="U259" s="40">
        <v>-7.7412622947003436E-3</v>
      </c>
      <c r="V259" s="42">
        <v>52.514070000000004</v>
      </c>
      <c r="W259" s="44">
        <v>0.36485419538689406</v>
      </c>
    </row>
    <row r="260" spans="2:23" ht="18.399999999999999" x14ac:dyDescent="0.85">
      <c r="B260" s="48">
        <v>40013</v>
      </c>
      <c r="C260" s="49" t="s">
        <v>58</v>
      </c>
      <c r="D260" s="41">
        <v>-68.087670000000003</v>
      </c>
      <c r="E260" s="40">
        <v>-1.9190629475286249E-2</v>
      </c>
      <c r="F260" s="41">
        <v>-63.457469999999994</v>
      </c>
      <c r="G260" s="40">
        <v>-1.9616883862298377E-2</v>
      </c>
      <c r="H260" s="42">
        <v>-4.6302000000000092</v>
      </c>
      <c r="I260" s="43">
        <v>-7.2965405018510981E-2</v>
      </c>
      <c r="J260" s="41">
        <v>-66.187992466533629</v>
      </c>
      <c r="K260" s="40">
        <v>-1.6188123723224181E-2</v>
      </c>
      <c r="L260" s="42">
        <v>-1.8996775334663738</v>
      </c>
      <c r="M260" s="44">
        <v>-2.8701241156798948E-2</v>
      </c>
      <c r="N260" s="39">
        <v>-335.59960000000007</v>
      </c>
      <c r="O260" s="40">
        <v>-1.841829719597924E-2</v>
      </c>
      <c r="P260" s="41">
        <v>-327.49597999999997</v>
      </c>
      <c r="Q260" s="40">
        <v>-1.9474389260611739E-2</v>
      </c>
      <c r="R260" s="42">
        <v>-8.1036200000000917</v>
      </c>
      <c r="S260" s="43">
        <v>-2.4744181592702582E-2</v>
      </c>
      <c r="T260" s="41">
        <v>-315.53509246653363</v>
      </c>
      <c r="U260" s="40">
        <v>-1.6970831253985144E-2</v>
      </c>
      <c r="V260" s="42">
        <v>-20.06450753346644</v>
      </c>
      <c r="W260" s="44">
        <v>-6.3588830569121332E-2</v>
      </c>
    </row>
    <row r="261" spans="2:23" ht="18.399999999999999" x14ac:dyDescent="0.85">
      <c r="B261" s="48">
        <v>40013</v>
      </c>
      <c r="C261" s="49" t="s">
        <v>59</v>
      </c>
      <c r="D261" s="41">
        <v>879.44571000000064</v>
      </c>
      <c r="E261" s="40">
        <v>0.24787331926970116</v>
      </c>
      <c r="F261" s="41">
        <v>893.43218999999954</v>
      </c>
      <c r="G261" s="40">
        <v>0.27619058103118344</v>
      </c>
      <c r="H261" s="42">
        <v>-13.986479999998892</v>
      </c>
      <c r="I261" s="43">
        <v>-1.5654775098263359E-2</v>
      </c>
      <c r="J261" s="41">
        <v>1086.9531953825499</v>
      </c>
      <c r="K261" s="40">
        <v>0.26584478774006393</v>
      </c>
      <c r="L261" s="42">
        <v>-207.50748538254925</v>
      </c>
      <c r="M261" s="44">
        <v>-0.19090747077616127</v>
      </c>
      <c r="N261" s="39">
        <v>4003.5161299999982</v>
      </c>
      <c r="O261" s="40">
        <v>0.21972001728022503</v>
      </c>
      <c r="P261" s="41">
        <v>3805.6624000000029</v>
      </c>
      <c r="Q261" s="40">
        <v>0.22630186474983283</v>
      </c>
      <c r="R261" s="42">
        <v>197.85372999999527</v>
      </c>
      <c r="S261" s="43">
        <v>5.198930152080624E-2</v>
      </c>
      <c r="T261" s="41">
        <v>4301.5213073893465</v>
      </c>
      <c r="U261" s="40">
        <v>0.2313542740127035</v>
      </c>
      <c r="V261" s="42">
        <v>-298.00517738934832</v>
      </c>
      <c r="W261" s="44">
        <v>-6.927901923382819E-2</v>
      </c>
    </row>
    <row r="262" spans="2:23" ht="18.399999999999999" x14ac:dyDescent="0.85">
      <c r="B262" s="48">
        <v>40013</v>
      </c>
      <c r="C262" s="49" t="s">
        <v>3</v>
      </c>
      <c r="D262" s="41">
        <v>-351.92900999999989</v>
      </c>
      <c r="E262" s="40">
        <v>-9.9191810095929353E-2</v>
      </c>
      <c r="F262" s="41">
        <v>-363.8401199999999</v>
      </c>
      <c r="G262" s="40">
        <v>-0.11247547969505724</v>
      </c>
      <c r="H262" s="42">
        <v>11.911110000000008</v>
      </c>
      <c r="I262" s="43">
        <v>3.2737208859759642E-2</v>
      </c>
      <c r="J262" s="41">
        <v>-420.31324000000001</v>
      </c>
      <c r="K262" s="40">
        <v>-0.1027993519378842</v>
      </c>
      <c r="L262" s="42">
        <v>68.384230000000116</v>
      </c>
      <c r="M262" s="44">
        <v>0.1626982533312539</v>
      </c>
      <c r="N262" s="39">
        <v>-1375.6674299999997</v>
      </c>
      <c r="O262" s="40">
        <v>-7.5499051752650953E-2</v>
      </c>
      <c r="P262" s="41">
        <v>-1482.3300199999996</v>
      </c>
      <c r="Q262" s="40">
        <v>-8.8146034104511384E-2</v>
      </c>
      <c r="R262" s="42">
        <v>106.66258999999991</v>
      </c>
      <c r="S262" s="43">
        <v>7.1956034459856613E-2</v>
      </c>
      <c r="T262" s="41">
        <v>-1625.3752299999996</v>
      </c>
      <c r="U262" s="40">
        <v>-8.7419654457809332E-2</v>
      </c>
      <c r="V262" s="42">
        <v>249.70779999999991</v>
      </c>
      <c r="W262" s="44">
        <v>0.15363086344068377</v>
      </c>
    </row>
    <row r="263" spans="2:23" ht="18.399999999999999" x14ac:dyDescent="0.85">
      <c r="B263" s="48">
        <v>40013</v>
      </c>
      <c r="C263" s="49" t="s">
        <v>4</v>
      </c>
      <c r="D263" s="41">
        <v>-135.67408</v>
      </c>
      <c r="E263" s="40">
        <v>-3.8239977938448244E-2</v>
      </c>
      <c r="F263" s="41">
        <v>-151.16882000000001</v>
      </c>
      <c r="G263" s="40">
        <v>-4.6731475199699717E-2</v>
      </c>
      <c r="H263" s="42">
        <v>15.494740000000007</v>
      </c>
      <c r="I263" s="43">
        <v>0.10249957630151513</v>
      </c>
      <c r="J263" s="41">
        <v>-114.88293000000003</v>
      </c>
      <c r="K263" s="40">
        <v>-2.8097831875877423E-2</v>
      </c>
      <c r="L263" s="42">
        <v>-20.791149999999973</v>
      </c>
      <c r="M263" s="44">
        <v>-0.18097684312195003</v>
      </c>
      <c r="N263" s="39">
        <v>-701.59464999999989</v>
      </c>
      <c r="O263" s="40">
        <v>-3.8504750228573074E-2</v>
      </c>
      <c r="P263" s="41">
        <v>-636.36207999999999</v>
      </c>
      <c r="Q263" s="40">
        <v>-3.7840961762683464E-2</v>
      </c>
      <c r="R263" s="42">
        <v>-65.232569999999896</v>
      </c>
      <c r="S263" s="43">
        <v>-0.10250857499240039</v>
      </c>
      <c r="T263" s="41">
        <v>-612.66206999999997</v>
      </c>
      <c r="U263" s="40">
        <v>-3.295159509647886E-2</v>
      </c>
      <c r="V263" s="42">
        <v>-88.932579999999916</v>
      </c>
      <c r="W263" s="44">
        <v>-0.14515763967565337</v>
      </c>
    </row>
    <row r="264" spans="2:23" ht="18.399999999999999" x14ac:dyDescent="0.85">
      <c r="B264" s="48">
        <v>40013</v>
      </c>
      <c r="C264" s="49" t="s">
        <v>60</v>
      </c>
      <c r="D264" s="41">
        <v>-440.03682000000003</v>
      </c>
      <c r="E264" s="40">
        <v>-0.12402515122199408</v>
      </c>
      <c r="F264" s="41">
        <v>-440.03682000000003</v>
      </c>
      <c r="G264" s="40">
        <v>-0.13603049716723811</v>
      </c>
      <c r="H264" s="42">
        <v>0</v>
      </c>
      <c r="I264" s="43">
        <v>0</v>
      </c>
      <c r="J264" s="41">
        <v>-440.03682000000003</v>
      </c>
      <c r="K264" s="40">
        <v>-0.10762330476386468</v>
      </c>
      <c r="L264" s="42">
        <v>0</v>
      </c>
      <c r="M264" s="44">
        <v>0</v>
      </c>
      <c r="N264" s="39">
        <v>-1760.1472800000001</v>
      </c>
      <c r="O264" s="40">
        <v>-9.6599983169629769E-2</v>
      </c>
      <c r="P264" s="41">
        <v>-1760.1472800000001</v>
      </c>
      <c r="Q264" s="40">
        <v>-0.10466630242828315</v>
      </c>
      <c r="R264" s="42">
        <v>0</v>
      </c>
      <c r="S264" s="43">
        <v>0</v>
      </c>
      <c r="T264" s="41">
        <v>-1760.1472800000001</v>
      </c>
      <c r="U264" s="40">
        <v>-9.4668273622241075E-2</v>
      </c>
      <c r="V264" s="42">
        <v>0</v>
      </c>
      <c r="W264" s="44">
        <v>0</v>
      </c>
    </row>
    <row r="265" spans="2:23" ht="18.399999999999999" x14ac:dyDescent="0.85">
      <c r="B265" s="48">
        <v>40013</v>
      </c>
      <c r="C265" s="49" t="s">
        <v>61</v>
      </c>
      <c r="D265" s="41">
        <v>-48.194199999999228</v>
      </c>
      <c r="E265" s="40">
        <v>-1.3583619986670504E-2</v>
      </c>
      <c r="F265" s="41">
        <v>-61.613570000000436</v>
      </c>
      <c r="G265" s="40">
        <v>-1.9046871030811662E-2</v>
      </c>
      <c r="H265" s="42">
        <v>13.419370000001209</v>
      </c>
      <c r="I265" s="43">
        <v>0.21779893617592866</v>
      </c>
      <c r="J265" s="41">
        <v>111.72020538254981</v>
      </c>
      <c r="K265" s="40">
        <v>2.7324299162437619E-2</v>
      </c>
      <c r="L265" s="42">
        <v>-159.91440538254903</v>
      </c>
      <c r="M265" s="44">
        <v>-1.4313830236435185</v>
      </c>
      <c r="N265" s="39">
        <v>166.10676999999851</v>
      </c>
      <c r="O265" s="40">
        <v>9.1162321293712517E-3</v>
      </c>
      <c r="P265" s="41">
        <v>-73.176979999997002</v>
      </c>
      <c r="Q265" s="40">
        <v>-4.3514335456451758E-3</v>
      </c>
      <c r="R265" s="42">
        <v>239.28374999999551</v>
      </c>
      <c r="S265" s="43">
        <v>3.2699320196051449</v>
      </c>
      <c r="T265" s="41">
        <v>303.33672738934683</v>
      </c>
      <c r="U265" s="40">
        <v>1.6314750836174251E-2</v>
      </c>
      <c r="V265" s="42">
        <v>-137.22995738934833</v>
      </c>
      <c r="W265" s="44">
        <v>-0.4524013909242427</v>
      </c>
    </row>
    <row r="266" spans="2:23" ht="18.399999999999999" x14ac:dyDescent="0.85">
      <c r="B266" s="48">
        <v>40013</v>
      </c>
      <c r="C266" s="49" t="s">
        <v>62</v>
      </c>
      <c r="D266" s="41">
        <v>-61.494109999999999</v>
      </c>
      <c r="E266" s="40">
        <v>-1.7332222999002531E-2</v>
      </c>
      <c r="F266" s="41">
        <v>-59.680710000000005</v>
      </c>
      <c r="G266" s="40">
        <v>-1.8449357607378765E-2</v>
      </c>
      <c r="H266" s="42">
        <v>-1.8133999999999943</v>
      </c>
      <c r="I266" s="43">
        <v>-3.0385027255875378E-2</v>
      </c>
      <c r="J266" s="41">
        <v>-70.399770000000004</v>
      </c>
      <c r="K266" s="40">
        <v>-1.7218231651651282E-2</v>
      </c>
      <c r="L266" s="42">
        <v>8.9056600000000046</v>
      </c>
      <c r="M266" s="44">
        <v>0.12650126555811197</v>
      </c>
      <c r="N266" s="39">
        <v>-260.53206</v>
      </c>
      <c r="O266" s="40">
        <v>-1.4298458371704537E-2</v>
      </c>
      <c r="P266" s="41">
        <v>-252.77984000000001</v>
      </c>
      <c r="Q266" s="40">
        <v>-1.5031430313725237E-2</v>
      </c>
      <c r="R266" s="42">
        <v>-7.7522199999999941</v>
      </c>
      <c r="S266" s="43">
        <v>-3.0667872881001878E-2</v>
      </c>
      <c r="T266" s="41">
        <v>-286.64746999999994</v>
      </c>
      <c r="U266" s="40">
        <v>-1.5417130959111064E-2</v>
      </c>
      <c r="V266" s="42">
        <v>26.11540999999994</v>
      </c>
      <c r="W266" s="44">
        <v>9.1106368390413306E-2</v>
      </c>
    </row>
    <row r="267" spans="2:23" ht="18.399999999999999" x14ac:dyDescent="0.85">
      <c r="B267" s="48">
        <v>40013</v>
      </c>
      <c r="C267" s="50" t="s">
        <v>5</v>
      </c>
      <c r="D267" s="51">
        <v>-109.68830999999923</v>
      </c>
      <c r="E267" s="52">
        <v>-3.0915842985673039E-2</v>
      </c>
      <c r="F267" s="51">
        <v>-121.29428000000044</v>
      </c>
      <c r="G267" s="52">
        <v>-3.7496228638190424E-2</v>
      </c>
      <c r="H267" s="53">
        <v>11.605970000001207</v>
      </c>
      <c r="I267" s="54">
        <v>9.5684396659110105E-2</v>
      </c>
      <c r="J267" s="51">
        <v>41.320435382549803</v>
      </c>
      <c r="K267" s="52">
        <v>1.0106067510786335E-2</v>
      </c>
      <c r="L267" s="53">
        <v>-151.00874538254902</v>
      </c>
      <c r="M267" s="55">
        <v>-3.6545777890404834</v>
      </c>
      <c r="N267" s="56">
        <v>-94.425290000001496</v>
      </c>
      <c r="O267" s="52">
        <v>-5.1822262423332861E-3</v>
      </c>
      <c r="P267" s="51">
        <v>-325.95681999999704</v>
      </c>
      <c r="Q267" s="52">
        <v>-1.9382863859370415E-2</v>
      </c>
      <c r="R267" s="53">
        <v>231.53152999999554</v>
      </c>
      <c r="S267" s="54">
        <v>0.71031350103365731</v>
      </c>
      <c r="T267" s="51">
        <v>16.689257389346892</v>
      </c>
      <c r="U267" s="52">
        <v>8.9761987706318542E-4</v>
      </c>
      <c r="V267" s="53">
        <v>-111.11454738934839</v>
      </c>
      <c r="W267" s="55">
        <v>-6.6578485068050526</v>
      </c>
    </row>
    <row r="268" spans="2:23" ht="18.399999999999999" x14ac:dyDescent="0.85">
      <c r="B268" s="48">
        <v>50001</v>
      </c>
      <c r="C268" s="49" t="s">
        <v>1</v>
      </c>
      <c r="D268" s="41">
        <v>8014.2635200000004</v>
      </c>
      <c r="E268" s="40">
        <v>1</v>
      </c>
      <c r="F268" s="41">
        <v>9098.6837800000012</v>
      </c>
      <c r="G268" s="40">
        <v>1</v>
      </c>
      <c r="H268" s="42">
        <v>-1084.4202600000008</v>
      </c>
      <c r="I268" s="43">
        <v>-0.11918430030326876</v>
      </c>
      <c r="J268" s="41">
        <v>7694.2237399999995</v>
      </c>
      <c r="K268" s="40">
        <v>1</v>
      </c>
      <c r="L268" s="42">
        <v>320.03978000000097</v>
      </c>
      <c r="M268" s="44">
        <v>4.1594810706661489E-2</v>
      </c>
      <c r="N268" s="39">
        <v>49786.10551999999</v>
      </c>
      <c r="O268" s="40">
        <v>1</v>
      </c>
      <c r="P268" s="41">
        <v>49015.604370000001</v>
      </c>
      <c r="Q268" s="40">
        <v>1</v>
      </c>
      <c r="R268" s="42">
        <v>770.50114999998914</v>
      </c>
      <c r="S268" s="43">
        <v>1.5719507285552808E-2</v>
      </c>
      <c r="T268" s="41">
        <v>48564.772079999995</v>
      </c>
      <c r="U268" s="40">
        <v>1</v>
      </c>
      <c r="V268" s="42">
        <v>1221.3334399999949</v>
      </c>
      <c r="W268" s="44">
        <v>2.514854672823567E-2</v>
      </c>
    </row>
    <row r="269" spans="2:23" ht="18.399999999999999" x14ac:dyDescent="0.85">
      <c r="B269" s="48">
        <v>50001</v>
      </c>
      <c r="C269" s="49" t="s">
        <v>56</v>
      </c>
      <c r="D269" s="41">
        <v>742.72639000000061</v>
      </c>
      <c r="E269" s="40">
        <v>9.2675563780313594E-2</v>
      </c>
      <c r="F269" s="41">
        <v>775.9594100000005</v>
      </c>
      <c r="G269" s="40">
        <v>8.5282600072952575E-2</v>
      </c>
      <c r="H269" s="42">
        <v>-33.233019999999897</v>
      </c>
      <c r="I269" s="43">
        <v>-4.2828296907952798E-2</v>
      </c>
      <c r="J269" s="41">
        <v>930.98288839333088</v>
      </c>
      <c r="K269" s="40">
        <v>0.120997636649611</v>
      </c>
      <c r="L269" s="42">
        <v>-188.25649839333028</v>
      </c>
      <c r="M269" s="44">
        <v>-0.20221263004975212</v>
      </c>
      <c r="N269" s="39">
        <v>1304.2209499999997</v>
      </c>
      <c r="O269" s="40">
        <v>2.6196484669323457E-2</v>
      </c>
      <c r="P269" s="41">
        <v>1755.1074399999939</v>
      </c>
      <c r="Q269" s="40">
        <v>3.5807116173685441E-2</v>
      </c>
      <c r="R269" s="42">
        <v>-450.88648999999418</v>
      </c>
      <c r="S269" s="43">
        <v>-0.2568996516817203</v>
      </c>
      <c r="T269" s="41">
        <v>1522.1881768012572</v>
      </c>
      <c r="U269" s="40">
        <v>3.1343463823814109E-2</v>
      </c>
      <c r="V269" s="42">
        <v>-217.96722680125754</v>
      </c>
      <c r="W269" s="44">
        <v>-0.14319335159946928</v>
      </c>
    </row>
    <row r="270" spans="2:23" ht="18.399999999999999" x14ac:dyDescent="0.85">
      <c r="B270" s="48">
        <v>50001</v>
      </c>
      <c r="C270" s="49" t="s">
        <v>57</v>
      </c>
      <c r="D270" s="41">
        <v>2429.6987700000013</v>
      </c>
      <c r="E270" s="40">
        <v>0.30317180910467506</v>
      </c>
      <c r="F270" s="41">
        <v>2741.8329500000009</v>
      </c>
      <c r="G270" s="40">
        <v>0.30134391042656949</v>
      </c>
      <c r="H270" s="42">
        <v>-312.13417999999956</v>
      </c>
      <c r="I270" s="43">
        <v>-0.11384142859615115</v>
      </c>
      <c r="J270" s="41">
        <v>2491.9700827504307</v>
      </c>
      <c r="K270" s="40">
        <v>0.32387543785546724</v>
      </c>
      <c r="L270" s="42">
        <v>-62.271312750429388</v>
      </c>
      <c r="M270" s="44">
        <v>-2.4988788260932673E-2</v>
      </c>
      <c r="N270" s="39">
        <v>11873.795389999983</v>
      </c>
      <c r="O270" s="40">
        <v>0.2384961680770564</v>
      </c>
      <c r="P270" s="41">
        <v>11841.085609999996</v>
      </c>
      <c r="Q270" s="40">
        <v>0.24157787631498293</v>
      </c>
      <c r="R270" s="42">
        <v>32.709779999986495</v>
      </c>
      <c r="S270" s="43">
        <v>2.7623970535575332E-3</v>
      </c>
      <c r="T270" s="41">
        <v>10990.808699462128</v>
      </c>
      <c r="U270" s="40">
        <v>0.22631237064918455</v>
      </c>
      <c r="V270" s="42">
        <v>882.98669053785488</v>
      </c>
      <c r="W270" s="44">
        <v>8.0338646107184705E-2</v>
      </c>
    </row>
    <row r="271" spans="2:23" ht="18.399999999999999" x14ac:dyDescent="0.85">
      <c r="B271" s="48">
        <v>50001</v>
      </c>
      <c r="C271" s="49" t="s">
        <v>2</v>
      </c>
      <c r="D271" s="41">
        <v>-34.262030000000003</v>
      </c>
      <c r="E271" s="40">
        <v>-4.2751314471376409E-3</v>
      </c>
      <c r="F271" s="41">
        <v>-60.809899999999999</v>
      </c>
      <c r="G271" s="40">
        <v>-6.6833732735791362E-3</v>
      </c>
      <c r="H271" s="42">
        <v>26.547869999999996</v>
      </c>
      <c r="I271" s="43">
        <v>0.43657151220442719</v>
      </c>
      <c r="J271" s="41">
        <v>-68.94762999999999</v>
      </c>
      <c r="K271" s="40">
        <v>-8.9609598485629674E-3</v>
      </c>
      <c r="L271" s="42">
        <v>34.685599999999987</v>
      </c>
      <c r="M271" s="44">
        <v>0.50307167918607198</v>
      </c>
      <c r="N271" s="39">
        <v>-148.15267999999998</v>
      </c>
      <c r="O271" s="40">
        <v>-2.9757836740309869E-3</v>
      </c>
      <c r="P271" s="41">
        <v>-324.37</v>
      </c>
      <c r="Q271" s="40">
        <v>-6.6176884722557996E-3</v>
      </c>
      <c r="R271" s="42">
        <v>176.21732000000003</v>
      </c>
      <c r="S271" s="43">
        <v>0.54326022751795799</v>
      </c>
      <c r="T271" s="41">
        <v>-195.80557000000002</v>
      </c>
      <c r="U271" s="40">
        <v>-4.0318436927378664E-3</v>
      </c>
      <c r="V271" s="42">
        <v>47.652890000000042</v>
      </c>
      <c r="W271" s="44">
        <v>0.24336840877407132</v>
      </c>
    </row>
    <row r="272" spans="2:23" ht="18.399999999999999" x14ac:dyDescent="0.85">
      <c r="B272" s="48">
        <v>50001</v>
      </c>
      <c r="C272" s="49" t="s">
        <v>58</v>
      </c>
      <c r="D272" s="41">
        <v>-146.87476999999998</v>
      </c>
      <c r="E272" s="40">
        <v>-1.8326670895393762E-2</v>
      </c>
      <c r="F272" s="41">
        <v>-170.92033000000001</v>
      </c>
      <c r="G272" s="40">
        <v>-1.8785170925019221E-2</v>
      </c>
      <c r="H272" s="42">
        <v>24.045560000000023</v>
      </c>
      <c r="I272" s="43">
        <v>0.14068285498863722</v>
      </c>
      <c r="J272" s="41">
        <v>-131.68036445938978</v>
      </c>
      <c r="K272" s="40">
        <v>-1.7114184472544307E-2</v>
      </c>
      <c r="L272" s="42">
        <v>-15.194405540610205</v>
      </c>
      <c r="M272" s="44">
        <v>-0.11538854409304251</v>
      </c>
      <c r="N272" s="39">
        <v>-861.64697000000001</v>
      </c>
      <c r="O272" s="40">
        <v>-1.7306976735785462E-2</v>
      </c>
      <c r="P272" s="41">
        <v>-923.82521000000008</v>
      </c>
      <c r="Q272" s="40">
        <v>-1.8847573581392527E-2</v>
      </c>
      <c r="R272" s="42">
        <v>62.178240000000073</v>
      </c>
      <c r="S272" s="43">
        <v>6.7305199432693627E-2</v>
      </c>
      <c r="T272" s="41">
        <v>-823.65049457802957</v>
      </c>
      <c r="U272" s="40">
        <v>-1.6959834449984505E-2</v>
      </c>
      <c r="V272" s="42">
        <v>-37.996475421970445</v>
      </c>
      <c r="W272" s="44">
        <v>-4.6131794580463036E-2</v>
      </c>
    </row>
    <row r="273" spans="2:23" ht="18.399999999999999" x14ac:dyDescent="0.85">
      <c r="B273" s="48">
        <v>50001</v>
      </c>
      <c r="C273" s="49" t="s">
        <v>59</v>
      </c>
      <c r="D273" s="41">
        <v>2248.5619700000011</v>
      </c>
      <c r="E273" s="40">
        <v>0.28057000676214361</v>
      </c>
      <c r="F273" s="41">
        <v>2510.1027200000008</v>
      </c>
      <c r="G273" s="40">
        <v>0.2758753662279711</v>
      </c>
      <c r="H273" s="42">
        <v>-261.54074999999966</v>
      </c>
      <c r="I273" s="43">
        <v>-0.10419523787456778</v>
      </c>
      <c r="J273" s="41">
        <v>2291.3420882910409</v>
      </c>
      <c r="K273" s="40">
        <v>0.29780029353435999</v>
      </c>
      <c r="L273" s="42">
        <v>-42.780118291039798</v>
      </c>
      <c r="M273" s="44">
        <v>-1.8670332339134326E-2</v>
      </c>
      <c r="N273" s="39">
        <v>10863.995739999982</v>
      </c>
      <c r="O273" s="40">
        <v>0.21821340766723993</v>
      </c>
      <c r="P273" s="41">
        <v>10592.890399999998</v>
      </c>
      <c r="Q273" s="40">
        <v>0.21611261426133463</v>
      </c>
      <c r="R273" s="42">
        <v>271.1053399999837</v>
      </c>
      <c r="S273" s="43">
        <v>2.5593141226117447E-2</v>
      </c>
      <c r="T273" s="41">
        <v>9971.3526348840969</v>
      </c>
      <c r="U273" s="40">
        <v>0.20532069250646215</v>
      </c>
      <c r="V273" s="42">
        <v>892.64310511588519</v>
      </c>
      <c r="W273" s="44">
        <v>8.9520763912514151E-2</v>
      </c>
    </row>
    <row r="274" spans="2:23" ht="18.399999999999999" x14ac:dyDescent="0.85">
      <c r="B274" s="48">
        <v>50001</v>
      </c>
      <c r="C274" s="49" t="s">
        <v>3</v>
      </c>
      <c r="D274" s="41">
        <v>-718.55228000000011</v>
      </c>
      <c r="E274" s="40">
        <v>-8.9659178065060685E-2</v>
      </c>
      <c r="F274" s="41">
        <v>-830.92986999999994</v>
      </c>
      <c r="G274" s="40">
        <v>-9.1324183815079216E-2</v>
      </c>
      <c r="H274" s="42">
        <v>112.37758999999983</v>
      </c>
      <c r="I274" s="43">
        <v>0.13524317040137193</v>
      </c>
      <c r="J274" s="41">
        <v>-836.8127800000002</v>
      </c>
      <c r="K274" s="40">
        <v>-0.10875857114079715</v>
      </c>
      <c r="L274" s="42">
        <v>118.26050000000009</v>
      </c>
      <c r="M274" s="44">
        <v>0.14132253094891795</v>
      </c>
      <c r="N274" s="39">
        <v>-2934.2887400000013</v>
      </c>
      <c r="O274" s="40">
        <v>-5.8937904649345264E-2</v>
      </c>
      <c r="P274" s="41">
        <v>-3490.0443800000003</v>
      </c>
      <c r="Q274" s="40">
        <v>-7.1202720538851128E-2</v>
      </c>
      <c r="R274" s="42">
        <v>555.75563999999895</v>
      </c>
      <c r="S274" s="43">
        <v>0.15924027877261518</v>
      </c>
      <c r="T274" s="41">
        <v>-3183.2015399999996</v>
      </c>
      <c r="U274" s="40">
        <v>-6.5545485002099071E-2</v>
      </c>
      <c r="V274" s="42">
        <v>248.91279999999824</v>
      </c>
      <c r="W274" s="44">
        <v>7.8195740003316999E-2</v>
      </c>
    </row>
    <row r="275" spans="2:23" ht="18.399999999999999" x14ac:dyDescent="0.85">
      <c r="B275" s="48">
        <v>50001</v>
      </c>
      <c r="C275" s="49" t="s">
        <v>4</v>
      </c>
      <c r="D275" s="41">
        <v>-251.76304999999996</v>
      </c>
      <c r="E275" s="40">
        <v>-3.1414371310815092E-2</v>
      </c>
      <c r="F275" s="41">
        <v>-249.09476999999998</v>
      </c>
      <c r="G275" s="40">
        <v>-2.7377011447253522E-2</v>
      </c>
      <c r="H275" s="42">
        <v>-2.6682799999999816</v>
      </c>
      <c r="I275" s="43">
        <v>-1.0711906958142805E-2</v>
      </c>
      <c r="J275" s="41">
        <v>-240.98836</v>
      </c>
      <c r="K275" s="40">
        <v>-3.13206852495298E-2</v>
      </c>
      <c r="L275" s="42">
        <v>-10.774689999999964</v>
      </c>
      <c r="M275" s="44">
        <v>-4.471041671888204E-2</v>
      </c>
      <c r="N275" s="39">
        <v>-1075.0468299999998</v>
      </c>
      <c r="O275" s="40">
        <v>-2.1593310397981094E-2</v>
      </c>
      <c r="P275" s="41">
        <v>-1116.08815</v>
      </c>
      <c r="Q275" s="40">
        <v>-2.2770057910029604E-2</v>
      </c>
      <c r="R275" s="42">
        <v>41.041320000000269</v>
      </c>
      <c r="S275" s="43">
        <v>3.677247178011904E-2</v>
      </c>
      <c r="T275" s="41">
        <v>-1056.34997</v>
      </c>
      <c r="U275" s="40">
        <v>-2.1751362659746268E-2</v>
      </c>
      <c r="V275" s="42">
        <v>-18.696859999999788</v>
      </c>
      <c r="W275" s="44">
        <v>-1.7699494041732957E-2</v>
      </c>
    </row>
    <row r="276" spans="2:23" ht="18.399999999999999" x14ac:dyDescent="0.85">
      <c r="B276" s="48">
        <v>50001</v>
      </c>
      <c r="C276" s="49" t="s">
        <v>60</v>
      </c>
      <c r="D276" s="41">
        <v>-427.23736000000002</v>
      </c>
      <c r="E276" s="40">
        <v>-5.3309622142297612E-2</v>
      </c>
      <c r="F276" s="41">
        <v>-251.39945</v>
      </c>
      <c r="G276" s="40">
        <v>-2.7630309622651814E-2</v>
      </c>
      <c r="H276" s="42">
        <v>-175.83791000000002</v>
      </c>
      <c r="I276" s="43">
        <v>-0.69943633528235649</v>
      </c>
      <c r="J276" s="41">
        <v>-398.87789000000004</v>
      </c>
      <c r="K276" s="40">
        <v>-5.1841212769307907E-2</v>
      </c>
      <c r="L276" s="42">
        <v>-28.359469999999988</v>
      </c>
      <c r="M276" s="44">
        <v>-7.1098124792025916E-2</v>
      </c>
      <c r="N276" s="39">
        <v>-1358.1909799999999</v>
      </c>
      <c r="O276" s="40">
        <v>-2.7280522664187696E-2</v>
      </c>
      <c r="P276" s="41">
        <v>-1370.8811999999998</v>
      </c>
      <c r="Q276" s="40">
        <v>-2.796826067167801E-2</v>
      </c>
      <c r="R276" s="42">
        <v>12.690219999999954</v>
      </c>
      <c r="S276" s="43">
        <v>9.2569801088525795E-3</v>
      </c>
      <c r="T276" s="41">
        <v>-1215.7289500000002</v>
      </c>
      <c r="U276" s="40">
        <v>-2.5033144354046358E-2</v>
      </c>
      <c r="V276" s="42">
        <v>-142.46202999999969</v>
      </c>
      <c r="W276" s="44">
        <v>-0.11718239497381358</v>
      </c>
    </row>
    <row r="277" spans="2:23" ht="18.399999999999999" x14ac:dyDescent="0.85">
      <c r="B277" s="48">
        <v>50001</v>
      </c>
      <c r="C277" s="49" t="s">
        <v>61</v>
      </c>
      <c r="D277" s="41">
        <v>851.0092800000009</v>
      </c>
      <c r="E277" s="40">
        <v>0.10618683524397023</v>
      </c>
      <c r="F277" s="41">
        <v>1178.6786300000008</v>
      </c>
      <c r="G277" s="40">
        <v>0.12954386134298654</v>
      </c>
      <c r="H277" s="42">
        <v>-327.66934999999989</v>
      </c>
      <c r="I277" s="43">
        <v>-0.27799719250021498</v>
      </c>
      <c r="J277" s="41">
        <v>814.66305829104067</v>
      </c>
      <c r="K277" s="40">
        <v>0.10587982437472512</v>
      </c>
      <c r="L277" s="42">
        <v>36.346221708960229</v>
      </c>
      <c r="M277" s="44">
        <v>4.4615036043496939E-2</v>
      </c>
      <c r="N277" s="39">
        <v>5496.4691899999816</v>
      </c>
      <c r="O277" s="40">
        <v>0.11040166995572588</v>
      </c>
      <c r="P277" s="41">
        <v>4615.8766699999978</v>
      </c>
      <c r="Q277" s="40">
        <v>9.4171575140775884E-2</v>
      </c>
      <c r="R277" s="42">
        <v>880.59251999998378</v>
      </c>
      <c r="S277" s="43">
        <v>0.19077470715871275</v>
      </c>
      <c r="T277" s="41">
        <v>4516.072174884097</v>
      </c>
      <c r="U277" s="40">
        <v>9.2990700490570441E-2</v>
      </c>
      <c r="V277" s="42">
        <v>980.39701511588464</v>
      </c>
      <c r="W277" s="44">
        <v>0.21709064362795444</v>
      </c>
    </row>
    <row r="278" spans="2:23" ht="18.399999999999999" x14ac:dyDescent="0.85">
      <c r="B278" s="48">
        <v>50001</v>
      </c>
      <c r="C278" s="49" t="s">
        <v>62</v>
      </c>
      <c r="D278" s="41">
        <v>-523.61538000000007</v>
      </c>
      <c r="E278" s="40">
        <v>-6.5335433342476365E-2</v>
      </c>
      <c r="F278" s="41">
        <v>-286.33170999999999</v>
      </c>
      <c r="G278" s="40">
        <v>-3.1469574822392599E-2</v>
      </c>
      <c r="H278" s="42">
        <v>-237.28367000000009</v>
      </c>
      <c r="I278" s="43">
        <v>-0.82870203233864703</v>
      </c>
      <c r="J278" s="41">
        <v>-240.35039000000003</v>
      </c>
      <c r="K278" s="40">
        <v>-3.1237769802623397E-2</v>
      </c>
      <c r="L278" s="42">
        <v>-283.26499000000001</v>
      </c>
      <c r="M278" s="44">
        <v>-1.1785501575429105</v>
      </c>
      <c r="N278" s="39">
        <v>-2354.2205800000006</v>
      </c>
      <c r="O278" s="40">
        <v>-4.7286698877345754E-2</v>
      </c>
      <c r="P278" s="41">
        <v>-1080.0708199999999</v>
      </c>
      <c r="Q278" s="40">
        <v>-2.2035244365181332E-2</v>
      </c>
      <c r="R278" s="42">
        <v>-1274.1497600000007</v>
      </c>
      <c r="S278" s="43">
        <v>-1.1796909391552683</v>
      </c>
      <c r="T278" s="41">
        <v>-980.34647000000007</v>
      </c>
      <c r="U278" s="40">
        <v>-2.0186370243539711E-2</v>
      </c>
      <c r="V278" s="42">
        <v>-1373.8741100000007</v>
      </c>
      <c r="W278" s="44">
        <v>-1.4014168990683473</v>
      </c>
    </row>
    <row r="279" spans="2:23" ht="18.399999999999999" x14ac:dyDescent="0.85">
      <c r="B279" s="48">
        <v>50001</v>
      </c>
      <c r="C279" s="50" t="s">
        <v>5</v>
      </c>
      <c r="D279" s="51">
        <v>327.39390000000083</v>
      </c>
      <c r="E279" s="52">
        <v>4.0851401901493854E-2</v>
      </c>
      <c r="F279" s="51">
        <v>892.34692000000086</v>
      </c>
      <c r="G279" s="52">
        <v>9.807428652059394E-2</v>
      </c>
      <c r="H279" s="53">
        <v>-564.95302000000004</v>
      </c>
      <c r="I279" s="54">
        <v>-0.63310917238331421</v>
      </c>
      <c r="J279" s="51">
        <v>574.31266829104061</v>
      </c>
      <c r="K279" s="52">
        <v>7.4642054572101726E-2</v>
      </c>
      <c r="L279" s="53">
        <v>-246.91876829103978</v>
      </c>
      <c r="M279" s="55">
        <v>-0.42993787517483489</v>
      </c>
      <c r="N279" s="56">
        <v>3142.248609999981</v>
      </c>
      <c r="O279" s="52">
        <v>6.3114971078380142E-2</v>
      </c>
      <c r="P279" s="51">
        <v>3535.8058499999979</v>
      </c>
      <c r="Q279" s="52">
        <v>7.2136330775594559E-2</v>
      </c>
      <c r="R279" s="53">
        <v>-393.55724000001692</v>
      </c>
      <c r="S279" s="54">
        <v>-0.11130623588962532</v>
      </c>
      <c r="T279" s="51">
        <v>3535.725704884097</v>
      </c>
      <c r="U279" s="52">
        <v>7.280433024703073E-2</v>
      </c>
      <c r="V279" s="53">
        <v>-393.47709488411601</v>
      </c>
      <c r="W279" s="55">
        <v>-0.11128609166163086</v>
      </c>
    </row>
    <row r="280" spans="2:23" ht="18.399999999999999" x14ac:dyDescent="0.85">
      <c r="B280" s="48">
        <v>70001</v>
      </c>
      <c r="C280" s="49" t="s">
        <v>1</v>
      </c>
      <c r="D280" s="41">
        <v>5912.3754499999995</v>
      </c>
      <c r="E280" s="40">
        <v>1</v>
      </c>
      <c r="F280" s="41">
        <v>6191.6589399999984</v>
      </c>
      <c r="G280" s="40">
        <v>1</v>
      </c>
      <c r="H280" s="42">
        <v>-279.28348999999889</v>
      </c>
      <c r="I280" s="43">
        <v>-4.5106407298332062E-2</v>
      </c>
      <c r="J280" s="41">
        <v>6127.94686</v>
      </c>
      <c r="K280" s="40">
        <v>1</v>
      </c>
      <c r="L280" s="42">
        <v>-215.57141000000047</v>
      </c>
      <c r="M280" s="44">
        <v>-3.5178407209621343E-2</v>
      </c>
      <c r="N280" s="39">
        <v>34834.616839999995</v>
      </c>
      <c r="O280" s="40">
        <v>1</v>
      </c>
      <c r="P280" s="41">
        <v>33972.844259999998</v>
      </c>
      <c r="Q280" s="40">
        <v>1</v>
      </c>
      <c r="R280" s="42">
        <v>861.77257999999711</v>
      </c>
      <c r="S280" s="43">
        <v>2.5366512541743751E-2</v>
      </c>
      <c r="T280" s="41">
        <v>33600.444799999997</v>
      </c>
      <c r="U280" s="40">
        <v>1</v>
      </c>
      <c r="V280" s="42">
        <v>1234.1720399999977</v>
      </c>
      <c r="W280" s="44">
        <v>3.6730824468133166E-2</v>
      </c>
    </row>
    <row r="281" spans="2:23" ht="18.399999999999999" x14ac:dyDescent="0.85">
      <c r="B281" s="48">
        <v>70001</v>
      </c>
      <c r="C281" s="49" t="s">
        <v>56</v>
      </c>
      <c r="D281" s="41">
        <v>431.28976999999946</v>
      </c>
      <c r="E281" s="40">
        <v>7.2946952311697233E-2</v>
      </c>
      <c r="F281" s="41">
        <v>578.32116999999982</v>
      </c>
      <c r="G281" s="40">
        <v>9.3403266491936324E-2</v>
      </c>
      <c r="H281" s="42">
        <v>-147.03140000000036</v>
      </c>
      <c r="I281" s="43">
        <v>-0.25423831536376301</v>
      </c>
      <c r="J281" s="41">
        <v>697.9733576986423</v>
      </c>
      <c r="K281" s="40">
        <v>0.11390003432546775</v>
      </c>
      <c r="L281" s="42">
        <v>-266.68358769864284</v>
      </c>
      <c r="M281" s="44">
        <v>-0.38208276112135847</v>
      </c>
      <c r="N281" s="39">
        <v>685.96074000000124</v>
      </c>
      <c r="O281" s="40">
        <v>1.9691927232922058E-2</v>
      </c>
      <c r="P281" s="41">
        <v>1368.9914799999995</v>
      </c>
      <c r="Q281" s="40">
        <v>4.0296640149493315E-2</v>
      </c>
      <c r="R281" s="42">
        <v>-683.03073999999822</v>
      </c>
      <c r="S281" s="43">
        <v>-0.49892986916178506</v>
      </c>
      <c r="T281" s="41">
        <v>1708.6027368896134</v>
      </c>
      <c r="U281" s="40">
        <v>5.0850598766169118E-2</v>
      </c>
      <c r="V281" s="42">
        <v>-1022.6419968896122</v>
      </c>
      <c r="W281" s="44">
        <v>-0.59852531826752031</v>
      </c>
    </row>
    <row r="282" spans="2:23" ht="18.399999999999999" x14ac:dyDescent="0.85">
      <c r="B282" s="48">
        <v>70001</v>
      </c>
      <c r="C282" s="49" t="s">
        <v>57</v>
      </c>
      <c r="D282" s="41">
        <v>1709.4106799999995</v>
      </c>
      <c r="E282" s="40">
        <v>0.28912417596889922</v>
      </c>
      <c r="F282" s="41">
        <v>1902.8097900000002</v>
      </c>
      <c r="G282" s="40">
        <v>0.30731824999391855</v>
      </c>
      <c r="H282" s="42">
        <v>-193.39911000000075</v>
      </c>
      <c r="I282" s="43">
        <v>-0.10163869821165926</v>
      </c>
      <c r="J282" s="41">
        <v>1948.1868576986406</v>
      </c>
      <c r="K282" s="40">
        <v>0.31791836682125546</v>
      </c>
      <c r="L282" s="42">
        <v>-238.77617769864105</v>
      </c>
      <c r="M282" s="44">
        <v>-0.1225632832677576</v>
      </c>
      <c r="N282" s="39">
        <v>7914.8957499999988</v>
      </c>
      <c r="O282" s="40">
        <v>0.22721351540492501</v>
      </c>
      <c r="P282" s="41">
        <v>8256.5650299999979</v>
      </c>
      <c r="Q282" s="40">
        <v>0.24303425897493572</v>
      </c>
      <c r="R282" s="42">
        <v>-341.66927999999916</v>
      </c>
      <c r="S282" s="43">
        <v>-4.1381528366645617E-2</v>
      </c>
      <c r="T282" s="41">
        <v>8209.6329368896186</v>
      </c>
      <c r="U282" s="40">
        <v>0.24433107911981031</v>
      </c>
      <c r="V282" s="42">
        <v>-294.73718688961981</v>
      </c>
      <c r="W282" s="44">
        <v>-3.5901384282996558E-2</v>
      </c>
    </row>
    <row r="283" spans="2:23" ht="18.399999999999999" x14ac:dyDescent="0.85">
      <c r="B283" s="48">
        <v>70001</v>
      </c>
      <c r="C283" s="49" t="s">
        <v>2</v>
      </c>
      <c r="D283" s="41">
        <v>-10.35262</v>
      </c>
      <c r="E283" s="40">
        <v>-1.7510085561294997E-3</v>
      </c>
      <c r="F283" s="41">
        <v>-41.665720000000007</v>
      </c>
      <c r="G283" s="40">
        <v>-6.7293306048927847E-3</v>
      </c>
      <c r="H283" s="42">
        <v>31.313100000000006</v>
      </c>
      <c r="I283" s="43">
        <v>0.7515314747951074</v>
      </c>
      <c r="J283" s="41">
        <v>-51.23534999999999</v>
      </c>
      <c r="K283" s="40">
        <v>-8.3609324902011294E-3</v>
      </c>
      <c r="L283" s="42">
        <v>40.882729999999988</v>
      </c>
      <c r="M283" s="44">
        <v>0.79793989891744654</v>
      </c>
      <c r="N283" s="39">
        <v>-106.51909000000001</v>
      </c>
      <c r="O283" s="40">
        <v>-3.0578516333122389E-3</v>
      </c>
      <c r="P283" s="41">
        <v>-223.78102999999999</v>
      </c>
      <c r="Q283" s="40">
        <v>-6.5870560700589395E-3</v>
      </c>
      <c r="R283" s="42">
        <v>117.26193999999998</v>
      </c>
      <c r="S283" s="43">
        <v>0.52400303993595876</v>
      </c>
      <c r="T283" s="41">
        <v>-186.46278000000001</v>
      </c>
      <c r="U283" s="40">
        <v>-5.5494140363284723E-3</v>
      </c>
      <c r="V283" s="42">
        <v>79.943690000000004</v>
      </c>
      <c r="W283" s="44">
        <v>0.42873805699990097</v>
      </c>
    </row>
    <row r="284" spans="2:23" ht="18.399999999999999" x14ac:dyDescent="0.85">
      <c r="B284" s="48">
        <v>70001</v>
      </c>
      <c r="C284" s="49" t="s">
        <v>58</v>
      </c>
      <c r="D284" s="41">
        <v>-97.835329999999999</v>
      </c>
      <c r="E284" s="40">
        <v>-1.6547550274399438E-2</v>
      </c>
      <c r="F284" s="41">
        <v>-108.10892</v>
      </c>
      <c r="G284" s="40">
        <v>-1.7460412637004846E-2</v>
      </c>
      <c r="H284" s="42">
        <v>10.273589999999999</v>
      </c>
      <c r="I284" s="43">
        <v>9.5029993824746362E-2</v>
      </c>
      <c r="J284" s="41">
        <v>-100.03441000000002</v>
      </c>
      <c r="K284" s="40">
        <v>-1.6324294626797731E-2</v>
      </c>
      <c r="L284" s="42">
        <v>2.1990800000000235</v>
      </c>
      <c r="M284" s="44">
        <v>2.1983235568641062E-2</v>
      </c>
      <c r="N284" s="39">
        <v>-553.34641999999997</v>
      </c>
      <c r="O284" s="40">
        <v>-1.5884957843560997E-2</v>
      </c>
      <c r="P284" s="41">
        <v>-600.40494000000012</v>
      </c>
      <c r="Q284" s="40">
        <v>-1.7673084284759857E-2</v>
      </c>
      <c r="R284" s="42">
        <v>47.058520000000158</v>
      </c>
      <c r="S284" s="43">
        <v>7.8377969375135637E-2</v>
      </c>
      <c r="T284" s="41">
        <v>-546.5751600000001</v>
      </c>
      <c r="U284" s="40">
        <v>-1.6266902514338148E-2</v>
      </c>
      <c r="V284" s="42">
        <v>-6.7712599999998702</v>
      </c>
      <c r="W284" s="44">
        <v>-1.2388524937722873E-2</v>
      </c>
    </row>
    <row r="285" spans="2:23" ht="18.399999999999999" x14ac:dyDescent="0.85">
      <c r="B285" s="48">
        <v>70001</v>
      </c>
      <c r="C285" s="49" t="s">
        <v>59</v>
      </c>
      <c r="D285" s="41">
        <v>1601.2227299999995</v>
      </c>
      <c r="E285" s="40">
        <v>0.27082561713837028</v>
      </c>
      <c r="F285" s="41">
        <v>1753.0351499999999</v>
      </c>
      <c r="G285" s="40">
        <v>0.28312850675202089</v>
      </c>
      <c r="H285" s="42">
        <v>-151.81242000000043</v>
      </c>
      <c r="I285" s="43">
        <v>-8.6599758139476235E-2</v>
      </c>
      <c r="J285" s="41">
        <v>1796.9170976986406</v>
      </c>
      <c r="K285" s="40">
        <v>0.29323313970425663</v>
      </c>
      <c r="L285" s="42">
        <v>-195.69436769864114</v>
      </c>
      <c r="M285" s="44">
        <v>-0.1089056183778718</v>
      </c>
      <c r="N285" s="39">
        <v>7255.0302399999991</v>
      </c>
      <c r="O285" s="40">
        <v>0.20827070592805177</v>
      </c>
      <c r="P285" s="41">
        <v>7432.3790599999975</v>
      </c>
      <c r="Q285" s="40">
        <v>0.21877411862011692</v>
      </c>
      <c r="R285" s="42">
        <v>-177.34881999999834</v>
      </c>
      <c r="S285" s="43">
        <v>-2.386164895093475E-2</v>
      </c>
      <c r="T285" s="41">
        <v>7476.5949968896175</v>
      </c>
      <c r="U285" s="40">
        <v>0.22251476256914368</v>
      </c>
      <c r="V285" s="42">
        <v>-221.56475688961837</v>
      </c>
      <c r="W285" s="44">
        <v>-2.9634446827973539E-2</v>
      </c>
    </row>
    <row r="286" spans="2:23" ht="18.399999999999999" x14ac:dyDescent="0.85">
      <c r="B286" s="48">
        <v>70001</v>
      </c>
      <c r="C286" s="49" t="s">
        <v>3</v>
      </c>
      <c r="D286" s="41">
        <v>-431.97140000000013</v>
      </c>
      <c r="E286" s="40">
        <v>-7.3062240998243808E-2</v>
      </c>
      <c r="F286" s="41">
        <v>-424.32005000000004</v>
      </c>
      <c r="G286" s="40">
        <v>-6.85309145920108E-2</v>
      </c>
      <c r="H286" s="42">
        <v>-7.6513500000000931</v>
      </c>
      <c r="I286" s="43">
        <v>-1.8032025590117864E-2</v>
      </c>
      <c r="J286" s="41">
        <v>-468.51099999999997</v>
      </c>
      <c r="K286" s="40">
        <v>-7.6454807899558053E-2</v>
      </c>
      <c r="L286" s="42">
        <v>36.539599999999837</v>
      </c>
      <c r="M286" s="44">
        <v>7.7990911632810841E-2</v>
      </c>
      <c r="N286" s="39">
        <v>-1696.0322700000006</v>
      </c>
      <c r="O286" s="40">
        <v>-4.8688127611395904E-2</v>
      </c>
      <c r="P286" s="41">
        <v>-1775.7627900000002</v>
      </c>
      <c r="Q286" s="40">
        <v>-5.2270065361904448E-2</v>
      </c>
      <c r="R286" s="42">
        <v>79.730519999999615</v>
      </c>
      <c r="S286" s="43">
        <v>4.4899307750445434E-2</v>
      </c>
      <c r="T286" s="41">
        <v>-1744.7104700000002</v>
      </c>
      <c r="U286" s="40">
        <v>-5.1925219454237712E-2</v>
      </c>
      <c r="V286" s="42">
        <v>48.678199999999606</v>
      </c>
      <c r="W286" s="44">
        <v>2.7900445854491605E-2</v>
      </c>
    </row>
    <row r="287" spans="2:23" ht="18.399999999999999" x14ac:dyDescent="0.85">
      <c r="B287" s="48">
        <v>70001</v>
      </c>
      <c r="C287" s="49" t="s">
        <v>4</v>
      </c>
      <c r="D287" s="41">
        <v>-126.12456</v>
      </c>
      <c r="E287" s="40">
        <v>-2.1332298847834504E-2</v>
      </c>
      <c r="F287" s="41">
        <v>-123.38284000000004</v>
      </c>
      <c r="G287" s="40">
        <v>-1.9927266859437201E-2</v>
      </c>
      <c r="H287" s="42">
        <v>-2.7417199999999582</v>
      </c>
      <c r="I287" s="43">
        <v>-2.2221242435333449E-2</v>
      </c>
      <c r="J287" s="41">
        <v>-54.780340000000045</v>
      </c>
      <c r="K287" s="40">
        <v>-8.9394280419722912E-3</v>
      </c>
      <c r="L287" s="42">
        <v>-71.34421999999995</v>
      </c>
      <c r="M287" s="44">
        <v>-1.3023690616012951</v>
      </c>
      <c r="N287" s="39">
        <v>-617.72527000000002</v>
      </c>
      <c r="O287" s="40">
        <v>-1.7733086396135602E-2</v>
      </c>
      <c r="P287" s="41">
        <v>-571.97031000000027</v>
      </c>
      <c r="Q287" s="40">
        <v>-1.6836103142339614E-2</v>
      </c>
      <c r="R287" s="42">
        <v>-45.754959999999755</v>
      </c>
      <c r="S287" s="43">
        <v>-7.999534101691351E-2</v>
      </c>
      <c r="T287" s="41">
        <v>-275.45605999999992</v>
      </c>
      <c r="U287" s="40">
        <v>-8.1979884980570242E-3</v>
      </c>
      <c r="V287" s="42">
        <v>-342.2692100000001</v>
      </c>
      <c r="W287" s="44">
        <v>-1.2425546564486554</v>
      </c>
    </row>
    <row r="288" spans="2:23" ht="18.399999999999999" x14ac:dyDescent="0.85">
      <c r="B288" s="48">
        <v>70001</v>
      </c>
      <c r="C288" s="49" t="s">
        <v>60</v>
      </c>
      <c r="D288" s="41">
        <v>-153.61408</v>
      </c>
      <c r="E288" s="40">
        <v>-2.5981787066651867E-2</v>
      </c>
      <c r="F288" s="41">
        <v>-161.07474999999999</v>
      </c>
      <c r="G288" s="40">
        <v>-2.6014796932597201E-2</v>
      </c>
      <c r="H288" s="42">
        <v>7.4606699999999933</v>
      </c>
      <c r="I288" s="43">
        <v>4.6318060403632434E-2</v>
      </c>
      <c r="J288" s="41">
        <v>-155.28217000000001</v>
      </c>
      <c r="K288" s="40">
        <v>-2.533999943987765E-2</v>
      </c>
      <c r="L288" s="42">
        <v>1.6680900000000065</v>
      </c>
      <c r="M288" s="44">
        <v>1.0742315102886613E-2</v>
      </c>
      <c r="N288" s="39">
        <v>-910.39049</v>
      </c>
      <c r="O288" s="40">
        <v>-2.6134649167566391E-2</v>
      </c>
      <c r="P288" s="41">
        <v>-887.47046999999998</v>
      </c>
      <c r="Q288" s="40">
        <v>-2.6122936990734022E-2</v>
      </c>
      <c r="R288" s="42">
        <v>-22.920020000000022</v>
      </c>
      <c r="S288" s="43">
        <v>-2.5826233970353992E-2</v>
      </c>
      <c r="T288" s="41">
        <v>-855.96045000000004</v>
      </c>
      <c r="U288" s="40">
        <v>-2.5474676156668024E-2</v>
      </c>
      <c r="V288" s="42">
        <v>-54.430039999999963</v>
      </c>
      <c r="W288" s="44">
        <v>-6.3589433366927128E-2</v>
      </c>
    </row>
    <row r="289" spans="2:23" ht="18.399999999999999" x14ac:dyDescent="0.85">
      <c r="B289" s="48">
        <v>70001</v>
      </c>
      <c r="C289" s="49" t="s">
        <v>61</v>
      </c>
      <c r="D289" s="41">
        <v>889.51268999999934</v>
      </c>
      <c r="E289" s="40">
        <v>0.15044929022564008</v>
      </c>
      <c r="F289" s="41">
        <v>1044.2575099999999</v>
      </c>
      <c r="G289" s="40">
        <v>0.16865552836797568</v>
      </c>
      <c r="H289" s="42">
        <v>-154.74482000000057</v>
      </c>
      <c r="I289" s="43">
        <v>-0.1481864564229953</v>
      </c>
      <c r="J289" s="41">
        <v>1118.3435876986407</v>
      </c>
      <c r="K289" s="40">
        <v>0.18249890432284863</v>
      </c>
      <c r="L289" s="42">
        <v>-228.83089769864137</v>
      </c>
      <c r="M289" s="44">
        <v>-0.20461591608848592</v>
      </c>
      <c r="N289" s="39">
        <v>4030.8822099999988</v>
      </c>
      <c r="O289" s="40">
        <v>0.11571484275295389</v>
      </c>
      <c r="P289" s="41">
        <v>4197.1754899999969</v>
      </c>
      <c r="Q289" s="40">
        <v>0.12354501312513883</v>
      </c>
      <c r="R289" s="42">
        <v>-166.29327999999805</v>
      </c>
      <c r="S289" s="43">
        <v>-3.9620282829774693E-2</v>
      </c>
      <c r="T289" s="41">
        <v>4600.4680168896175</v>
      </c>
      <c r="U289" s="40">
        <v>0.13691687846018091</v>
      </c>
      <c r="V289" s="42">
        <v>-569.58580688961865</v>
      </c>
      <c r="W289" s="44">
        <v>-0.12381040468024303</v>
      </c>
    </row>
    <row r="290" spans="2:23" ht="18.399999999999999" x14ac:dyDescent="0.85">
      <c r="B290" s="48">
        <v>70001</v>
      </c>
      <c r="C290" s="49" t="s">
        <v>62</v>
      </c>
      <c r="D290" s="41">
        <v>-66.812290000000004</v>
      </c>
      <c r="E290" s="40">
        <v>-1.1300413947832086E-2</v>
      </c>
      <c r="F290" s="41">
        <v>-82.900660000000016</v>
      </c>
      <c r="G290" s="40">
        <v>-1.3389086964147291E-2</v>
      </c>
      <c r="H290" s="42">
        <v>16.088370000000012</v>
      </c>
      <c r="I290" s="43">
        <v>0.19406805687674875</v>
      </c>
      <c r="J290" s="41">
        <v>-73.95353999999999</v>
      </c>
      <c r="K290" s="40">
        <v>-1.206824107479287E-2</v>
      </c>
      <c r="L290" s="42">
        <v>7.1412499999999852</v>
      </c>
      <c r="M290" s="44">
        <v>9.6564004914436632E-2</v>
      </c>
      <c r="N290" s="39">
        <v>-267.48011000000002</v>
      </c>
      <c r="O290" s="40">
        <v>-7.6785718995725305E-3</v>
      </c>
      <c r="P290" s="41">
        <v>-331.81886000000009</v>
      </c>
      <c r="Q290" s="40">
        <v>-9.7671792641361877E-3</v>
      </c>
      <c r="R290" s="42">
        <v>64.338750000000061</v>
      </c>
      <c r="S290" s="43">
        <v>0.19389720644570971</v>
      </c>
      <c r="T290" s="41">
        <v>-295.98121999999995</v>
      </c>
      <c r="U290" s="40">
        <v>-8.808848268580062E-3</v>
      </c>
      <c r="V290" s="42">
        <v>28.501109999999926</v>
      </c>
      <c r="W290" s="44">
        <v>9.6293643225066547E-2</v>
      </c>
    </row>
    <row r="291" spans="2:23" ht="18.399999999999999" x14ac:dyDescent="0.85">
      <c r="B291" s="48">
        <v>70001</v>
      </c>
      <c r="C291" s="50" t="s">
        <v>5</v>
      </c>
      <c r="D291" s="51">
        <v>822.70039999999938</v>
      </c>
      <c r="E291" s="52">
        <v>0.139148876277808</v>
      </c>
      <c r="F291" s="51">
        <v>961.35684999999989</v>
      </c>
      <c r="G291" s="52">
        <v>0.15526644140382839</v>
      </c>
      <c r="H291" s="53">
        <v>-138.65645000000052</v>
      </c>
      <c r="I291" s="54">
        <v>-0.14422994957595667</v>
      </c>
      <c r="J291" s="51">
        <v>1044.3900476986407</v>
      </c>
      <c r="K291" s="52">
        <v>0.17043066324805575</v>
      </c>
      <c r="L291" s="53">
        <v>-221.68964769864135</v>
      </c>
      <c r="M291" s="55">
        <v>-0.21226710096208232</v>
      </c>
      <c r="N291" s="56">
        <v>3763.4020999999989</v>
      </c>
      <c r="O291" s="52">
        <v>0.10803627085338136</v>
      </c>
      <c r="P291" s="51">
        <v>3865.3566299999966</v>
      </c>
      <c r="Q291" s="52">
        <v>0.11377783386100263</v>
      </c>
      <c r="R291" s="53">
        <v>-101.9545299999977</v>
      </c>
      <c r="S291" s="54">
        <v>-2.6376487284175326E-2</v>
      </c>
      <c r="T291" s="51">
        <v>4304.4867968896178</v>
      </c>
      <c r="U291" s="52">
        <v>0.12810803019160086</v>
      </c>
      <c r="V291" s="53">
        <v>-541.08469688961895</v>
      </c>
      <c r="W291" s="55">
        <v>-0.12570248729316622</v>
      </c>
    </row>
  </sheetData>
  <autoFilter ref="B3:W291" xr:uid="{416FF71A-5A0D-43D9-BA38-2536DD935DDA}"/>
  <sortState xmlns:xlrd2="http://schemas.microsoft.com/office/spreadsheetml/2017/richdata2" ref="A4:W291">
    <sortCondition ref="A4:A291"/>
  </sortState>
  <conditionalFormatting sqref="H4:I291">
    <cfRule type="cellIs" dxfId="3" priority="3" operator="lessThan">
      <formula>0</formula>
    </cfRule>
  </conditionalFormatting>
  <conditionalFormatting sqref="L4:M291">
    <cfRule type="cellIs" dxfId="2" priority="4" operator="lessThan">
      <formula>0</formula>
    </cfRule>
  </conditionalFormatting>
  <conditionalFormatting sqref="R4:S291">
    <cfRule type="cellIs" dxfId="1" priority="1" operator="lessThan">
      <formula>0</formula>
    </cfRule>
  </conditionalFormatting>
  <conditionalFormatting sqref="V4:W291"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78CF-9928-4D70-B003-017C1A96C172}">
  <sheetPr>
    <tabColor rgb="FFC00000"/>
  </sheetPr>
  <dimension ref="B3:G279"/>
  <sheetViews>
    <sheetView showGridLines="0" workbookViewId="0">
      <pane ySplit="3" topLeftCell="A4" activePane="bottomLeft" state="frozen"/>
      <selection activeCell="B3" sqref="B3"/>
      <selection pane="bottomLeft" activeCell="B3" sqref="B3"/>
    </sheetView>
  </sheetViews>
  <sheetFormatPr defaultRowHeight="14.25" x14ac:dyDescent="0.45"/>
  <cols>
    <col min="2" max="2" width="8.73046875" style="18"/>
    <col min="3" max="3" width="16.73046875" bestFit="1" customWidth="1"/>
  </cols>
  <sheetData>
    <row r="3" spans="2:7" ht="18.399999999999999" x14ac:dyDescent="0.45">
      <c r="B3" s="58" t="s">
        <v>50</v>
      </c>
      <c r="C3" s="58" t="s">
        <v>89</v>
      </c>
      <c r="D3" s="47" t="s">
        <v>87</v>
      </c>
      <c r="E3" s="46" t="s">
        <v>51</v>
      </c>
      <c r="F3" s="47" t="s">
        <v>88</v>
      </c>
      <c r="G3" s="46" t="s">
        <v>51</v>
      </c>
    </row>
    <row r="4" spans="2:7" ht="18.399999999999999" x14ac:dyDescent="0.85">
      <c r="B4" s="59">
        <v>102</v>
      </c>
      <c r="C4" s="60" t="s">
        <v>1</v>
      </c>
      <c r="D4" s="41">
        <v>31165.077729999997</v>
      </c>
      <c r="E4" s="40">
        <v>1</v>
      </c>
      <c r="F4" s="41">
        <v>31823.048059999997</v>
      </c>
      <c r="G4" s="40">
        <v>1</v>
      </c>
    </row>
    <row r="5" spans="2:7" ht="18.399999999999999" x14ac:dyDescent="0.85">
      <c r="B5" s="59">
        <v>102</v>
      </c>
      <c r="C5" s="60" t="s">
        <v>56</v>
      </c>
      <c r="D5" s="41">
        <v>2234.130959999999</v>
      </c>
      <c r="E5" s="40">
        <v>7.168700105148107E-2</v>
      </c>
      <c r="F5" s="41">
        <v>2183.8486761996128</v>
      </c>
      <c r="G5" s="40">
        <v>6.8624748706727523E-2</v>
      </c>
    </row>
    <row r="6" spans="2:7" ht="18.399999999999999" x14ac:dyDescent="0.85">
      <c r="B6" s="59">
        <v>102</v>
      </c>
      <c r="C6" s="60" t="s">
        <v>57</v>
      </c>
      <c r="D6" s="41">
        <v>8367.7315999999992</v>
      </c>
      <c r="E6" s="40">
        <v>0.26849705534169382</v>
      </c>
      <c r="F6" s="41">
        <v>8214.5103861996085</v>
      </c>
      <c r="G6" s="40">
        <v>0.25813084814225712</v>
      </c>
    </row>
    <row r="7" spans="2:7" ht="18.399999999999999" x14ac:dyDescent="0.85">
      <c r="B7" s="59">
        <v>102</v>
      </c>
      <c r="C7" s="60" t="s">
        <v>2</v>
      </c>
      <c r="D7" s="41">
        <v>-190.11865</v>
      </c>
      <c r="E7" s="40">
        <v>-6.1003746452070861E-3</v>
      </c>
      <c r="F7" s="41">
        <v>-207.34935000000002</v>
      </c>
      <c r="G7" s="40">
        <v>-6.5156973527192678E-3</v>
      </c>
    </row>
    <row r="8" spans="2:7" ht="18.399999999999999" x14ac:dyDescent="0.85">
      <c r="B8" s="59">
        <v>102</v>
      </c>
      <c r="C8" s="60" t="s">
        <v>58</v>
      </c>
      <c r="D8" s="41">
        <v>-572.10532999999998</v>
      </c>
      <c r="E8" s="40">
        <v>-1.8357256636946626E-2</v>
      </c>
      <c r="F8" s="41">
        <v>-552.42656999999997</v>
      </c>
      <c r="G8" s="40">
        <v>-1.7359322996290005E-2</v>
      </c>
    </row>
    <row r="9" spans="2:7" ht="18.399999999999999" x14ac:dyDescent="0.85">
      <c r="B9" s="59">
        <v>102</v>
      </c>
      <c r="C9" s="60" t="s">
        <v>59</v>
      </c>
      <c r="D9" s="41">
        <v>7605.5076199999994</v>
      </c>
      <c r="E9" s="40">
        <v>0.24403942405954013</v>
      </c>
      <c r="F9" s="41">
        <v>7454.7344661996085</v>
      </c>
      <c r="G9" s="40">
        <v>0.23425582779324783</v>
      </c>
    </row>
    <row r="10" spans="2:7" ht="18.399999999999999" x14ac:dyDescent="0.85">
      <c r="B10" s="59">
        <v>102</v>
      </c>
      <c r="C10" s="60" t="s">
        <v>3</v>
      </c>
      <c r="D10" s="41">
        <v>-2308.5019899999998</v>
      </c>
      <c r="E10" s="40">
        <v>-7.4073358969286296E-2</v>
      </c>
      <c r="F10" s="41">
        <v>-2352.1621799999994</v>
      </c>
      <c r="G10" s="40">
        <v>-7.3913792782048154E-2</v>
      </c>
    </row>
    <row r="11" spans="2:7" ht="18.399999999999999" x14ac:dyDescent="0.85">
      <c r="B11" s="59">
        <v>102</v>
      </c>
      <c r="C11" s="60" t="s">
        <v>4</v>
      </c>
      <c r="D11" s="41">
        <v>-849.83183000000008</v>
      </c>
      <c r="E11" s="40">
        <v>-2.7268721655776217E-2</v>
      </c>
      <c r="F11" s="41">
        <v>-875.27895999999998</v>
      </c>
      <c r="G11" s="40">
        <v>-2.7504560793476678E-2</v>
      </c>
    </row>
    <row r="12" spans="2:7" ht="18.399999999999999" x14ac:dyDescent="0.85">
      <c r="B12" s="59">
        <v>102</v>
      </c>
      <c r="C12" s="60" t="s">
        <v>60</v>
      </c>
      <c r="D12" s="41">
        <v>-2482.3008000000004</v>
      </c>
      <c r="E12" s="40">
        <v>-7.9650075687457647E-2</v>
      </c>
      <c r="F12" s="41">
        <v>-2482.3008000000004</v>
      </c>
      <c r="G12" s="40">
        <v>-7.8003238260515029E-2</v>
      </c>
    </row>
    <row r="13" spans="2:7" ht="18.399999999999999" x14ac:dyDescent="0.85">
      <c r="B13" s="59">
        <v>102</v>
      </c>
      <c r="C13" s="60" t="s">
        <v>61</v>
      </c>
      <c r="D13" s="41">
        <v>1964.8729999999987</v>
      </c>
      <c r="E13" s="40">
        <v>6.304726774701995E-2</v>
      </c>
      <c r="F13" s="41">
        <v>1744.9925261996086</v>
      </c>
      <c r="G13" s="40">
        <v>5.4834235957207954E-2</v>
      </c>
    </row>
    <row r="14" spans="2:7" ht="18.399999999999999" x14ac:dyDescent="0.85">
      <c r="B14" s="59">
        <v>102</v>
      </c>
      <c r="C14" s="60" t="s">
        <v>62</v>
      </c>
      <c r="D14" s="41">
        <v>-1023.0989400000001</v>
      </c>
      <c r="E14" s="40">
        <v>-3.2828377611108885E-2</v>
      </c>
      <c r="F14" s="41">
        <v>-196.41293999999996</v>
      </c>
      <c r="G14" s="40">
        <v>-6.1720341693755395E-3</v>
      </c>
    </row>
    <row r="15" spans="2:7" ht="18.399999999999999" x14ac:dyDescent="0.85">
      <c r="B15" s="59">
        <v>102</v>
      </c>
      <c r="C15" s="60" t="s">
        <v>5</v>
      </c>
      <c r="D15" s="41">
        <v>941.7740599999986</v>
      </c>
      <c r="E15" s="40">
        <v>3.0218890135911069E-2</v>
      </c>
      <c r="F15" s="41">
        <v>1548.5795861996087</v>
      </c>
      <c r="G15" s="40">
        <v>4.8662201787832413E-2</v>
      </c>
    </row>
    <row r="16" spans="2:7" ht="18.399999999999999" x14ac:dyDescent="0.85">
      <c r="B16" s="59">
        <v>110</v>
      </c>
      <c r="C16" s="60" t="s">
        <v>1</v>
      </c>
      <c r="D16" s="41">
        <v>74279.883180000004</v>
      </c>
      <c r="E16" s="40">
        <v>1</v>
      </c>
      <c r="F16" s="41">
        <v>72771.664789999995</v>
      </c>
      <c r="G16" s="40">
        <v>1</v>
      </c>
    </row>
    <row r="17" spans="2:7" ht="18.399999999999999" x14ac:dyDescent="0.85">
      <c r="B17" s="59">
        <v>110</v>
      </c>
      <c r="C17" s="60" t="s">
        <v>56</v>
      </c>
      <c r="D17" s="41">
        <v>7450.6475099999998</v>
      </c>
      <c r="E17" s="40">
        <v>0.10030505152983467</v>
      </c>
      <c r="F17" s="41">
        <v>7812.0151695025106</v>
      </c>
      <c r="G17" s="40">
        <v>0.10734968331487187</v>
      </c>
    </row>
    <row r="18" spans="2:7" ht="18.399999999999999" x14ac:dyDescent="0.85">
      <c r="B18" s="59">
        <v>110</v>
      </c>
      <c r="C18" s="60" t="s">
        <v>57</v>
      </c>
      <c r="D18" s="41">
        <v>21497.114439999994</v>
      </c>
      <c r="E18" s="40">
        <v>0.2894069500339243</v>
      </c>
      <c r="F18" s="41">
        <v>21139.97180950252</v>
      </c>
      <c r="G18" s="40">
        <v>0.29049729548591413</v>
      </c>
    </row>
    <row r="19" spans="2:7" ht="18.399999999999999" x14ac:dyDescent="0.85">
      <c r="B19" s="59">
        <v>110</v>
      </c>
      <c r="C19" s="60" t="s">
        <v>2</v>
      </c>
      <c r="D19" s="41">
        <v>-398.49456000000004</v>
      </c>
      <c r="E19" s="40">
        <v>-5.3647709573578792E-3</v>
      </c>
      <c r="F19" s="41">
        <v>-352.47011000000003</v>
      </c>
      <c r="G19" s="40">
        <v>-4.8435075797308835E-3</v>
      </c>
    </row>
    <row r="20" spans="2:7" ht="18.399999999999999" x14ac:dyDescent="0.85">
      <c r="B20" s="59">
        <v>110</v>
      </c>
      <c r="C20" s="60" t="s">
        <v>58</v>
      </c>
      <c r="D20" s="41">
        <v>-1377.3990299999998</v>
      </c>
      <c r="E20" s="40">
        <v>-1.8543365592837483E-2</v>
      </c>
      <c r="F20" s="41">
        <v>-1234.98496</v>
      </c>
      <c r="G20" s="40">
        <v>-1.6970684449281789E-2</v>
      </c>
    </row>
    <row r="21" spans="2:7" ht="18.399999999999999" x14ac:dyDescent="0.85">
      <c r="B21" s="59">
        <v>110</v>
      </c>
      <c r="C21" s="60" t="s">
        <v>59</v>
      </c>
      <c r="D21" s="41">
        <v>19721.220849999991</v>
      </c>
      <c r="E21" s="40">
        <v>0.26549881348372889</v>
      </c>
      <c r="F21" s="41">
        <v>19552.516739502516</v>
      </c>
      <c r="G21" s="40">
        <v>0.26868310345690138</v>
      </c>
    </row>
    <row r="22" spans="2:7" ht="18.399999999999999" x14ac:dyDescent="0.85">
      <c r="B22" s="59">
        <v>110</v>
      </c>
      <c r="C22" s="60" t="s">
        <v>3</v>
      </c>
      <c r="D22" s="41">
        <v>-5261.5625499999996</v>
      </c>
      <c r="E22" s="40">
        <v>-7.0834286818273903E-2</v>
      </c>
      <c r="F22" s="41">
        <v>-5050.1942999999983</v>
      </c>
      <c r="G22" s="40">
        <v>-6.9397811834778542E-2</v>
      </c>
    </row>
    <row r="23" spans="2:7" ht="18.399999999999999" x14ac:dyDescent="0.85">
      <c r="B23" s="59">
        <v>110</v>
      </c>
      <c r="C23" s="60" t="s">
        <v>4</v>
      </c>
      <c r="D23" s="41">
        <v>-2071.1288799999998</v>
      </c>
      <c r="E23" s="40">
        <v>-2.7882769753165889E-2</v>
      </c>
      <c r="F23" s="41">
        <v>-2117.4764699999996</v>
      </c>
      <c r="G23" s="40">
        <v>-2.9097540589602879E-2</v>
      </c>
    </row>
    <row r="24" spans="2:7" ht="18.399999999999999" x14ac:dyDescent="0.85">
      <c r="B24" s="59">
        <v>110</v>
      </c>
      <c r="C24" s="60" t="s">
        <v>60</v>
      </c>
      <c r="D24" s="41">
        <v>-2707.4656799999998</v>
      </c>
      <c r="E24" s="40">
        <v>-3.6449514513089462E-2</v>
      </c>
      <c r="F24" s="41">
        <v>-2707.4656799999998</v>
      </c>
      <c r="G24" s="40">
        <v>-3.7204943542421876E-2</v>
      </c>
    </row>
    <row r="25" spans="2:7" ht="18.399999999999999" x14ac:dyDescent="0.85">
      <c r="B25" s="59">
        <v>110</v>
      </c>
      <c r="C25" s="60" t="s">
        <v>61</v>
      </c>
      <c r="D25" s="41">
        <v>9681.0637399999923</v>
      </c>
      <c r="E25" s="40">
        <v>0.13033224239919963</v>
      </c>
      <c r="F25" s="41">
        <v>9677.3802895025183</v>
      </c>
      <c r="G25" s="40">
        <v>0.13298280749009808</v>
      </c>
    </row>
    <row r="26" spans="2:7" ht="18.399999999999999" x14ac:dyDescent="0.85">
      <c r="B26" s="59">
        <v>110</v>
      </c>
      <c r="C26" s="60" t="s">
        <v>62</v>
      </c>
      <c r="D26" s="41">
        <v>-1726.1420300000002</v>
      </c>
      <c r="E26" s="40">
        <v>-2.3238351436513396E-2</v>
      </c>
      <c r="F26" s="41">
        <v>-2593.8084499999991</v>
      </c>
      <c r="G26" s="40">
        <v>-3.564310995887001E-2</v>
      </c>
    </row>
    <row r="27" spans="2:7" ht="18.399999999999999" x14ac:dyDescent="0.85">
      <c r="B27" s="59">
        <v>110</v>
      </c>
      <c r="C27" s="60" t="s">
        <v>5</v>
      </c>
      <c r="D27" s="41">
        <v>7954.9217099999923</v>
      </c>
      <c r="E27" s="40">
        <v>0.10709389096268625</v>
      </c>
      <c r="F27" s="41">
        <v>7083.5718395025197</v>
      </c>
      <c r="G27" s="40">
        <v>9.7339697531228078E-2</v>
      </c>
    </row>
    <row r="28" spans="2:7" ht="18.399999999999999" x14ac:dyDescent="0.85">
      <c r="B28" s="59">
        <v>201</v>
      </c>
      <c r="C28" s="60" t="s">
        <v>1</v>
      </c>
      <c r="D28" s="41">
        <v>106964.40358000001</v>
      </c>
      <c r="E28" s="40">
        <v>1</v>
      </c>
      <c r="F28" s="41">
        <v>110914.03635999998</v>
      </c>
      <c r="G28" s="40">
        <v>1</v>
      </c>
    </row>
    <row r="29" spans="2:7" ht="18.399999999999999" x14ac:dyDescent="0.85">
      <c r="B29" s="59">
        <v>201</v>
      </c>
      <c r="C29" s="60" t="s">
        <v>56</v>
      </c>
      <c r="D29" s="41">
        <v>6935.5108300000002</v>
      </c>
      <c r="E29" s="40">
        <v>6.4839428799440227E-2</v>
      </c>
      <c r="F29" s="41">
        <v>6778.5578948025759</v>
      </c>
      <c r="G29" s="40">
        <v>6.1115419808553589E-2</v>
      </c>
    </row>
    <row r="30" spans="2:7" ht="18.399999999999999" x14ac:dyDescent="0.85">
      <c r="B30" s="59">
        <v>201</v>
      </c>
      <c r="C30" s="60" t="s">
        <v>57</v>
      </c>
      <c r="D30" s="41">
        <v>28041.929459999992</v>
      </c>
      <c r="E30" s="40">
        <v>0.26216132209840337</v>
      </c>
      <c r="F30" s="41">
        <v>27675.568534802551</v>
      </c>
      <c r="G30" s="40">
        <v>0.24952268840865541</v>
      </c>
    </row>
    <row r="31" spans="2:7" ht="18.399999999999999" x14ac:dyDescent="0.85">
      <c r="B31" s="59">
        <v>201</v>
      </c>
      <c r="C31" s="60" t="s">
        <v>2</v>
      </c>
      <c r="D31" s="41">
        <v>-626.53607000000011</v>
      </c>
      <c r="E31" s="40">
        <v>-5.8574259195621646E-3</v>
      </c>
      <c r="F31" s="41">
        <v>-674.49849000000017</v>
      </c>
      <c r="G31" s="40">
        <v>-6.0812725975524159E-3</v>
      </c>
    </row>
    <row r="32" spans="2:7" ht="18.399999999999999" x14ac:dyDescent="0.85">
      <c r="B32" s="59">
        <v>201</v>
      </c>
      <c r="C32" s="60" t="s">
        <v>58</v>
      </c>
      <c r="D32" s="41">
        <v>-2029.5883899999999</v>
      </c>
      <c r="E32" s="40">
        <v>-1.8974428146855842E-2</v>
      </c>
      <c r="F32" s="41">
        <v>-1990.2527599999999</v>
      </c>
      <c r="G32" s="40">
        <v>-1.794410180457344E-2</v>
      </c>
    </row>
    <row r="33" spans="2:7" ht="18.399999999999999" x14ac:dyDescent="0.85">
      <c r="B33" s="59">
        <v>201</v>
      </c>
      <c r="C33" s="60" t="s">
        <v>59</v>
      </c>
      <c r="D33" s="41">
        <v>25385.805</v>
      </c>
      <c r="E33" s="40">
        <v>0.23732946803198543</v>
      </c>
      <c r="F33" s="41">
        <v>25010.817284802553</v>
      </c>
      <c r="G33" s="40">
        <v>0.22549731400652956</v>
      </c>
    </row>
    <row r="34" spans="2:7" ht="18.399999999999999" x14ac:dyDescent="0.85">
      <c r="B34" s="59">
        <v>201</v>
      </c>
      <c r="C34" s="60" t="s">
        <v>3</v>
      </c>
      <c r="D34" s="41">
        <v>-7535.2379499999988</v>
      </c>
      <c r="E34" s="40">
        <v>-7.04462204041955E-2</v>
      </c>
      <c r="F34" s="41">
        <v>-7510.5046499999971</v>
      </c>
      <c r="G34" s="40">
        <v>-6.7714645472126953E-2</v>
      </c>
    </row>
    <row r="35" spans="2:7" ht="18.399999999999999" x14ac:dyDescent="0.85">
      <c r="B35" s="59">
        <v>201</v>
      </c>
      <c r="C35" s="60" t="s">
        <v>4</v>
      </c>
      <c r="D35" s="41">
        <v>-2736.9836500000001</v>
      </c>
      <c r="E35" s="40">
        <v>-2.5587798916234559E-2</v>
      </c>
      <c r="F35" s="41">
        <v>-2968.2103999999999</v>
      </c>
      <c r="G35" s="40">
        <v>-2.6761359494355711E-2</v>
      </c>
    </row>
    <row r="36" spans="2:7" ht="18.399999999999999" x14ac:dyDescent="0.85">
      <c r="B36" s="59">
        <v>201</v>
      </c>
      <c r="C36" s="60" t="s">
        <v>60</v>
      </c>
      <c r="D36" s="41">
        <v>-6567.2127599999985</v>
      </c>
      <c r="E36" s="40">
        <v>-6.1396245294709641E-2</v>
      </c>
      <c r="F36" s="41">
        <v>-6567.2127599999985</v>
      </c>
      <c r="G36" s="40">
        <v>-5.9209933886856511E-2</v>
      </c>
    </row>
    <row r="37" spans="2:7" ht="18.399999999999999" x14ac:dyDescent="0.85">
      <c r="B37" s="59">
        <v>201</v>
      </c>
      <c r="C37" s="60" t="s">
        <v>61</v>
      </c>
      <c r="D37" s="41">
        <v>8546.370640000001</v>
      </c>
      <c r="E37" s="40">
        <v>7.9899203416845713E-2</v>
      </c>
      <c r="F37" s="41">
        <v>7964.8894748025596</v>
      </c>
      <c r="G37" s="40">
        <v>7.1811375153190402E-2</v>
      </c>
    </row>
    <row r="38" spans="2:7" ht="18.399999999999999" x14ac:dyDescent="0.85">
      <c r="B38" s="59">
        <v>201</v>
      </c>
      <c r="C38" s="60" t="s">
        <v>62</v>
      </c>
      <c r="D38" s="41">
        <v>-1333.34105</v>
      </c>
      <c r="E38" s="40">
        <v>-1.2465278217559337E-2</v>
      </c>
      <c r="F38" s="41">
        <v>-1372.32602</v>
      </c>
      <c r="G38" s="40">
        <v>-1.2372879619543945E-2</v>
      </c>
    </row>
    <row r="39" spans="2:7" ht="18.399999999999999" x14ac:dyDescent="0.85">
      <c r="B39" s="59">
        <v>201</v>
      </c>
      <c r="C39" s="60" t="s">
        <v>5</v>
      </c>
      <c r="D39" s="41">
        <v>7213.029590000001</v>
      </c>
      <c r="E39" s="40">
        <v>6.7433925199286385E-2</v>
      </c>
      <c r="F39" s="41">
        <v>6592.5634548025591</v>
      </c>
      <c r="G39" s="40">
        <v>5.9438495533646454E-2</v>
      </c>
    </row>
    <row r="40" spans="2:7" ht="18.399999999999999" x14ac:dyDescent="0.85">
      <c r="B40" s="59">
        <v>204</v>
      </c>
      <c r="C40" s="60" t="s">
        <v>1</v>
      </c>
      <c r="D40" s="41">
        <v>98498.129260000002</v>
      </c>
      <c r="E40" s="40">
        <v>1</v>
      </c>
      <c r="F40" s="41">
        <v>95907.068849999996</v>
      </c>
      <c r="G40" s="40">
        <v>1</v>
      </c>
    </row>
    <row r="41" spans="2:7" ht="18.399999999999999" x14ac:dyDescent="0.85">
      <c r="B41" s="59">
        <v>204</v>
      </c>
      <c r="C41" s="60" t="s">
        <v>56</v>
      </c>
      <c r="D41" s="41">
        <v>5766.8666499999945</v>
      </c>
      <c r="E41" s="40">
        <v>5.8547981503054937E-2</v>
      </c>
      <c r="F41" s="41">
        <v>4691.5239317860123</v>
      </c>
      <c r="G41" s="40">
        <v>4.8917394599178314E-2</v>
      </c>
    </row>
    <row r="42" spans="2:7" ht="18.399999999999999" x14ac:dyDescent="0.85">
      <c r="B42" s="59">
        <v>204</v>
      </c>
      <c r="C42" s="60" t="s">
        <v>57</v>
      </c>
      <c r="D42" s="41">
        <v>25832.393959999976</v>
      </c>
      <c r="E42" s="40">
        <v>0.26226278766992267</v>
      </c>
      <c r="F42" s="41">
        <v>23496.479421785989</v>
      </c>
      <c r="G42" s="40">
        <v>0.24499215442122221</v>
      </c>
    </row>
    <row r="43" spans="2:7" ht="18.399999999999999" x14ac:dyDescent="0.85">
      <c r="B43" s="59">
        <v>204</v>
      </c>
      <c r="C43" s="60" t="s">
        <v>2</v>
      </c>
      <c r="D43" s="41">
        <v>-644.26336000000003</v>
      </c>
      <c r="E43" s="40">
        <v>-6.5408689976169405E-3</v>
      </c>
      <c r="F43" s="41">
        <v>-292.46898000000004</v>
      </c>
      <c r="G43" s="40">
        <v>-3.0495038948320447E-3</v>
      </c>
    </row>
    <row r="44" spans="2:7" ht="18.399999999999999" x14ac:dyDescent="0.85">
      <c r="B44" s="59">
        <v>204</v>
      </c>
      <c r="C44" s="60" t="s">
        <v>58</v>
      </c>
      <c r="D44" s="41">
        <v>-1790.9119100000003</v>
      </c>
      <c r="E44" s="40">
        <v>-1.8182192123391807E-2</v>
      </c>
      <c r="F44" s="41">
        <v>-1690.6142399999999</v>
      </c>
      <c r="G44" s="40">
        <v>-1.762762912339803E-2</v>
      </c>
    </row>
    <row r="45" spans="2:7" ht="18.399999999999999" x14ac:dyDescent="0.85">
      <c r="B45" s="59">
        <v>204</v>
      </c>
      <c r="C45" s="60" t="s">
        <v>59</v>
      </c>
      <c r="D45" s="41">
        <v>23397.218689999972</v>
      </c>
      <c r="E45" s="40">
        <v>0.23753972654891387</v>
      </c>
      <c r="F45" s="41">
        <v>21513.396201785989</v>
      </c>
      <c r="G45" s="40">
        <v>0.22431502140299212</v>
      </c>
    </row>
    <row r="46" spans="2:7" ht="18.399999999999999" x14ac:dyDescent="0.85">
      <c r="B46" s="59">
        <v>204</v>
      </c>
      <c r="C46" s="60" t="s">
        <v>3</v>
      </c>
      <c r="D46" s="41">
        <v>-6724.1802500000003</v>
      </c>
      <c r="E46" s="40">
        <v>-6.8267085888002579E-2</v>
      </c>
      <c r="F46" s="41">
        <v>-6321.215949999998</v>
      </c>
      <c r="G46" s="40">
        <v>-6.5909802330487946E-2</v>
      </c>
    </row>
    <row r="47" spans="2:7" ht="18.399999999999999" x14ac:dyDescent="0.85">
      <c r="B47" s="59">
        <v>204</v>
      </c>
      <c r="C47" s="60" t="s">
        <v>4</v>
      </c>
      <c r="D47" s="41">
        <v>-2083.3710500000002</v>
      </c>
      <c r="E47" s="40">
        <v>-2.1151376839865073E-2</v>
      </c>
      <c r="F47" s="41">
        <v>-2151.0550899999998</v>
      </c>
      <c r="G47" s="40">
        <v>-2.242853541238217E-2</v>
      </c>
    </row>
    <row r="48" spans="2:7" ht="18.399999999999999" x14ac:dyDescent="0.85">
      <c r="B48" s="59">
        <v>204</v>
      </c>
      <c r="C48" s="60" t="s">
        <v>60</v>
      </c>
      <c r="D48" s="41">
        <v>-1500</v>
      </c>
      <c r="E48" s="40">
        <v>-1.5228715624035192E-2</v>
      </c>
      <c r="F48" s="41">
        <v>-1500</v>
      </c>
      <c r="G48" s="40">
        <v>-1.564014016887557E-2</v>
      </c>
    </row>
    <row r="49" spans="2:7" ht="18.399999999999999" x14ac:dyDescent="0.85">
      <c r="B49" s="59">
        <v>204</v>
      </c>
      <c r="C49" s="60" t="s">
        <v>61</v>
      </c>
      <c r="D49" s="41">
        <v>13089.667389999971</v>
      </c>
      <c r="E49" s="40">
        <v>0.13289254819701102</v>
      </c>
      <c r="F49" s="41">
        <v>11541.125161785991</v>
      </c>
      <c r="G49" s="40">
        <v>0.12033654349124644</v>
      </c>
    </row>
    <row r="50" spans="2:7" ht="18.399999999999999" x14ac:dyDescent="0.85">
      <c r="B50" s="59">
        <v>204</v>
      </c>
      <c r="C50" s="60" t="s">
        <v>62</v>
      </c>
      <c r="D50" s="41">
        <v>-2568.4252800000004</v>
      </c>
      <c r="E50" s="40">
        <v>-2.6075878793801979E-2</v>
      </c>
      <c r="F50" s="41">
        <v>-2696.42308</v>
      </c>
      <c r="G50" s="40">
        <v>-2.8114956617194126E-2</v>
      </c>
    </row>
    <row r="51" spans="2:7" ht="18.399999999999999" x14ac:dyDescent="0.85">
      <c r="B51" s="59">
        <v>204</v>
      </c>
      <c r="C51" s="60" t="s">
        <v>5</v>
      </c>
      <c r="D51" s="41">
        <v>10521.24210999997</v>
      </c>
      <c r="E51" s="40">
        <v>0.10681666940320902</v>
      </c>
      <c r="F51" s="41">
        <v>8844.7020817859902</v>
      </c>
      <c r="G51" s="40">
        <v>9.2221586874052311E-2</v>
      </c>
    </row>
    <row r="52" spans="2:7" ht="18.399999999999999" x14ac:dyDescent="0.85">
      <c r="B52" s="59">
        <v>236</v>
      </c>
      <c r="C52" s="60" t="s">
        <v>1</v>
      </c>
      <c r="D52" s="41">
        <v>76127.365309999994</v>
      </c>
      <c r="E52" s="40">
        <v>1</v>
      </c>
      <c r="F52" s="41">
        <v>80410.586849999992</v>
      </c>
      <c r="G52" s="40">
        <v>1</v>
      </c>
    </row>
    <row r="53" spans="2:7" ht="18.399999999999999" x14ac:dyDescent="0.85">
      <c r="B53" s="59">
        <v>236</v>
      </c>
      <c r="C53" s="60" t="s">
        <v>56</v>
      </c>
      <c r="D53" s="41">
        <v>7025.7876300000025</v>
      </c>
      <c r="E53" s="40">
        <v>9.228990917247866E-2</v>
      </c>
      <c r="F53" s="41">
        <v>7399.0247836452836</v>
      </c>
      <c r="G53" s="40">
        <v>9.2015555084153502E-2</v>
      </c>
    </row>
    <row r="54" spans="2:7" ht="18.399999999999999" x14ac:dyDescent="0.85">
      <c r="B54" s="59">
        <v>236</v>
      </c>
      <c r="C54" s="60" t="s">
        <v>57</v>
      </c>
      <c r="D54" s="41">
        <v>21070.946399999986</v>
      </c>
      <c r="E54" s="40">
        <v>0.27678544126933202</v>
      </c>
      <c r="F54" s="41">
        <v>20577.410783645279</v>
      </c>
      <c r="G54" s="40">
        <v>0.25590424830539937</v>
      </c>
    </row>
    <row r="55" spans="2:7" ht="18.399999999999999" x14ac:dyDescent="0.85">
      <c r="B55" s="59">
        <v>236</v>
      </c>
      <c r="C55" s="60" t="s">
        <v>2</v>
      </c>
      <c r="D55" s="41">
        <v>-401.21316999999999</v>
      </c>
      <c r="E55" s="40">
        <v>-5.2702883958509611E-3</v>
      </c>
      <c r="F55" s="41">
        <v>-178.49934000000002</v>
      </c>
      <c r="G55" s="40">
        <v>-2.2198487412233088E-3</v>
      </c>
    </row>
    <row r="56" spans="2:7" ht="18.399999999999999" x14ac:dyDescent="0.85">
      <c r="B56" s="59">
        <v>236</v>
      </c>
      <c r="C56" s="60" t="s">
        <v>58</v>
      </c>
      <c r="D56" s="41">
        <v>-1365.5023500000002</v>
      </c>
      <c r="E56" s="40">
        <v>-1.7937076167545096E-2</v>
      </c>
      <c r="F56" s="41">
        <v>-1260.8610799999999</v>
      </c>
      <c r="G56" s="40">
        <v>-1.5680287004397109E-2</v>
      </c>
    </row>
    <row r="57" spans="2:7" ht="18.399999999999999" x14ac:dyDescent="0.85">
      <c r="B57" s="59">
        <v>236</v>
      </c>
      <c r="C57" s="60" t="s">
        <v>59</v>
      </c>
      <c r="D57" s="41">
        <v>19304.230879999981</v>
      </c>
      <c r="E57" s="40">
        <v>0.25357807670593591</v>
      </c>
      <c r="F57" s="41">
        <v>19138.050363645281</v>
      </c>
      <c r="G57" s="40">
        <v>0.23800411255977896</v>
      </c>
    </row>
    <row r="58" spans="2:7" ht="18.399999999999999" x14ac:dyDescent="0.85">
      <c r="B58" s="59">
        <v>236</v>
      </c>
      <c r="C58" s="60" t="s">
        <v>3</v>
      </c>
      <c r="D58" s="41">
        <v>-5415.1321399999988</v>
      </c>
      <c r="E58" s="40">
        <v>-7.1132530568329994E-2</v>
      </c>
      <c r="F58" s="41">
        <v>-5080.0656500000014</v>
      </c>
      <c r="G58" s="40">
        <v>-6.3176577227032168E-2</v>
      </c>
    </row>
    <row r="59" spans="2:7" ht="18.399999999999999" x14ac:dyDescent="0.85">
      <c r="B59" s="59">
        <v>236</v>
      </c>
      <c r="C59" s="60" t="s">
        <v>4</v>
      </c>
      <c r="D59" s="41">
        <v>-2156.23747</v>
      </c>
      <c r="E59" s="40">
        <v>-2.8324078486356857E-2</v>
      </c>
      <c r="F59" s="41">
        <v>-2114.0645400000003</v>
      </c>
      <c r="G59" s="40">
        <v>-2.6290873165042701E-2</v>
      </c>
    </row>
    <row r="60" spans="2:7" ht="18.399999999999999" x14ac:dyDescent="0.85">
      <c r="B60" s="59">
        <v>236</v>
      </c>
      <c r="C60" s="60" t="s">
        <v>60</v>
      </c>
      <c r="D60" s="41">
        <v>0</v>
      </c>
      <c r="E60" s="40">
        <v>0</v>
      </c>
      <c r="F60" s="41">
        <v>0</v>
      </c>
      <c r="G60" s="40">
        <v>0</v>
      </c>
    </row>
    <row r="61" spans="2:7" ht="18.399999999999999" x14ac:dyDescent="0.85">
      <c r="B61" s="59">
        <v>236</v>
      </c>
      <c r="C61" s="60" t="s">
        <v>61</v>
      </c>
      <c r="D61" s="41">
        <v>11732.861269999983</v>
      </c>
      <c r="E61" s="40">
        <v>0.15412146765124904</v>
      </c>
      <c r="F61" s="41">
        <v>11943.92017364528</v>
      </c>
      <c r="G61" s="40">
        <v>0.14853666216770411</v>
      </c>
    </row>
    <row r="62" spans="2:7" ht="18.399999999999999" x14ac:dyDescent="0.85">
      <c r="B62" s="59">
        <v>236</v>
      </c>
      <c r="C62" s="60" t="s">
        <v>62</v>
      </c>
      <c r="D62" s="41">
        <v>-1812.35796</v>
      </c>
      <c r="E62" s="40">
        <v>-2.3806918216857442E-2</v>
      </c>
      <c r="F62" s="41">
        <v>-1776.7035600000002</v>
      </c>
      <c r="G62" s="40">
        <v>-2.2095393524664973E-2</v>
      </c>
    </row>
    <row r="63" spans="2:7" ht="18.399999999999999" x14ac:dyDescent="0.85">
      <c r="B63" s="59">
        <v>236</v>
      </c>
      <c r="C63" s="60" t="s">
        <v>5</v>
      </c>
      <c r="D63" s="41">
        <v>9920.5033099999837</v>
      </c>
      <c r="E63" s="40">
        <v>0.13031454943439161</v>
      </c>
      <c r="F63" s="41">
        <v>10167.21661364528</v>
      </c>
      <c r="G63" s="40">
        <v>0.12644126864303915</v>
      </c>
    </row>
    <row r="64" spans="2:7" ht="18.399999999999999" x14ac:dyDescent="0.85">
      <c r="B64" s="59">
        <v>301</v>
      </c>
      <c r="C64" s="60" t="s">
        <v>1</v>
      </c>
      <c r="D64" s="41">
        <v>55080.973860000006</v>
      </c>
      <c r="E64" s="40">
        <v>1</v>
      </c>
      <c r="F64" s="41">
        <v>49992.377649999988</v>
      </c>
      <c r="G64" s="40">
        <v>1</v>
      </c>
    </row>
    <row r="65" spans="2:7" ht="18.399999999999999" x14ac:dyDescent="0.85">
      <c r="B65" s="59">
        <v>301</v>
      </c>
      <c r="C65" s="60" t="s">
        <v>56</v>
      </c>
      <c r="D65" s="41">
        <v>3485.8317100000077</v>
      </c>
      <c r="E65" s="40">
        <v>6.3285586033028196E-2</v>
      </c>
      <c r="F65" s="41">
        <v>2895.3778825486138</v>
      </c>
      <c r="G65" s="40">
        <v>5.7916386830395426E-2</v>
      </c>
    </row>
    <row r="66" spans="2:7" ht="18.399999999999999" x14ac:dyDescent="0.85">
      <c r="B66" s="59">
        <v>301</v>
      </c>
      <c r="C66" s="60" t="s">
        <v>57</v>
      </c>
      <c r="D66" s="41">
        <v>14339.627740000004</v>
      </c>
      <c r="E66" s="40">
        <v>0.26033722236733164</v>
      </c>
      <c r="F66" s="41">
        <v>12429.72850254858</v>
      </c>
      <c r="G66" s="40">
        <v>0.24863247332563274</v>
      </c>
    </row>
    <row r="67" spans="2:7" ht="18.399999999999999" x14ac:dyDescent="0.85">
      <c r="B67" s="59">
        <v>301</v>
      </c>
      <c r="C67" s="60" t="s">
        <v>2</v>
      </c>
      <c r="D67" s="41">
        <v>-340.94281000000001</v>
      </c>
      <c r="E67" s="40">
        <v>-6.1898471669469494E-3</v>
      </c>
      <c r="F67" s="41">
        <v>-435.7936500000003</v>
      </c>
      <c r="G67" s="40">
        <v>-8.7172019112797764E-3</v>
      </c>
    </row>
    <row r="68" spans="2:7" ht="18.399999999999999" x14ac:dyDescent="0.85">
      <c r="B68" s="59">
        <v>301</v>
      </c>
      <c r="C68" s="60" t="s">
        <v>58</v>
      </c>
      <c r="D68" s="41">
        <v>-1028.1016299999999</v>
      </c>
      <c r="E68" s="40">
        <v>-1.8665276917818094E-2</v>
      </c>
      <c r="F68" s="41">
        <v>-917.25360999999987</v>
      </c>
      <c r="G68" s="40">
        <v>-1.8347869277627767E-2</v>
      </c>
    </row>
    <row r="69" spans="2:7" ht="18.399999999999999" x14ac:dyDescent="0.85">
      <c r="B69" s="59">
        <v>301</v>
      </c>
      <c r="C69" s="60" t="s">
        <v>59</v>
      </c>
      <c r="D69" s="41">
        <v>12970.583300000002</v>
      </c>
      <c r="E69" s="40">
        <v>0.23548209828256658</v>
      </c>
      <c r="F69" s="41">
        <v>11076.681242548577</v>
      </c>
      <c r="G69" s="40">
        <v>0.22156740213672513</v>
      </c>
    </row>
    <row r="70" spans="2:7" ht="18.399999999999999" x14ac:dyDescent="0.85">
      <c r="B70" s="59">
        <v>301</v>
      </c>
      <c r="C70" s="60" t="s">
        <v>3</v>
      </c>
      <c r="D70" s="41">
        <v>-4141.2487999999985</v>
      </c>
      <c r="E70" s="40">
        <v>-7.5184741840728195E-2</v>
      </c>
      <c r="F70" s="41">
        <v>-4570.8519699999997</v>
      </c>
      <c r="G70" s="40">
        <v>-9.1430977778269376E-2</v>
      </c>
    </row>
    <row r="71" spans="2:7" ht="18.399999999999999" x14ac:dyDescent="0.85">
      <c r="B71" s="59">
        <v>301</v>
      </c>
      <c r="C71" s="60" t="s">
        <v>4</v>
      </c>
      <c r="D71" s="41">
        <v>-1535.9162999999999</v>
      </c>
      <c r="E71" s="40">
        <v>-2.7884697607269207E-2</v>
      </c>
      <c r="F71" s="41">
        <v>-1555.2699299999997</v>
      </c>
      <c r="G71" s="40">
        <v>-3.111014124770279E-2</v>
      </c>
    </row>
    <row r="72" spans="2:7" ht="18.399999999999999" x14ac:dyDescent="0.85">
      <c r="B72" s="59">
        <v>301</v>
      </c>
      <c r="C72" s="60" t="s">
        <v>60</v>
      </c>
      <c r="D72" s="41">
        <v>-2700</v>
      </c>
      <c r="E72" s="40">
        <v>-4.9018741151211735E-2</v>
      </c>
      <c r="F72" s="41">
        <v>-2700</v>
      </c>
      <c r="G72" s="40">
        <v>-5.4008233393156101E-2</v>
      </c>
    </row>
    <row r="73" spans="2:7" ht="18.399999999999999" x14ac:dyDescent="0.85">
      <c r="B73" s="59">
        <v>301</v>
      </c>
      <c r="C73" s="60" t="s">
        <v>61</v>
      </c>
      <c r="D73" s="41">
        <v>4593.4182000000037</v>
      </c>
      <c r="E73" s="40">
        <v>8.3393917683357452E-2</v>
      </c>
      <c r="F73" s="41">
        <v>2250.5593425485786</v>
      </c>
      <c r="G73" s="40">
        <v>4.5018049717596882E-2</v>
      </c>
    </row>
    <row r="74" spans="2:7" ht="18.399999999999999" x14ac:dyDescent="0.85">
      <c r="B74" s="59">
        <v>301</v>
      </c>
      <c r="C74" s="60" t="s">
        <v>62</v>
      </c>
      <c r="D74" s="41">
        <v>-1901.1857200000002</v>
      </c>
      <c r="E74" s="40">
        <v>-3.4516196551503744E-2</v>
      </c>
      <c r="F74" s="41">
        <v>-1349.7106200000001</v>
      </c>
      <c r="G74" s="40">
        <v>-2.6998328214141269E-2</v>
      </c>
    </row>
    <row r="75" spans="2:7" ht="18.399999999999999" x14ac:dyDescent="0.85">
      <c r="B75" s="59">
        <v>301</v>
      </c>
      <c r="C75" s="60" t="s">
        <v>5</v>
      </c>
      <c r="D75" s="41">
        <v>2692.2324800000033</v>
      </c>
      <c r="E75" s="40">
        <v>4.8877721131853694E-2</v>
      </c>
      <c r="F75" s="41">
        <v>900.84872254857851</v>
      </c>
      <c r="G75" s="40">
        <v>1.8019721503455613E-2</v>
      </c>
    </row>
    <row r="76" spans="2:7" ht="18.399999999999999" x14ac:dyDescent="0.85">
      <c r="B76" s="59">
        <v>402</v>
      </c>
      <c r="C76" s="60" t="s">
        <v>1</v>
      </c>
      <c r="D76" s="41">
        <v>54628.009890000008</v>
      </c>
      <c r="E76" s="40">
        <v>1</v>
      </c>
      <c r="F76" s="41">
        <v>53378.314129999999</v>
      </c>
      <c r="G76" s="40">
        <v>1</v>
      </c>
    </row>
    <row r="77" spans="2:7" ht="18.399999999999999" x14ac:dyDescent="0.85">
      <c r="B77" s="59">
        <v>402</v>
      </c>
      <c r="C77" s="60" t="s">
        <v>56</v>
      </c>
      <c r="D77" s="41">
        <v>5213.7166800000077</v>
      </c>
      <c r="E77" s="40">
        <v>9.5440355423864906E-2</v>
      </c>
      <c r="F77" s="41">
        <v>5615.2640553311485</v>
      </c>
      <c r="G77" s="40">
        <v>0.10519747854260583</v>
      </c>
    </row>
    <row r="78" spans="2:7" ht="18.399999999999999" x14ac:dyDescent="0.85">
      <c r="B78" s="59">
        <v>402</v>
      </c>
      <c r="C78" s="60" t="s">
        <v>57</v>
      </c>
      <c r="D78" s="41">
        <v>15971.286500000002</v>
      </c>
      <c r="E78" s="40">
        <v>0.29236442133184215</v>
      </c>
      <c r="F78" s="41">
        <v>15851.018975331139</v>
      </c>
      <c r="G78" s="40">
        <v>0.29695615595364888</v>
      </c>
    </row>
    <row r="79" spans="2:7" ht="18.399999999999999" x14ac:dyDescent="0.85">
      <c r="B79" s="59">
        <v>402</v>
      </c>
      <c r="C79" s="60" t="s">
        <v>2</v>
      </c>
      <c r="D79" s="41">
        <v>-348.10640000000001</v>
      </c>
      <c r="E79" s="40">
        <v>-6.3723060880481212E-3</v>
      </c>
      <c r="F79" s="41">
        <v>-293.02157999999997</v>
      </c>
      <c r="G79" s="40">
        <v>-5.4895248150093638E-3</v>
      </c>
    </row>
    <row r="80" spans="2:7" ht="18.399999999999999" x14ac:dyDescent="0.85">
      <c r="B80" s="59">
        <v>402</v>
      </c>
      <c r="C80" s="60" t="s">
        <v>58</v>
      </c>
      <c r="D80" s="41">
        <v>-1097.5662699999998</v>
      </c>
      <c r="E80" s="40">
        <v>-2.0091639292920974E-2</v>
      </c>
      <c r="F80" s="41">
        <v>-1048.60726</v>
      </c>
      <c r="G80" s="40">
        <v>-1.9644817883273227E-2</v>
      </c>
    </row>
    <row r="81" spans="2:7" ht="18.399999999999999" x14ac:dyDescent="0.85">
      <c r="B81" s="59">
        <v>402</v>
      </c>
      <c r="C81" s="60" t="s">
        <v>59</v>
      </c>
      <c r="D81" s="41">
        <v>14525.613830000002</v>
      </c>
      <c r="E81" s="40">
        <v>0.26590047595087302</v>
      </c>
      <c r="F81" s="41">
        <v>14509.390135331138</v>
      </c>
      <c r="G81" s="40">
        <v>0.27182181325536625</v>
      </c>
    </row>
    <row r="82" spans="2:7" ht="18.399999999999999" x14ac:dyDescent="0.85">
      <c r="B82" s="59">
        <v>402</v>
      </c>
      <c r="C82" s="60" t="s">
        <v>3</v>
      </c>
      <c r="D82" s="41">
        <v>-3982.998610000001</v>
      </c>
      <c r="E82" s="40">
        <v>-7.2911288879463895E-2</v>
      </c>
      <c r="F82" s="41">
        <v>-4019.9778300000007</v>
      </c>
      <c r="G82" s="40">
        <v>-7.5311067715806118E-2</v>
      </c>
    </row>
    <row r="83" spans="2:7" ht="18.399999999999999" x14ac:dyDescent="0.85">
      <c r="B83" s="59">
        <v>402</v>
      </c>
      <c r="C83" s="60" t="s">
        <v>4</v>
      </c>
      <c r="D83" s="41">
        <v>-1804.7078599999998</v>
      </c>
      <c r="E83" s="40">
        <v>-3.3036309827760402E-2</v>
      </c>
      <c r="F83" s="41">
        <v>-1703.51539</v>
      </c>
      <c r="G83" s="40">
        <v>-3.1913997618043546E-2</v>
      </c>
    </row>
    <row r="84" spans="2:7" ht="18.399999999999999" x14ac:dyDescent="0.85">
      <c r="B84" s="59">
        <v>402</v>
      </c>
      <c r="C84" s="60" t="s">
        <v>60</v>
      </c>
      <c r="D84" s="41">
        <v>-1370.3408800000002</v>
      </c>
      <c r="E84" s="40">
        <v>-2.5084949694476229E-2</v>
      </c>
      <c r="F84" s="41">
        <v>-1340.86457</v>
      </c>
      <c r="G84" s="40">
        <v>-2.5120024711428629E-2</v>
      </c>
    </row>
    <row r="85" spans="2:7" ht="18.399999999999999" x14ac:dyDescent="0.85">
      <c r="B85" s="59">
        <v>402</v>
      </c>
      <c r="C85" s="60" t="s">
        <v>61</v>
      </c>
      <c r="D85" s="41">
        <v>7367.5664800000013</v>
      </c>
      <c r="E85" s="40">
        <v>0.13486792754917251</v>
      </c>
      <c r="F85" s="41">
        <v>7445.0323453311375</v>
      </c>
      <c r="G85" s="40">
        <v>0.13947672321008797</v>
      </c>
    </row>
    <row r="86" spans="2:7" ht="18.399999999999999" x14ac:dyDescent="0.85">
      <c r="B86" s="59">
        <v>402</v>
      </c>
      <c r="C86" s="60" t="s">
        <v>62</v>
      </c>
      <c r="D86" s="41">
        <v>-1755.0972399999996</v>
      </c>
      <c r="E86" s="40">
        <v>-3.2128156298098662E-2</v>
      </c>
      <c r="F86" s="41">
        <v>-1753.3511899999999</v>
      </c>
      <c r="G86" s="40">
        <v>-3.28476314506638E-2</v>
      </c>
    </row>
    <row r="87" spans="2:7" ht="18.399999999999999" x14ac:dyDescent="0.85">
      <c r="B87" s="59">
        <v>402</v>
      </c>
      <c r="C87" s="60" t="s">
        <v>5</v>
      </c>
      <c r="D87" s="41">
        <v>5612.4692400000022</v>
      </c>
      <c r="E87" s="40">
        <v>0.10273977125107388</v>
      </c>
      <c r="F87" s="41">
        <v>5691.6811553311381</v>
      </c>
      <c r="G87" s="40">
        <v>0.10662909175942419</v>
      </c>
    </row>
    <row r="88" spans="2:7" ht="18.399999999999999" x14ac:dyDescent="0.85">
      <c r="B88" s="59">
        <v>403</v>
      </c>
      <c r="C88" s="60" t="s">
        <v>1</v>
      </c>
      <c r="D88" s="41">
        <v>48473.322040000006</v>
      </c>
      <c r="E88" s="40">
        <v>1</v>
      </c>
      <c r="F88" s="41">
        <v>48521.454710000005</v>
      </c>
      <c r="G88" s="40">
        <v>1</v>
      </c>
    </row>
    <row r="89" spans="2:7" ht="18.399999999999999" x14ac:dyDescent="0.85">
      <c r="B89" s="59">
        <v>403</v>
      </c>
      <c r="C89" s="60" t="s">
        <v>56</v>
      </c>
      <c r="D89" s="41">
        <v>2748.4132900000027</v>
      </c>
      <c r="E89" s="40">
        <v>5.6699503445050085E-2</v>
      </c>
      <c r="F89" s="41">
        <v>2366.5869089192033</v>
      </c>
      <c r="G89" s="40">
        <v>4.8774030437951046E-2</v>
      </c>
    </row>
    <row r="90" spans="2:7" ht="18.399999999999999" x14ac:dyDescent="0.85">
      <c r="B90" s="59">
        <v>403</v>
      </c>
      <c r="C90" s="60" t="s">
        <v>57</v>
      </c>
      <c r="D90" s="41">
        <v>11943.472290000002</v>
      </c>
      <c r="E90" s="40">
        <v>0.24639269163653138</v>
      </c>
      <c r="F90" s="41">
        <v>11206.714758919214</v>
      </c>
      <c r="G90" s="40">
        <v>0.23096411321339819</v>
      </c>
    </row>
    <row r="91" spans="2:7" ht="18.399999999999999" x14ac:dyDescent="0.85">
      <c r="B91" s="59">
        <v>403</v>
      </c>
      <c r="C91" s="60" t="s">
        <v>2</v>
      </c>
      <c r="D91" s="41">
        <v>-279.54496999999998</v>
      </c>
      <c r="E91" s="40">
        <v>-5.7669860087022819E-3</v>
      </c>
      <c r="F91" s="41">
        <v>-435.97248999999999</v>
      </c>
      <c r="G91" s="40">
        <v>-8.9851487884213925E-3</v>
      </c>
    </row>
    <row r="92" spans="2:7" ht="18.399999999999999" x14ac:dyDescent="0.85">
      <c r="B92" s="59">
        <v>403</v>
      </c>
      <c r="C92" s="60" t="s">
        <v>58</v>
      </c>
      <c r="D92" s="41">
        <v>-913.58999999999992</v>
      </c>
      <c r="E92" s="40">
        <v>-1.8847274367663699E-2</v>
      </c>
      <c r="F92" s="41">
        <v>-844.01675999999998</v>
      </c>
      <c r="G92" s="40">
        <v>-1.7394712607947692E-2</v>
      </c>
    </row>
    <row r="93" spans="2:7" ht="18.399999999999999" x14ac:dyDescent="0.85">
      <c r="B93" s="59">
        <v>403</v>
      </c>
      <c r="C93" s="60" t="s">
        <v>59</v>
      </c>
      <c r="D93" s="41">
        <v>10750.337319999999</v>
      </c>
      <c r="E93" s="40">
        <v>0.22177843126016533</v>
      </c>
      <c r="F93" s="41">
        <v>9926.7255089192149</v>
      </c>
      <c r="G93" s="40">
        <v>0.20458425181702913</v>
      </c>
    </row>
    <row r="94" spans="2:7" ht="18.399999999999999" x14ac:dyDescent="0.85">
      <c r="B94" s="59">
        <v>403</v>
      </c>
      <c r="C94" s="60" t="s">
        <v>3</v>
      </c>
      <c r="D94" s="41">
        <v>-3830.1429100000005</v>
      </c>
      <c r="E94" s="40">
        <v>-7.9015482100430023E-2</v>
      </c>
      <c r="F94" s="41">
        <v>-3804.7967199999989</v>
      </c>
      <c r="G94" s="40">
        <v>-7.8414728963512537E-2</v>
      </c>
    </row>
    <row r="95" spans="2:7" ht="18.399999999999999" x14ac:dyDescent="0.85">
      <c r="B95" s="59">
        <v>403</v>
      </c>
      <c r="C95" s="60" t="s">
        <v>4</v>
      </c>
      <c r="D95" s="41">
        <v>-1690.3201200000003</v>
      </c>
      <c r="E95" s="40">
        <v>-3.4871142493703121E-2</v>
      </c>
      <c r="F95" s="41">
        <v>-1748.3403999999996</v>
      </c>
      <c r="G95" s="40">
        <v>-3.6032316228962448E-2</v>
      </c>
    </row>
    <row r="96" spans="2:7" ht="18.399999999999999" x14ac:dyDescent="0.85">
      <c r="B96" s="59">
        <v>403</v>
      </c>
      <c r="C96" s="60" t="s">
        <v>60</v>
      </c>
      <c r="D96" s="41">
        <v>-1531.0021199999994</v>
      </c>
      <c r="E96" s="40">
        <v>-3.1584427383306267E-2</v>
      </c>
      <c r="F96" s="41">
        <v>-1531.0021199999994</v>
      </c>
      <c r="G96" s="40">
        <v>-3.1553096030413702E-2</v>
      </c>
    </row>
    <row r="97" spans="2:7" ht="18.399999999999999" x14ac:dyDescent="0.85">
      <c r="B97" s="59">
        <v>403</v>
      </c>
      <c r="C97" s="60" t="s">
        <v>61</v>
      </c>
      <c r="D97" s="41">
        <v>3698.8721699999987</v>
      </c>
      <c r="E97" s="40">
        <v>7.6307379282725935E-2</v>
      </c>
      <c r="F97" s="41">
        <v>2842.5862689192172</v>
      </c>
      <c r="G97" s="40">
        <v>5.8584110594140447E-2</v>
      </c>
    </row>
    <row r="98" spans="2:7" ht="18.399999999999999" x14ac:dyDescent="0.85">
      <c r="B98" s="59">
        <v>403</v>
      </c>
      <c r="C98" s="60" t="s">
        <v>62</v>
      </c>
      <c r="D98" s="41">
        <v>-1170.8349299999998</v>
      </c>
      <c r="E98" s="40">
        <v>-2.4154212682882165E-2</v>
      </c>
      <c r="F98" s="41">
        <v>41.699109999999543</v>
      </c>
      <c r="G98" s="40">
        <v>8.593952973838929E-4</v>
      </c>
    </row>
    <row r="99" spans="2:7" ht="18.399999999999999" x14ac:dyDescent="0.85">
      <c r="B99" s="59">
        <v>403</v>
      </c>
      <c r="C99" s="60" t="s">
        <v>5</v>
      </c>
      <c r="D99" s="41">
        <v>2528.0372399999987</v>
      </c>
      <c r="E99" s="40">
        <v>5.2153166599843759E-2</v>
      </c>
      <c r="F99" s="41">
        <v>2884.2853789192168</v>
      </c>
      <c r="G99" s="40">
        <v>5.9443505891524341E-2</v>
      </c>
    </row>
    <row r="100" spans="2:7" ht="18.399999999999999" x14ac:dyDescent="0.85">
      <c r="B100" s="59">
        <v>404</v>
      </c>
      <c r="C100" s="60" t="s">
        <v>1</v>
      </c>
      <c r="D100" s="41">
        <v>58359.363170000004</v>
      </c>
      <c r="E100" s="40">
        <v>1</v>
      </c>
      <c r="F100" s="41">
        <v>58364.432200000003</v>
      </c>
      <c r="G100" s="40">
        <v>1</v>
      </c>
    </row>
    <row r="101" spans="2:7" ht="18.399999999999999" x14ac:dyDescent="0.85">
      <c r="B101" s="59">
        <v>404</v>
      </c>
      <c r="C101" s="60" t="s">
        <v>56</v>
      </c>
      <c r="D101" s="41">
        <v>3288.8948900000009</v>
      </c>
      <c r="E101" s="40">
        <v>5.635590779871083E-2</v>
      </c>
      <c r="F101" s="41">
        <v>3099.8595033722513</v>
      </c>
      <c r="G101" s="40">
        <v>5.3112133306631421E-2</v>
      </c>
    </row>
    <row r="102" spans="2:7" ht="18.399999999999999" x14ac:dyDescent="0.85">
      <c r="B102" s="59">
        <v>404</v>
      </c>
      <c r="C102" s="60" t="s">
        <v>57</v>
      </c>
      <c r="D102" s="41">
        <v>14816.578409999998</v>
      </c>
      <c r="E102" s="40">
        <v>0.25388519691072559</v>
      </c>
      <c r="F102" s="41">
        <v>14009.977053372262</v>
      </c>
      <c r="G102" s="40">
        <v>0.24004306262011851</v>
      </c>
    </row>
    <row r="103" spans="2:7" ht="18.399999999999999" x14ac:dyDescent="0.85">
      <c r="B103" s="59">
        <v>404</v>
      </c>
      <c r="C103" s="60" t="s">
        <v>2</v>
      </c>
      <c r="D103" s="41">
        <v>-359.91026999999997</v>
      </c>
      <c r="E103" s="40">
        <v>-6.1671384067640764E-3</v>
      </c>
      <c r="F103" s="41">
        <v>-247.95605999999998</v>
      </c>
      <c r="G103" s="40">
        <v>-4.2484103871741246E-3</v>
      </c>
    </row>
    <row r="104" spans="2:7" ht="18.399999999999999" x14ac:dyDescent="0.85">
      <c r="B104" s="59">
        <v>404</v>
      </c>
      <c r="C104" s="60" t="s">
        <v>58</v>
      </c>
      <c r="D104" s="41">
        <v>-1107.97892</v>
      </c>
      <c r="E104" s="40">
        <v>-1.8985452544649485E-2</v>
      </c>
      <c r="F104" s="41">
        <v>-1046.4941699999999</v>
      </c>
      <c r="G104" s="40">
        <v>-1.7930340972288253E-2</v>
      </c>
    </row>
    <row r="105" spans="2:7" ht="18.399999999999999" x14ac:dyDescent="0.85">
      <c r="B105" s="59">
        <v>404</v>
      </c>
      <c r="C105" s="60" t="s">
        <v>59</v>
      </c>
      <c r="D105" s="41">
        <v>13348.689219999998</v>
      </c>
      <c r="E105" s="40">
        <v>0.22873260595931202</v>
      </c>
      <c r="F105" s="41">
        <v>12715.526823372262</v>
      </c>
      <c r="G105" s="40">
        <v>0.21786431126065614</v>
      </c>
    </row>
    <row r="106" spans="2:7" ht="18.399999999999999" x14ac:dyDescent="0.85">
      <c r="B106" s="59">
        <v>404</v>
      </c>
      <c r="C106" s="60" t="s">
        <v>3</v>
      </c>
      <c r="D106" s="41">
        <v>-4628.2586000000001</v>
      </c>
      <c r="E106" s="40">
        <v>-7.9306187535288009E-2</v>
      </c>
      <c r="F106" s="41">
        <v>-4807.6150800000005</v>
      </c>
      <c r="G106" s="40">
        <v>-8.2372343887892746E-2</v>
      </c>
    </row>
    <row r="107" spans="2:7" ht="18.399999999999999" x14ac:dyDescent="0.85">
      <c r="B107" s="59">
        <v>404</v>
      </c>
      <c r="C107" s="60" t="s">
        <v>4</v>
      </c>
      <c r="D107" s="41">
        <v>-1074.5071200000002</v>
      </c>
      <c r="E107" s="40">
        <v>-1.8411906190099712E-2</v>
      </c>
      <c r="F107" s="41">
        <v>-1278.5300499999996</v>
      </c>
      <c r="G107" s="40">
        <v>-2.190597940915117E-2</v>
      </c>
    </row>
    <row r="108" spans="2:7" ht="18.399999999999999" x14ac:dyDescent="0.85">
      <c r="B108" s="59">
        <v>404</v>
      </c>
      <c r="C108" s="60" t="s">
        <v>60</v>
      </c>
      <c r="D108" s="41">
        <v>-1543.9293599999994</v>
      </c>
      <c r="E108" s="40">
        <v>-2.64555553065676E-2</v>
      </c>
      <c r="F108" s="41">
        <v>-1449.7059599999998</v>
      </c>
      <c r="G108" s="40">
        <v>-2.4838859993227172E-2</v>
      </c>
    </row>
    <row r="109" spans="2:7" ht="18.399999999999999" x14ac:dyDescent="0.85">
      <c r="B109" s="59">
        <v>404</v>
      </c>
      <c r="C109" s="60" t="s">
        <v>61</v>
      </c>
      <c r="D109" s="41">
        <v>6101.9941399999989</v>
      </c>
      <c r="E109" s="40">
        <v>0.10455895692735673</v>
      </c>
      <c r="F109" s="41">
        <v>5179.6757333722617</v>
      </c>
      <c r="G109" s="40">
        <v>8.8747127970385045E-2</v>
      </c>
    </row>
    <row r="110" spans="2:7" ht="18.399999999999999" x14ac:dyDescent="0.85">
      <c r="B110" s="59">
        <v>404</v>
      </c>
      <c r="C110" s="60" t="s">
        <v>62</v>
      </c>
      <c r="D110" s="41">
        <v>-1497.8289400000001</v>
      </c>
      <c r="E110" s="40">
        <v>-2.5665614884056318E-2</v>
      </c>
      <c r="F110" s="41">
        <v>-1686.94478</v>
      </c>
      <c r="G110" s="40">
        <v>-2.8903644161554953E-2</v>
      </c>
    </row>
    <row r="111" spans="2:7" ht="18.399999999999999" x14ac:dyDescent="0.85">
      <c r="B111" s="59">
        <v>404</v>
      </c>
      <c r="C111" s="60" t="s">
        <v>5</v>
      </c>
      <c r="D111" s="41">
        <v>4604.1651999999985</v>
      </c>
      <c r="E111" s="40">
        <v>7.889334204330041E-2</v>
      </c>
      <c r="F111" s="41">
        <v>3492.7309533722619</v>
      </c>
      <c r="G111" s="40">
        <v>5.9843483808830089E-2</v>
      </c>
    </row>
    <row r="112" spans="2:7" ht="18.399999999999999" x14ac:dyDescent="0.85">
      <c r="B112" s="59">
        <v>501</v>
      </c>
      <c r="C112" s="60" t="s">
        <v>1</v>
      </c>
      <c r="D112" s="41">
        <v>56038.712840000007</v>
      </c>
      <c r="E112" s="40">
        <v>1</v>
      </c>
      <c r="F112" s="41">
        <v>54944.552569999993</v>
      </c>
      <c r="G112" s="40">
        <v>1</v>
      </c>
    </row>
    <row r="113" spans="2:7" ht="18.399999999999999" x14ac:dyDescent="0.85">
      <c r="B113" s="59">
        <v>501</v>
      </c>
      <c r="C113" s="60" t="s">
        <v>56</v>
      </c>
      <c r="D113" s="41">
        <v>3773.2461200000089</v>
      </c>
      <c r="E113" s="40">
        <v>6.7332847754252745E-2</v>
      </c>
      <c r="F113" s="41">
        <v>3132.4683591159801</v>
      </c>
      <c r="G113" s="40">
        <v>5.7011445404440766E-2</v>
      </c>
    </row>
    <row r="114" spans="2:7" ht="18.399999999999999" x14ac:dyDescent="0.85">
      <c r="B114" s="59">
        <v>501</v>
      </c>
      <c r="C114" s="60" t="s">
        <v>57</v>
      </c>
      <c r="D114" s="41">
        <v>15058.367380000003</v>
      </c>
      <c r="E114" s="40">
        <v>0.2687136555579745</v>
      </c>
      <c r="F114" s="41">
        <v>13655.828509115989</v>
      </c>
      <c r="G114" s="40">
        <v>0.24853835130822671</v>
      </c>
    </row>
    <row r="115" spans="2:7" ht="18.399999999999999" x14ac:dyDescent="0.85">
      <c r="B115" s="59">
        <v>501</v>
      </c>
      <c r="C115" s="60" t="s">
        <v>2</v>
      </c>
      <c r="D115" s="41">
        <v>-369.55085000000003</v>
      </c>
      <c r="E115" s="40">
        <v>-6.5945634949740933E-3</v>
      </c>
      <c r="F115" s="41">
        <v>-187.85622000000006</v>
      </c>
      <c r="G115" s="40">
        <v>-3.4190144648219506E-3</v>
      </c>
    </row>
    <row r="116" spans="2:7" ht="18.399999999999999" x14ac:dyDescent="0.85">
      <c r="B116" s="59">
        <v>501</v>
      </c>
      <c r="C116" s="60" t="s">
        <v>58</v>
      </c>
      <c r="D116" s="41">
        <v>-1026.4492300000002</v>
      </c>
      <c r="E116" s="40">
        <v>-1.8316788126998673E-2</v>
      </c>
      <c r="F116" s="41">
        <v>-945.1277399999999</v>
      </c>
      <c r="G116" s="40">
        <v>-1.7201482145038787E-2</v>
      </c>
    </row>
    <row r="117" spans="2:7" ht="18.399999999999999" x14ac:dyDescent="0.85">
      <c r="B117" s="59">
        <v>501</v>
      </c>
      <c r="C117" s="60" t="s">
        <v>59</v>
      </c>
      <c r="D117" s="41">
        <v>13662.367300000004</v>
      </c>
      <c r="E117" s="40">
        <v>0.24380230393600172</v>
      </c>
      <c r="F117" s="41">
        <v>12522.844549115986</v>
      </c>
      <c r="G117" s="40">
        <v>0.2279178546983659</v>
      </c>
    </row>
    <row r="118" spans="2:7" ht="18.399999999999999" x14ac:dyDescent="0.85">
      <c r="B118" s="59">
        <v>501</v>
      </c>
      <c r="C118" s="60" t="s">
        <v>3</v>
      </c>
      <c r="D118" s="41">
        <v>-3799.80078</v>
      </c>
      <c r="E118" s="40">
        <v>-6.7806710529720288E-2</v>
      </c>
      <c r="F118" s="41">
        <v>-3543.6623400000003</v>
      </c>
      <c r="G118" s="40">
        <v>-6.4495244282594413E-2</v>
      </c>
    </row>
    <row r="119" spans="2:7" ht="18.399999999999999" x14ac:dyDescent="0.85">
      <c r="B119" s="59">
        <v>501</v>
      </c>
      <c r="C119" s="60" t="s">
        <v>4</v>
      </c>
      <c r="D119" s="41">
        <v>-236.49359000000084</v>
      </c>
      <c r="E119" s="40">
        <v>-4.2201824063166828E-3</v>
      </c>
      <c r="F119" s="41">
        <v>-507.60722000000021</v>
      </c>
      <c r="G119" s="40">
        <v>-9.2385358740214099E-3</v>
      </c>
    </row>
    <row r="120" spans="2:7" ht="18.399999999999999" x14ac:dyDescent="0.85">
      <c r="B120" s="59">
        <v>501</v>
      </c>
      <c r="C120" s="60" t="s">
        <v>60</v>
      </c>
      <c r="D120" s="41">
        <v>-2808.1231700000003</v>
      </c>
      <c r="E120" s="40">
        <v>-5.0110415241293393E-2</v>
      </c>
      <c r="F120" s="41">
        <v>-2772.78087</v>
      </c>
      <c r="G120" s="40">
        <v>-5.0465073247569818E-2</v>
      </c>
    </row>
    <row r="121" spans="2:7" ht="18.399999999999999" x14ac:dyDescent="0.85">
      <c r="B121" s="59">
        <v>501</v>
      </c>
      <c r="C121" s="60" t="s">
        <v>61</v>
      </c>
      <c r="D121" s="41">
        <v>6817.9497600000022</v>
      </c>
      <c r="E121" s="40">
        <v>0.12166499575867135</v>
      </c>
      <c r="F121" s="41">
        <v>5698.7941191159844</v>
      </c>
      <c r="G121" s="40">
        <v>0.10371900129418025</v>
      </c>
    </row>
    <row r="122" spans="2:7" ht="18.399999999999999" x14ac:dyDescent="0.85">
      <c r="B122" s="59">
        <v>501</v>
      </c>
      <c r="C122" s="60" t="s">
        <v>62</v>
      </c>
      <c r="D122" s="41">
        <v>-1480.7227</v>
      </c>
      <c r="E122" s="40">
        <v>-2.642321040149001E-2</v>
      </c>
      <c r="F122" s="41">
        <v>-1987.2515299999995</v>
      </c>
      <c r="G122" s="40">
        <v>-3.6168308541019024E-2</v>
      </c>
    </row>
    <row r="123" spans="2:7" ht="18.399999999999999" x14ac:dyDescent="0.85">
      <c r="B123" s="59">
        <v>501</v>
      </c>
      <c r="C123" s="60" t="s">
        <v>5</v>
      </c>
      <c r="D123" s="41">
        <v>5337.227060000002</v>
      </c>
      <c r="E123" s="40">
        <v>9.5241785357181322E-2</v>
      </c>
      <c r="F123" s="41">
        <v>3711.5425891159848</v>
      </c>
      <c r="G123" s="40">
        <v>6.7550692753161237E-2</v>
      </c>
    </row>
    <row r="124" spans="2:7" ht="18.399999999999999" x14ac:dyDescent="0.85">
      <c r="B124" s="59">
        <v>701</v>
      </c>
      <c r="C124" s="60" t="s">
        <v>1</v>
      </c>
      <c r="D124" s="41">
        <v>52812.15726</v>
      </c>
      <c r="E124" s="40">
        <v>1</v>
      </c>
      <c r="F124" s="41">
        <v>47483.16694000001</v>
      </c>
      <c r="G124" s="40">
        <v>1</v>
      </c>
    </row>
    <row r="125" spans="2:7" ht="18.399999999999999" x14ac:dyDescent="0.85">
      <c r="B125" s="59">
        <v>701</v>
      </c>
      <c r="C125" s="60" t="s">
        <v>56</v>
      </c>
      <c r="D125" s="41">
        <v>4280.8993399999981</v>
      </c>
      <c r="E125" s="40">
        <v>8.1058975094023614E-2</v>
      </c>
      <c r="F125" s="41">
        <v>3775.3991940161559</v>
      </c>
      <c r="G125" s="40">
        <v>7.9510265159583204E-2</v>
      </c>
    </row>
    <row r="126" spans="2:7" ht="18.399999999999999" x14ac:dyDescent="0.85">
      <c r="B126" s="59">
        <v>701</v>
      </c>
      <c r="C126" s="60" t="s">
        <v>57</v>
      </c>
      <c r="D126" s="41">
        <v>14968.664699999994</v>
      </c>
      <c r="E126" s="40">
        <v>0.28343217691918221</v>
      </c>
      <c r="F126" s="41">
        <v>13188.647884016142</v>
      </c>
      <c r="G126" s="40">
        <v>0.27775417550984732</v>
      </c>
    </row>
    <row r="127" spans="2:7" ht="18.399999999999999" x14ac:dyDescent="0.85">
      <c r="B127" s="59">
        <v>701</v>
      </c>
      <c r="C127" s="60" t="s">
        <v>2</v>
      </c>
      <c r="D127" s="41">
        <v>-335.56721999999996</v>
      </c>
      <c r="E127" s="40">
        <v>-6.3539767623573109E-3</v>
      </c>
      <c r="F127" s="41">
        <v>-418.27476000000001</v>
      </c>
      <c r="G127" s="40">
        <v>-8.8089061230590265E-3</v>
      </c>
    </row>
    <row r="128" spans="2:7" ht="18.399999999999999" x14ac:dyDescent="0.85">
      <c r="B128" s="59">
        <v>701</v>
      </c>
      <c r="C128" s="60" t="s">
        <v>58</v>
      </c>
      <c r="D128" s="41">
        <v>-946.58252999999991</v>
      </c>
      <c r="E128" s="40">
        <v>-1.7923572508880315E-2</v>
      </c>
      <c r="F128" s="41">
        <v>-819.60946999999999</v>
      </c>
      <c r="G128" s="40">
        <v>-1.7261053186188341E-2</v>
      </c>
    </row>
    <row r="129" spans="2:7" ht="18.399999999999999" x14ac:dyDescent="0.85">
      <c r="B129" s="59">
        <v>701</v>
      </c>
      <c r="C129" s="60" t="s">
        <v>59</v>
      </c>
      <c r="D129" s="41">
        <v>13686.514949999993</v>
      </c>
      <c r="E129" s="40">
        <v>0.25915462764794461</v>
      </c>
      <c r="F129" s="41">
        <v>11950.763654016144</v>
      </c>
      <c r="G129" s="40">
        <v>0.2516842162006</v>
      </c>
    </row>
    <row r="130" spans="2:7" ht="18.399999999999999" x14ac:dyDescent="0.85">
      <c r="B130" s="59">
        <v>701</v>
      </c>
      <c r="C130" s="60" t="s">
        <v>3</v>
      </c>
      <c r="D130" s="41">
        <v>-3588.7318399999995</v>
      </c>
      <c r="E130" s="40">
        <v>-6.7952759860429146E-2</v>
      </c>
      <c r="F130" s="41">
        <v>-3316.3350100000002</v>
      </c>
      <c r="G130" s="40">
        <v>-6.9842329897467442E-2</v>
      </c>
    </row>
    <row r="131" spans="2:7" ht="18.399999999999999" x14ac:dyDescent="0.85">
      <c r="B131" s="59">
        <v>701</v>
      </c>
      <c r="C131" s="60" t="s">
        <v>4</v>
      </c>
      <c r="D131" s="41">
        <v>-1702.5933500000001</v>
      </c>
      <c r="E131" s="40">
        <v>-3.223866318540914E-2</v>
      </c>
      <c r="F131" s="41">
        <v>-1551.8559399999997</v>
      </c>
      <c r="G131" s="40">
        <v>-3.2682233305140182E-2</v>
      </c>
    </row>
    <row r="132" spans="2:7" ht="18.399999999999999" x14ac:dyDescent="0.85">
      <c r="B132" s="59">
        <v>701</v>
      </c>
      <c r="C132" s="60" t="s">
        <v>60</v>
      </c>
      <c r="D132" s="41">
        <v>-1680.0155999999995</v>
      </c>
      <c r="E132" s="40">
        <v>-3.1811152718664755E-2</v>
      </c>
      <c r="F132" s="41">
        <v>-1278.1314000000002</v>
      </c>
      <c r="G132" s="40">
        <v>-2.6917568527285766E-2</v>
      </c>
    </row>
    <row r="133" spans="2:7" ht="18.399999999999999" x14ac:dyDescent="0.85">
      <c r="B133" s="59">
        <v>701</v>
      </c>
      <c r="C133" s="60" t="s">
        <v>61</v>
      </c>
      <c r="D133" s="41">
        <v>6715.1741599999941</v>
      </c>
      <c r="E133" s="40">
        <v>0.12715205188344156</v>
      </c>
      <c r="F133" s="41">
        <v>5804.4413040161435</v>
      </c>
      <c r="G133" s="40">
        <v>0.12224208447070659</v>
      </c>
    </row>
    <row r="134" spans="2:7" ht="18.399999999999999" x14ac:dyDescent="0.85">
      <c r="B134" s="59">
        <v>701</v>
      </c>
      <c r="C134" s="60" t="s">
        <v>62</v>
      </c>
      <c r="D134" s="41">
        <v>-2098.6750499999998</v>
      </c>
      <c r="E134" s="40">
        <v>-3.973848369169989E-2</v>
      </c>
      <c r="F134" s="41">
        <v>-620.79372999999998</v>
      </c>
      <c r="G134" s="40">
        <v>-1.3073974842167506E-2</v>
      </c>
    </row>
    <row r="135" spans="2:7" ht="18.399999999999999" x14ac:dyDescent="0.85">
      <c r="B135" s="59">
        <v>701</v>
      </c>
      <c r="C135" s="60" t="s">
        <v>5</v>
      </c>
      <c r="D135" s="41">
        <v>4616.4991099999943</v>
      </c>
      <c r="E135" s="40">
        <v>8.7413568191741661E-2</v>
      </c>
      <c r="F135" s="41">
        <v>5183.6475740161432</v>
      </c>
      <c r="G135" s="40">
        <v>0.10916810962853907</v>
      </c>
    </row>
    <row r="136" spans="2:7" ht="18.399999999999999" x14ac:dyDescent="0.85">
      <c r="B136" s="59">
        <v>10002</v>
      </c>
      <c r="C136" s="60" t="s">
        <v>1</v>
      </c>
      <c r="D136" s="41">
        <v>51764.171450000002</v>
      </c>
      <c r="E136" s="40">
        <v>1</v>
      </c>
      <c r="F136" s="41">
        <v>54354.876019999989</v>
      </c>
      <c r="G136" s="40">
        <v>1</v>
      </c>
    </row>
    <row r="137" spans="2:7" ht="18.399999999999999" x14ac:dyDescent="0.85">
      <c r="B137" s="59">
        <v>10002</v>
      </c>
      <c r="C137" s="60" t="s">
        <v>56</v>
      </c>
      <c r="D137" s="41">
        <v>3349.9146800000044</v>
      </c>
      <c r="E137" s="40">
        <v>6.471492899747755E-2</v>
      </c>
      <c r="F137" s="41">
        <v>3077.5303210247621</v>
      </c>
      <c r="G137" s="40">
        <v>5.6619213332257043E-2</v>
      </c>
    </row>
    <row r="138" spans="2:7" ht="18.399999999999999" x14ac:dyDescent="0.85">
      <c r="B138" s="59">
        <v>10002</v>
      </c>
      <c r="C138" s="60" t="s">
        <v>57</v>
      </c>
      <c r="D138" s="41">
        <v>14152.689059999999</v>
      </c>
      <c r="E138" s="40">
        <v>0.27340704320304537</v>
      </c>
      <c r="F138" s="41">
        <v>15430.834821024788</v>
      </c>
      <c r="G138" s="40">
        <v>0.28389053477643811</v>
      </c>
    </row>
    <row r="139" spans="2:7" ht="18.399999999999999" x14ac:dyDescent="0.85">
      <c r="B139" s="59">
        <v>10002</v>
      </c>
      <c r="C139" s="60" t="s">
        <v>2</v>
      </c>
      <c r="D139" s="41">
        <v>-351.55641000000003</v>
      </c>
      <c r="E139" s="40">
        <v>-6.7915007649562214E-3</v>
      </c>
      <c r="F139" s="41">
        <v>-391.11636000000004</v>
      </c>
      <c r="G139" s="40">
        <v>-7.1956076186447003E-3</v>
      </c>
    </row>
    <row r="140" spans="2:7" ht="18.399999999999999" x14ac:dyDescent="0.85">
      <c r="B140" s="59">
        <v>10002</v>
      </c>
      <c r="C140" s="60" t="s">
        <v>58</v>
      </c>
      <c r="D140" s="41">
        <v>-987.04633999999999</v>
      </c>
      <c r="E140" s="40">
        <v>-1.9068137523526419E-2</v>
      </c>
      <c r="F140" s="41">
        <v>-886.54505999999992</v>
      </c>
      <c r="G140" s="40">
        <v>-1.6310313350246516E-2</v>
      </c>
    </row>
    <row r="141" spans="2:7" ht="18.399999999999999" x14ac:dyDescent="0.85">
      <c r="B141" s="59">
        <v>10002</v>
      </c>
      <c r="C141" s="60" t="s">
        <v>59</v>
      </c>
      <c r="D141" s="41">
        <v>12814.086309999997</v>
      </c>
      <c r="E141" s="40">
        <v>0.2475474049145627</v>
      </c>
      <c r="F141" s="41">
        <v>14153.173401024789</v>
      </c>
      <c r="G141" s="40">
        <v>0.26038461380754691</v>
      </c>
    </row>
    <row r="142" spans="2:7" ht="18.399999999999999" x14ac:dyDescent="0.85">
      <c r="B142" s="59">
        <v>10002</v>
      </c>
      <c r="C142" s="60" t="s">
        <v>3</v>
      </c>
      <c r="D142" s="41">
        <v>-4852.6843900000003</v>
      </c>
      <c r="E142" s="40">
        <v>-9.374600721055297E-2</v>
      </c>
      <c r="F142" s="41">
        <v>-5689.4382000000014</v>
      </c>
      <c r="G142" s="40">
        <v>-0.10467208494609685</v>
      </c>
    </row>
    <row r="143" spans="2:7" ht="18.399999999999999" x14ac:dyDescent="0.85">
      <c r="B143" s="59">
        <v>10002</v>
      </c>
      <c r="C143" s="60" t="s">
        <v>4</v>
      </c>
      <c r="D143" s="41">
        <v>-4109.8758799999996</v>
      </c>
      <c r="E143" s="40">
        <v>-7.939614920659567E-2</v>
      </c>
      <c r="F143" s="41">
        <v>-4168.3152100000007</v>
      </c>
      <c r="G143" s="40">
        <v>-7.6687052114078239E-2</v>
      </c>
    </row>
    <row r="144" spans="2:7" ht="18.399999999999999" x14ac:dyDescent="0.85">
      <c r="B144" s="59">
        <v>10002</v>
      </c>
      <c r="C144" s="60" t="s">
        <v>60</v>
      </c>
      <c r="D144" s="41">
        <v>-2420.9399099999996</v>
      </c>
      <c r="E144" s="40">
        <v>-4.6768640203937804E-2</v>
      </c>
      <c r="F144" s="41">
        <v>-3958.6400199999998</v>
      </c>
      <c r="G144" s="40">
        <v>-7.2829529011222652E-2</v>
      </c>
    </row>
    <row r="145" spans="2:7" ht="18.399999999999999" x14ac:dyDescent="0.85">
      <c r="B145" s="59">
        <v>10002</v>
      </c>
      <c r="C145" s="60" t="s">
        <v>61</v>
      </c>
      <c r="D145" s="41">
        <v>1430.5861299999979</v>
      </c>
      <c r="E145" s="40">
        <v>2.7636608293476275E-2</v>
      </c>
      <c r="F145" s="41">
        <v>336.77997102478912</v>
      </c>
      <c r="G145" s="40">
        <v>6.1959477361491957E-3</v>
      </c>
    </row>
    <row r="146" spans="2:7" ht="18.399999999999999" x14ac:dyDescent="0.85">
      <c r="B146" s="59">
        <v>10002</v>
      </c>
      <c r="C146" s="60" t="s">
        <v>62</v>
      </c>
      <c r="D146" s="41">
        <v>-1018.80925</v>
      </c>
      <c r="E146" s="40">
        <v>-1.9681745529030389E-2</v>
      </c>
      <c r="F146" s="41">
        <v>-977.64787999999987</v>
      </c>
      <c r="G146" s="40">
        <v>-1.798638781993123E-2</v>
      </c>
    </row>
    <row r="147" spans="2:7" ht="18.399999999999999" x14ac:dyDescent="0.85">
      <c r="B147" s="59">
        <v>10002</v>
      </c>
      <c r="C147" s="60" t="s">
        <v>5</v>
      </c>
      <c r="D147" s="41">
        <v>411.77687999999785</v>
      </c>
      <c r="E147" s="40">
        <v>7.9548627644458868E-3</v>
      </c>
      <c r="F147" s="41">
        <v>-640.86790897521075</v>
      </c>
      <c r="G147" s="40">
        <v>-1.1790440083782034E-2</v>
      </c>
    </row>
    <row r="148" spans="2:7" ht="18.399999999999999" x14ac:dyDescent="0.85">
      <c r="B148" s="59">
        <v>10003</v>
      </c>
      <c r="C148" s="60" t="s">
        <v>1</v>
      </c>
      <c r="D148" s="41">
        <v>92454.731239999994</v>
      </c>
      <c r="E148" s="40">
        <v>1</v>
      </c>
      <c r="F148" s="41">
        <v>88273.00477</v>
      </c>
      <c r="G148" s="40">
        <v>1</v>
      </c>
    </row>
    <row r="149" spans="2:7" ht="18.399999999999999" x14ac:dyDescent="0.85">
      <c r="B149" s="59">
        <v>10003</v>
      </c>
      <c r="C149" s="60" t="s">
        <v>56</v>
      </c>
      <c r="D149" s="41">
        <v>9520.1228299999984</v>
      </c>
      <c r="E149" s="40">
        <v>0.1029706398181727</v>
      </c>
      <c r="F149" s="41">
        <v>9687.0967995651026</v>
      </c>
      <c r="G149" s="40">
        <v>0.10974019548564533</v>
      </c>
    </row>
    <row r="150" spans="2:7" ht="18.399999999999999" x14ac:dyDescent="0.85">
      <c r="B150" s="59">
        <v>10003</v>
      </c>
      <c r="C150" s="60" t="s">
        <v>57</v>
      </c>
      <c r="D150" s="41">
        <v>27832.643609999992</v>
      </c>
      <c r="E150" s="40">
        <v>0.30104077137761842</v>
      </c>
      <c r="F150" s="41">
        <v>26623.924249565112</v>
      </c>
      <c r="G150" s="40">
        <v>0.30160890431831522</v>
      </c>
    </row>
    <row r="151" spans="2:7" ht="18.399999999999999" x14ac:dyDescent="0.85">
      <c r="B151" s="59">
        <v>10003</v>
      </c>
      <c r="C151" s="60" t="s">
        <v>2</v>
      </c>
      <c r="D151" s="41">
        <v>-575.03408999999999</v>
      </c>
      <c r="E151" s="40">
        <v>-6.2196285932332564E-3</v>
      </c>
      <c r="F151" s="41">
        <v>-493.22289000000001</v>
      </c>
      <c r="G151" s="40">
        <v>-5.5874714051608243E-3</v>
      </c>
    </row>
    <row r="152" spans="2:7" ht="18.399999999999999" x14ac:dyDescent="0.85">
      <c r="B152" s="59">
        <v>10003</v>
      </c>
      <c r="C152" s="60" t="s">
        <v>58</v>
      </c>
      <c r="D152" s="41">
        <v>-1732.1944999999996</v>
      </c>
      <c r="E152" s="40">
        <v>-1.8735596077862762E-2</v>
      </c>
      <c r="F152" s="41">
        <v>-1561.4624899999999</v>
      </c>
      <c r="G152" s="40">
        <v>-1.7689014824730089E-2</v>
      </c>
    </row>
    <row r="153" spans="2:7" ht="18.399999999999999" x14ac:dyDescent="0.85">
      <c r="B153" s="59">
        <v>10003</v>
      </c>
      <c r="C153" s="60" t="s">
        <v>59</v>
      </c>
      <c r="D153" s="41">
        <v>25525.415019999989</v>
      </c>
      <c r="E153" s="40">
        <v>0.27608554670652236</v>
      </c>
      <c r="F153" s="41">
        <v>24569.238869565117</v>
      </c>
      <c r="G153" s="40">
        <v>0.27833241808842435</v>
      </c>
    </row>
    <row r="154" spans="2:7" ht="18.399999999999999" x14ac:dyDescent="0.85">
      <c r="B154" s="59">
        <v>10003</v>
      </c>
      <c r="C154" s="60" t="s">
        <v>3</v>
      </c>
      <c r="D154" s="41">
        <v>-7340.7357600000005</v>
      </c>
      <c r="E154" s="40">
        <v>-7.9398162338976924E-2</v>
      </c>
      <c r="F154" s="41">
        <v>-6855.4512499999983</v>
      </c>
      <c r="G154" s="40">
        <v>-7.7661922440073722E-2</v>
      </c>
    </row>
    <row r="155" spans="2:7" ht="18.399999999999999" x14ac:dyDescent="0.85">
      <c r="B155" s="59">
        <v>10003</v>
      </c>
      <c r="C155" s="60" t="s">
        <v>4</v>
      </c>
      <c r="D155" s="41">
        <v>-3314.3471</v>
      </c>
      <c r="E155" s="40">
        <v>-3.5848323342116503E-2</v>
      </c>
      <c r="F155" s="41">
        <v>-3512.1626299999998</v>
      </c>
      <c r="G155" s="40">
        <v>-3.9787505128562529E-2</v>
      </c>
    </row>
    <row r="156" spans="2:7" ht="18.399999999999999" x14ac:dyDescent="0.85">
      <c r="B156" s="59">
        <v>10003</v>
      </c>
      <c r="C156" s="60" t="s">
        <v>60</v>
      </c>
      <c r="D156" s="41">
        <v>-6838.3700399999989</v>
      </c>
      <c r="E156" s="40">
        <v>-7.3964522402304264E-2</v>
      </c>
      <c r="F156" s="41">
        <v>-6838.3700399999989</v>
      </c>
      <c r="G156" s="40">
        <v>-7.7468418094724822E-2</v>
      </c>
    </row>
    <row r="157" spans="2:7" ht="18.399999999999999" x14ac:dyDescent="0.85">
      <c r="B157" s="59">
        <v>10003</v>
      </c>
      <c r="C157" s="60" t="s">
        <v>61</v>
      </c>
      <c r="D157" s="41">
        <v>8031.9621199999892</v>
      </c>
      <c r="E157" s="40">
        <v>8.687453862312465E-2</v>
      </c>
      <c r="F157" s="41">
        <v>7363.2549495651219</v>
      </c>
      <c r="G157" s="40">
        <v>8.3414572425063283E-2</v>
      </c>
    </row>
    <row r="158" spans="2:7" ht="18.399999999999999" x14ac:dyDescent="0.85">
      <c r="B158" s="59">
        <v>10003</v>
      </c>
      <c r="C158" s="60" t="s">
        <v>62</v>
      </c>
      <c r="D158" s="41">
        <v>-3001.4104399999992</v>
      </c>
      <c r="E158" s="40">
        <v>-3.2463567842826162E-2</v>
      </c>
      <c r="F158" s="41">
        <v>-3163.6053999999999</v>
      </c>
      <c r="G158" s="40">
        <v>-3.5838877448920448E-2</v>
      </c>
    </row>
    <row r="159" spans="2:7" ht="18.399999999999999" x14ac:dyDescent="0.85">
      <c r="B159" s="59">
        <v>10003</v>
      </c>
      <c r="C159" s="60" t="s">
        <v>5</v>
      </c>
      <c r="D159" s="41">
        <v>5030.5516799999896</v>
      </c>
      <c r="E159" s="40">
        <v>5.4410970780298488E-2</v>
      </c>
      <c r="F159" s="41">
        <v>4199.6495495651216</v>
      </c>
      <c r="G159" s="40">
        <v>4.7575694976142835E-2</v>
      </c>
    </row>
    <row r="160" spans="2:7" ht="18.399999999999999" x14ac:dyDescent="0.85">
      <c r="B160" s="59">
        <v>10006</v>
      </c>
      <c r="C160" s="60" t="s">
        <v>1</v>
      </c>
      <c r="D160" s="41">
        <v>80238.572040000014</v>
      </c>
      <c r="E160" s="40">
        <v>1</v>
      </c>
      <c r="F160" s="41">
        <v>74897.164579999997</v>
      </c>
      <c r="G160" s="40">
        <v>1</v>
      </c>
    </row>
    <row r="161" spans="2:7" ht="18.399999999999999" x14ac:dyDescent="0.85">
      <c r="B161" s="59">
        <v>10006</v>
      </c>
      <c r="C161" s="60" t="s">
        <v>56</v>
      </c>
      <c r="D161" s="41">
        <v>7517.2521499999966</v>
      </c>
      <c r="E161" s="40">
        <v>9.368626533199699E-2</v>
      </c>
      <c r="F161" s="41">
        <v>7181.3169994514992</v>
      </c>
      <c r="G161" s="40">
        <v>9.5882361364707083E-2</v>
      </c>
    </row>
    <row r="162" spans="2:7" ht="18.399999999999999" x14ac:dyDescent="0.85">
      <c r="B162" s="59">
        <v>10006</v>
      </c>
      <c r="C162" s="60" t="s">
        <v>57</v>
      </c>
      <c r="D162" s="41">
        <v>23591.045659999985</v>
      </c>
      <c r="E162" s="40">
        <v>0.29401128484987904</v>
      </c>
      <c r="F162" s="41">
        <v>23181.55821945149</v>
      </c>
      <c r="G162" s="40">
        <v>0.30951182664185567</v>
      </c>
    </row>
    <row r="163" spans="2:7" ht="18.399999999999999" x14ac:dyDescent="0.85">
      <c r="B163" s="59">
        <v>10006</v>
      </c>
      <c r="C163" s="60" t="s">
        <v>2</v>
      </c>
      <c r="D163" s="41">
        <v>-481.76863000000003</v>
      </c>
      <c r="E163" s="40">
        <v>-6.0042024396923695E-3</v>
      </c>
      <c r="F163" s="41">
        <v>-661.74125000000004</v>
      </c>
      <c r="G163" s="40">
        <v>-8.8353311331722528E-3</v>
      </c>
    </row>
    <row r="164" spans="2:7" ht="18.399999999999999" x14ac:dyDescent="0.85">
      <c r="B164" s="59">
        <v>10006</v>
      </c>
      <c r="C164" s="60" t="s">
        <v>58</v>
      </c>
      <c r="D164" s="41">
        <v>-1469.2371499999999</v>
      </c>
      <c r="E164" s="40">
        <v>-1.8310858638755003E-2</v>
      </c>
      <c r="F164" s="41">
        <v>-1200.59557</v>
      </c>
      <c r="G164" s="40">
        <v>-1.6029920180991718E-2</v>
      </c>
    </row>
    <row r="165" spans="2:7" ht="18.399999999999999" x14ac:dyDescent="0.85">
      <c r="B165" s="59">
        <v>10006</v>
      </c>
      <c r="C165" s="60" t="s">
        <v>59</v>
      </c>
      <c r="D165" s="41">
        <v>21640.039879999982</v>
      </c>
      <c r="E165" s="40">
        <v>0.26969622377143165</v>
      </c>
      <c r="F165" s="41">
        <v>21319.2213994515</v>
      </c>
      <c r="G165" s="40">
        <v>0.28464657532769183</v>
      </c>
    </row>
    <row r="166" spans="2:7" ht="18.399999999999999" x14ac:dyDescent="0.85">
      <c r="B166" s="59">
        <v>10006</v>
      </c>
      <c r="C166" s="60" t="s">
        <v>3</v>
      </c>
      <c r="D166" s="41">
        <v>-6977.3074400000005</v>
      </c>
      <c r="E166" s="40">
        <v>-8.6957024067199476E-2</v>
      </c>
      <c r="F166" s="41">
        <v>-6398.4770999999982</v>
      </c>
      <c r="G166" s="40">
        <v>-8.5430164624798119E-2</v>
      </c>
    </row>
    <row r="167" spans="2:7" ht="18.399999999999999" x14ac:dyDescent="0.85">
      <c r="B167" s="59">
        <v>10006</v>
      </c>
      <c r="C167" s="60" t="s">
        <v>4</v>
      </c>
      <c r="D167" s="41">
        <v>-1571.5953299999996</v>
      </c>
      <c r="E167" s="40">
        <v>-1.9586531639876868E-2</v>
      </c>
      <c r="F167" s="41">
        <v>-1615.7842499999997</v>
      </c>
      <c r="G167" s="40">
        <v>-2.1573370087650381E-2</v>
      </c>
    </row>
    <row r="168" spans="2:7" ht="18.399999999999999" x14ac:dyDescent="0.85">
      <c r="B168" s="59">
        <v>10006</v>
      </c>
      <c r="C168" s="60" t="s">
        <v>60</v>
      </c>
      <c r="D168" s="41">
        <v>-2763.4790400000006</v>
      </c>
      <c r="E168" s="40">
        <v>-3.4440780409481474E-2</v>
      </c>
      <c r="F168" s="41">
        <v>-2763.4790400000006</v>
      </c>
      <c r="G168" s="40">
        <v>-3.6896978083172195E-2</v>
      </c>
    </row>
    <row r="169" spans="2:7" ht="18.399999999999999" x14ac:dyDescent="0.85">
      <c r="B169" s="59">
        <v>10006</v>
      </c>
      <c r="C169" s="60" t="s">
        <v>61</v>
      </c>
      <c r="D169" s="41">
        <v>10327.658069999981</v>
      </c>
      <c r="E169" s="40">
        <v>0.12871188765487382</v>
      </c>
      <c r="F169" s="41">
        <v>10541.481009451501</v>
      </c>
      <c r="G169" s="40">
        <v>0.14074606253207111</v>
      </c>
    </row>
    <row r="170" spans="2:7" ht="18.399999999999999" x14ac:dyDescent="0.85">
      <c r="B170" s="59">
        <v>10006</v>
      </c>
      <c r="C170" s="60" t="s">
        <v>62</v>
      </c>
      <c r="D170" s="41">
        <v>-2467.9969099999998</v>
      </c>
      <c r="E170" s="40">
        <v>-3.075823568706669E-2</v>
      </c>
      <c r="F170" s="41">
        <v>-2283.9240699999996</v>
      </c>
      <c r="G170" s="40">
        <v>-3.0494132625814813E-2</v>
      </c>
    </row>
    <row r="171" spans="2:7" ht="18.399999999999999" x14ac:dyDescent="0.85">
      <c r="B171" s="59">
        <v>10006</v>
      </c>
      <c r="C171" s="60" t="s">
        <v>5</v>
      </c>
      <c r="D171" s="41">
        <v>7859.6611599999815</v>
      </c>
      <c r="E171" s="40">
        <v>9.7953651967807129E-2</v>
      </c>
      <c r="F171" s="41">
        <v>8257.5569394515023</v>
      </c>
      <c r="G171" s="40">
        <v>0.1102519299062563</v>
      </c>
    </row>
    <row r="172" spans="2:7" ht="18.399999999999999" x14ac:dyDescent="0.85">
      <c r="B172" s="59">
        <v>20001</v>
      </c>
      <c r="C172" s="60" t="s">
        <v>1</v>
      </c>
      <c r="D172" s="41">
        <v>56986.863300000005</v>
      </c>
      <c r="E172" s="40">
        <v>1</v>
      </c>
      <c r="F172" s="41">
        <v>56242.818140000003</v>
      </c>
      <c r="G172" s="40">
        <v>1</v>
      </c>
    </row>
    <row r="173" spans="2:7" ht="18.399999999999999" x14ac:dyDescent="0.85">
      <c r="B173" s="59">
        <v>20001</v>
      </c>
      <c r="C173" s="60" t="s">
        <v>56</v>
      </c>
      <c r="D173" s="41">
        <v>4920.96216</v>
      </c>
      <c r="E173" s="40">
        <v>8.6352571014379723E-2</v>
      </c>
      <c r="F173" s="41">
        <v>5349.4697446421924</v>
      </c>
      <c r="G173" s="40">
        <v>9.5113828246057228E-2</v>
      </c>
    </row>
    <row r="174" spans="2:7" ht="18.399999999999999" x14ac:dyDescent="0.85">
      <c r="B174" s="59">
        <v>20001</v>
      </c>
      <c r="C174" s="60" t="s">
        <v>57</v>
      </c>
      <c r="D174" s="41">
        <v>16575.142839999993</v>
      </c>
      <c r="E174" s="40">
        <v>0.29085901346670529</v>
      </c>
      <c r="F174" s="41">
        <v>16500.386364642171</v>
      </c>
      <c r="G174" s="40">
        <v>0.29337765976749774</v>
      </c>
    </row>
    <row r="175" spans="2:7" ht="18.399999999999999" x14ac:dyDescent="0.85">
      <c r="B175" s="59">
        <v>20001</v>
      </c>
      <c r="C175" s="60" t="s">
        <v>2</v>
      </c>
      <c r="D175" s="41">
        <v>-335.17966999999999</v>
      </c>
      <c r="E175" s="40">
        <v>-5.8817006339775147E-3</v>
      </c>
      <c r="F175" s="41">
        <v>-881.21866</v>
      </c>
      <c r="G175" s="40">
        <v>-1.5668109976396713E-2</v>
      </c>
    </row>
    <row r="176" spans="2:7" ht="18.399999999999999" x14ac:dyDescent="0.85">
      <c r="B176" s="59">
        <v>20001</v>
      </c>
      <c r="C176" s="60" t="s">
        <v>58</v>
      </c>
      <c r="D176" s="41">
        <v>-1084.8558499999999</v>
      </c>
      <c r="E176" s="40">
        <v>-1.903694618685917E-2</v>
      </c>
      <c r="F176" s="41">
        <v>-997.85863000000006</v>
      </c>
      <c r="G176" s="40">
        <v>-1.7741974228889519E-2</v>
      </c>
    </row>
    <row r="177" spans="2:7" ht="18.399999999999999" x14ac:dyDescent="0.85">
      <c r="B177" s="59">
        <v>20001</v>
      </c>
      <c r="C177" s="60" t="s">
        <v>59</v>
      </c>
      <c r="D177" s="41">
        <v>15155.107319999996</v>
      </c>
      <c r="E177" s="40">
        <v>0.26594036664586862</v>
      </c>
      <c r="F177" s="41">
        <v>14621.309074642171</v>
      </c>
      <c r="G177" s="40">
        <v>0.25996757556221151</v>
      </c>
    </row>
    <row r="178" spans="2:7" ht="18.399999999999999" x14ac:dyDescent="0.85">
      <c r="B178" s="59">
        <v>20001</v>
      </c>
      <c r="C178" s="60" t="s">
        <v>3</v>
      </c>
      <c r="D178" s="41">
        <v>-5755.8649299999997</v>
      </c>
      <c r="E178" s="40">
        <v>-0.10100336457718316</v>
      </c>
      <c r="F178" s="41">
        <v>-6534.1833799999977</v>
      </c>
      <c r="G178" s="40">
        <v>-0.11617809341870218</v>
      </c>
    </row>
    <row r="179" spans="2:7" ht="18.399999999999999" x14ac:dyDescent="0.85">
      <c r="B179" s="59">
        <v>20001</v>
      </c>
      <c r="C179" s="60" t="s">
        <v>4</v>
      </c>
      <c r="D179" s="41">
        <v>-3633.4532599999989</v>
      </c>
      <c r="E179" s="40">
        <v>-6.3759488583748719E-2</v>
      </c>
      <c r="F179" s="41">
        <v>-3740.6242899999997</v>
      </c>
      <c r="G179" s="40">
        <v>-6.6508479014846175E-2</v>
      </c>
    </row>
    <row r="180" spans="2:7" ht="18.399999999999999" x14ac:dyDescent="0.85">
      <c r="B180" s="59">
        <v>20001</v>
      </c>
      <c r="C180" s="60" t="s">
        <v>60</v>
      </c>
      <c r="D180" s="41">
        <v>-3500.0000400000004</v>
      </c>
      <c r="E180" s="40">
        <v>-6.1417664305801513E-2</v>
      </c>
      <c r="F180" s="41">
        <v>-3911.4670900000001</v>
      </c>
      <c r="G180" s="40">
        <v>-6.9546072180514673E-2</v>
      </c>
    </row>
    <row r="181" spans="2:7" ht="18.399999999999999" x14ac:dyDescent="0.85">
      <c r="B181" s="59">
        <v>20001</v>
      </c>
      <c r="C181" s="60" t="s">
        <v>61</v>
      </c>
      <c r="D181" s="41">
        <v>2265.7890899999966</v>
      </c>
      <c r="E181" s="40">
        <v>3.9759849179135227E-2</v>
      </c>
      <c r="F181" s="41">
        <v>435.03431464217283</v>
      </c>
      <c r="G181" s="40">
        <v>7.7349309481484817E-3</v>
      </c>
    </row>
    <row r="182" spans="2:7" ht="18.399999999999999" x14ac:dyDescent="0.85">
      <c r="B182" s="59">
        <v>20001</v>
      </c>
      <c r="C182" s="60" t="s">
        <v>62</v>
      </c>
      <c r="D182" s="41">
        <v>-3202.3607699999993</v>
      </c>
      <c r="E182" s="40">
        <v>-5.6194719002896923E-2</v>
      </c>
      <c r="F182" s="41">
        <v>-736.47233000000006</v>
      </c>
      <c r="G182" s="40">
        <v>-1.3094513297089206E-2</v>
      </c>
    </row>
    <row r="183" spans="2:7" ht="18.399999999999999" x14ac:dyDescent="0.85">
      <c r="B183" s="59">
        <v>20001</v>
      </c>
      <c r="C183" s="60" t="s">
        <v>5</v>
      </c>
      <c r="D183" s="41">
        <v>-936.57168000000274</v>
      </c>
      <c r="E183" s="40">
        <v>-1.6434869823761692E-2</v>
      </c>
      <c r="F183" s="41">
        <v>-301.43801535782723</v>
      </c>
      <c r="G183" s="40">
        <v>-5.3595823489407252E-3</v>
      </c>
    </row>
    <row r="184" spans="2:7" ht="18.399999999999999" x14ac:dyDescent="0.85">
      <c r="B184" s="59">
        <v>20006</v>
      </c>
      <c r="C184" s="60" t="s">
        <v>1</v>
      </c>
      <c r="D184" s="41">
        <v>199116.84079000002</v>
      </c>
      <c r="E184" s="40">
        <v>1</v>
      </c>
      <c r="F184" s="41">
        <v>195549.07797999997</v>
      </c>
      <c r="G184" s="40">
        <v>1</v>
      </c>
    </row>
    <row r="185" spans="2:7" ht="18.399999999999999" x14ac:dyDescent="0.85">
      <c r="B185" s="59">
        <v>20006</v>
      </c>
      <c r="C185" s="60" t="s">
        <v>56</v>
      </c>
      <c r="D185" s="41">
        <v>17236.885110000007</v>
      </c>
      <c r="E185" s="40">
        <v>8.6566686381786301E-2</v>
      </c>
      <c r="F185" s="41">
        <v>17566.84372995911</v>
      </c>
      <c r="G185" s="40">
        <v>8.9833426531194291E-2</v>
      </c>
    </row>
    <row r="186" spans="2:7" ht="18.399999999999999" x14ac:dyDescent="0.85">
      <c r="B186" s="59">
        <v>20006</v>
      </c>
      <c r="C186" s="60" t="s">
        <v>57</v>
      </c>
      <c r="D186" s="41">
        <v>55705.272739999979</v>
      </c>
      <c r="E186" s="40">
        <v>0.27976173446197822</v>
      </c>
      <c r="F186" s="41">
        <v>53750.452019959128</v>
      </c>
      <c r="G186" s="40">
        <v>0.27486937077482165</v>
      </c>
    </row>
    <row r="187" spans="2:7" ht="18.399999999999999" x14ac:dyDescent="0.85">
      <c r="B187" s="59">
        <v>20006</v>
      </c>
      <c r="C187" s="60" t="s">
        <v>2</v>
      </c>
      <c r="D187" s="41">
        <v>-1137.6119500000002</v>
      </c>
      <c r="E187" s="40">
        <v>-5.7132884666435159E-3</v>
      </c>
      <c r="F187" s="41">
        <v>-674.98951000000011</v>
      </c>
      <c r="G187" s="40">
        <v>-3.4517652395632133E-3</v>
      </c>
    </row>
    <row r="188" spans="2:7" ht="18.399999999999999" x14ac:dyDescent="0.85">
      <c r="B188" s="59">
        <v>20006</v>
      </c>
      <c r="C188" s="60" t="s">
        <v>58</v>
      </c>
      <c r="D188" s="41">
        <v>-3667.9759299999996</v>
      </c>
      <c r="E188" s="40">
        <v>-1.8421224018255977E-2</v>
      </c>
      <c r="F188" s="41">
        <v>-3335.6879199999998</v>
      </c>
      <c r="G188" s="40">
        <v>-1.7058060076054982E-2</v>
      </c>
    </row>
    <row r="189" spans="2:7" ht="18.399999999999999" x14ac:dyDescent="0.85">
      <c r="B189" s="59">
        <v>20006</v>
      </c>
      <c r="C189" s="60" t="s">
        <v>59</v>
      </c>
      <c r="D189" s="41">
        <v>50899.684859999979</v>
      </c>
      <c r="E189" s="40">
        <v>0.25562722197707871</v>
      </c>
      <c r="F189" s="41">
        <v>49739.774589959139</v>
      </c>
      <c r="G189" s="40">
        <v>0.25435954545920353</v>
      </c>
    </row>
    <row r="190" spans="2:7" ht="18.399999999999999" x14ac:dyDescent="0.85">
      <c r="B190" s="59">
        <v>20006</v>
      </c>
      <c r="C190" s="60" t="s">
        <v>3</v>
      </c>
      <c r="D190" s="41">
        <v>-14161.369839999998</v>
      </c>
      <c r="E190" s="40">
        <v>-7.1120904609647692E-2</v>
      </c>
      <c r="F190" s="41">
        <v>-13355.86679</v>
      </c>
      <c r="G190" s="40">
        <v>-6.8299308429191311E-2</v>
      </c>
    </row>
    <row r="191" spans="2:7" ht="18.399999999999999" x14ac:dyDescent="0.85">
      <c r="B191" s="59">
        <v>20006</v>
      </c>
      <c r="C191" s="60" t="s">
        <v>4</v>
      </c>
      <c r="D191" s="41">
        <v>-5234.7445099999995</v>
      </c>
      <c r="E191" s="40">
        <v>-2.6289813002411282E-2</v>
      </c>
      <c r="F191" s="41">
        <v>-5562.4497699999993</v>
      </c>
      <c r="G191" s="40">
        <v>-2.844528763551064E-2</v>
      </c>
    </row>
    <row r="192" spans="2:7" ht="18.399999999999999" x14ac:dyDescent="0.85">
      <c r="B192" s="59">
        <v>20006</v>
      </c>
      <c r="C192" s="60" t="s">
        <v>60</v>
      </c>
      <c r="D192" s="41">
        <v>-11262.88308</v>
      </c>
      <c r="E192" s="40">
        <v>-5.6564191332658192E-2</v>
      </c>
      <c r="F192" s="41">
        <v>-11262.88308</v>
      </c>
      <c r="G192" s="40">
        <v>-5.7596196291715196E-2</v>
      </c>
    </row>
    <row r="193" spans="2:7" ht="18.399999999999999" x14ac:dyDescent="0.85">
      <c r="B193" s="59">
        <v>20006</v>
      </c>
      <c r="C193" s="60" t="s">
        <v>61</v>
      </c>
      <c r="D193" s="41">
        <v>20240.687429999984</v>
      </c>
      <c r="E193" s="40">
        <v>0.10165231303236158</v>
      </c>
      <c r="F193" s="41">
        <v>19558.57494995914</v>
      </c>
      <c r="G193" s="40">
        <v>0.10001875310278639</v>
      </c>
    </row>
    <row r="194" spans="2:7" ht="18.399999999999999" x14ac:dyDescent="0.85">
      <c r="B194" s="59">
        <v>20006</v>
      </c>
      <c r="C194" s="60" t="s">
        <v>62</v>
      </c>
      <c r="D194" s="41">
        <v>-5330.0470599999999</v>
      </c>
      <c r="E194" s="40">
        <v>-2.6768439268386002E-2</v>
      </c>
      <c r="F194" s="41">
        <v>-4603.8289100000002</v>
      </c>
      <c r="G194" s="40">
        <v>-2.3543086766539819E-2</v>
      </c>
    </row>
    <row r="195" spans="2:7" ht="18.399999999999999" x14ac:dyDescent="0.85">
      <c r="B195" s="59">
        <v>20006</v>
      </c>
      <c r="C195" s="60" t="s">
        <v>5</v>
      </c>
      <c r="D195" s="41">
        <v>14910.640369999983</v>
      </c>
      <c r="E195" s="40">
        <v>7.4883873763975567E-2</v>
      </c>
      <c r="F195" s="41">
        <v>14954.74603995914</v>
      </c>
      <c r="G195" s="40">
        <v>7.647566633624657E-2</v>
      </c>
    </row>
    <row r="196" spans="2:7" ht="18.399999999999999" x14ac:dyDescent="0.85">
      <c r="B196" s="59">
        <v>20010</v>
      </c>
      <c r="C196" s="60" t="s">
        <v>1</v>
      </c>
      <c r="D196" s="41">
        <v>103623.84657000001</v>
      </c>
      <c r="E196" s="40">
        <v>1</v>
      </c>
      <c r="F196" s="41">
        <v>97191.298280000017</v>
      </c>
      <c r="G196" s="40">
        <v>1</v>
      </c>
    </row>
    <row r="197" spans="2:7" ht="18.399999999999999" x14ac:dyDescent="0.85">
      <c r="B197" s="59">
        <v>20010</v>
      </c>
      <c r="C197" s="60" t="s">
        <v>56</v>
      </c>
      <c r="D197" s="41">
        <v>4440.6354399999982</v>
      </c>
      <c r="E197" s="40">
        <v>4.2853412481655549E-2</v>
      </c>
      <c r="F197" s="41">
        <v>1709.0141809750271</v>
      </c>
      <c r="G197" s="40">
        <v>1.7584024611457499E-2</v>
      </c>
    </row>
    <row r="198" spans="2:7" ht="18.399999999999999" x14ac:dyDescent="0.85">
      <c r="B198" s="59">
        <v>20010</v>
      </c>
      <c r="C198" s="60" t="s">
        <v>57</v>
      </c>
      <c r="D198" s="41">
        <v>26408.257300000019</v>
      </c>
      <c r="E198" s="40">
        <v>0.2548472979350434</v>
      </c>
      <c r="F198" s="41">
        <v>21546.299260975058</v>
      </c>
      <c r="G198" s="40">
        <v>0.22168959199312235</v>
      </c>
    </row>
    <row r="199" spans="2:7" ht="18.399999999999999" x14ac:dyDescent="0.85">
      <c r="B199" s="59">
        <v>20010</v>
      </c>
      <c r="C199" s="60" t="s">
        <v>2</v>
      </c>
      <c r="D199" s="41">
        <v>-704.91415000000006</v>
      </c>
      <c r="E199" s="40">
        <v>-6.8026248140076158E-3</v>
      </c>
      <c r="F199" s="41">
        <v>-376.21395999999999</v>
      </c>
      <c r="G199" s="40">
        <v>-3.8708605261775489E-3</v>
      </c>
    </row>
    <row r="200" spans="2:7" ht="18.399999999999999" x14ac:dyDescent="0.85">
      <c r="B200" s="59">
        <v>20010</v>
      </c>
      <c r="C200" s="60" t="s">
        <v>58</v>
      </c>
      <c r="D200" s="41">
        <v>-1888.7671499999999</v>
      </c>
      <c r="E200" s="40">
        <v>-1.8227147635598524E-2</v>
      </c>
      <c r="F200" s="41">
        <v>-1683.17507</v>
      </c>
      <c r="G200" s="40">
        <v>-1.7318166335744515E-2</v>
      </c>
    </row>
    <row r="201" spans="2:7" ht="18.399999999999999" x14ac:dyDescent="0.85">
      <c r="B201" s="59">
        <v>20010</v>
      </c>
      <c r="C201" s="60" t="s">
        <v>59</v>
      </c>
      <c r="D201" s="41">
        <v>23814.576000000015</v>
      </c>
      <c r="E201" s="40">
        <v>0.22981752548543724</v>
      </c>
      <c r="F201" s="41">
        <v>19486.910230975052</v>
      </c>
      <c r="G201" s="40">
        <v>0.20050056513120024</v>
      </c>
    </row>
    <row r="202" spans="2:7" ht="18.399999999999999" x14ac:dyDescent="0.85">
      <c r="B202" s="59">
        <v>20010</v>
      </c>
      <c r="C202" s="60" t="s">
        <v>3</v>
      </c>
      <c r="D202" s="41">
        <v>-6644.8150699999978</v>
      </c>
      <c r="E202" s="40">
        <v>-6.4124381500461777E-2</v>
      </c>
      <c r="F202" s="41">
        <v>-6586.2865299999939</v>
      </c>
      <c r="G202" s="40">
        <v>-6.7766216179409935E-2</v>
      </c>
    </row>
    <row r="203" spans="2:7" ht="18.399999999999999" x14ac:dyDescent="0.85">
      <c r="B203" s="59">
        <v>20010</v>
      </c>
      <c r="C203" s="60" t="s">
        <v>4</v>
      </c>
      <c r="D203" s="41">
        <v>-2521.6690600000002</v>
      </c>
      <c r="E203" s="40">
        <v>-2.4334833568415756E-2</v>
      </c>
      <c r="F203" s="41">
        <v>-2297.6547</v>
      </c>
      <c r="G203" s="40">
        <v>-2.3640539232027219E-2</v>
      </c>
    </row>
    <row r="204" spans="2:7" ht="18.399999999999999" x14ac:dyDescent="0.85">
      <c r="B204" s="59">
        <v>20010</v>
      </c>
      <c r="C204" s="60" t="s">
        <v>60</v>
      </c>
      <c r="D204" s="41">
        <v>-2441.2807199999993</v>
      </c>
      <c r="E204" s="40">
        <v>-2.3559062906923309E-2</v>
      </c>
      <c r="F204" s="41">
        <v>-2441.2807199999993</v>
      </c>
      <c r="G204" s="40">
        <v>-2.5118305477995297E-2</v>
      </c>
    </row>
    <row r="205" spans="2:7" ht="18.399999999999999" x14ac:dyDescent="0.85">
      <c r="B205" s="59">
        <v>20010</v>
      </c>
      <c r="C205" s="60" t="s">
        <v>61</v>
      </c>
      <c r="D205" s="41">
        <v>12206.81115000002</v>
      </c>
      <c r="E205" s="40">
        <v>0.11779924750963641</v>
      </c>
      <c r="F205" s="41">
        <v>8161.6882809750605</v>
      </c>
      <c r="G205" s="40">
        <v>8.3975504241767793E-2</v>
      </c>
    </row>
    <row r="206" spans="2:7" ht="18.399999999999999" x14ac:dyDescent="0.85">
      <c r="B206" s="59">
        <v>20010</v>
      </c>
      <c r="C206" s="60" t="s">
        <v>62</v>
      </c>
      <c r="D206" s="41">
        <v>-2481.6861800000001</v>
      </c>
      <c r="E206" s="40">
        <v>-2.3948987247096362E-2</v>
      </c>
      <c r="F206" s="41">
        <v>-2288.0436399999999</v>
      </c>
      <c r="G206" s="40">
        <v>-2.3541651161077582E-2</v>
      </c>
    </row>
    <row r="207" spans="2:7" ht="18.399999999999999" x14ac:dyDescent="0.85">
      <c r="B207" s="59">
        <v>20010</v>
      </c>
      <c r="C207" s="60" t="s">
        <v>5</v>
      </c>
      <c r="D207" s="41">
        <v>9725.1249700000189</v>
      </c>
      <c r="E207" s="40">
        <v>9.385026026254005E-2</v>
      </c>
      <c r="F207" s="41">
        <v>5873.6446409750606</v>
      </c>
      <c r="G207" s="40">
        <v>6.0433853080690214E-2</v>
      </c>
    </row>
    <row r="208" spans="2:7" ht="18.399999999999999" x14ac:dyDescent="0.85">
      <c r="B208" s="59">
        <v>30001</v>
      </c>
      <c r="C208" s="60" t="s">
        <v>1</v>
      </c>
      <c r="D208" s="41">
        <v>55944.710440000003</v>
      </c>
      <c r="E208" s="40">
        <v>1</v>
      </c>
      <c r="F208" s="41">
        <v>55549.386440000017</v>
      </c>
      <c r="G208" s="40">
        <v>1</v>
      </c>
    </row>
    <row r="209" spans="2:7" ht="18.399999999999999" x14ac:dyDescent="0.85">
      <c r="B209" s="59">
        <v>30001</v>
      </c>
      <c r="C209" s="60" t="s">
        <v>56</v>
      </c>
      <c r="D209" s="41">
        <v>2623.9180499999979</v>
      </c>
      <c r="E209" s="40">
        <v>4.6901986432016964E-2</v>
      </c>
      <c r="F209" s="41">
        <v>1182.3414148876245</v>
      </c>
      <c r="G209" s="40">
        <v>2.1284508986695913E-2</v>
      </c>
    </row>
    <row r="210" spans="2:7" ht="18.399999999999999" x14ac:dyDescent="0.85">
      <c r="B210" s="59">
        <v>30001</v>
      </c>
      <c r="C210" s="60" t="s">
        <v>57</v>
      </c>
      <c r="D210" s="41">
        <v>13833.000769999982</v>
      </c>
      <c r="E210" s="40">
        <v>0.24726199601722315</v>
      </c>
      <c r="F210" s="41">
        <v>11953.255834887601</v>
      </c>
      <c r="G210" s="40">
        <v>0.2151824997706959</v>
      </c>
    </row>
    <row r="211" spans="2:7" ht="18.399999999999999" x14ac:dyDescent="0.85">
      <c r="B211" s="59">
        <v>30001</v>
      </c>
      <c r="C211" s="60" t="s">
        <v>2</v>
      </c>
      <c r="D211" s="41">
        <v>-359.47289999999998</v>
      </c>
      <c r="E211" s="40">
        <v>-6.425502914802466E-3</v>
      </c>
      <c r="F211" s="41">
        <v>-524.78018000000009</v>
      </c>
      <c r="G211" s="40">
        <v>-9.4470922836713146E-3</v>
      </c>
    </row>
    <row r="212" spans="2:7" ht="18.399999999999999" x14ac:dyDescent="0.85">
      <c r="B212" s="59">
        <v>30001</v>
      </c>
      <c r="C212" s="60" t="s">
        <v>58</v>
      </c>
      <c r="D212" s="41">
        <v>-1011.29075</v>
      </c>
      <c r="E212" s="40">
        <v>-1.8076610675902893E-2</v>
      </c>
      <c r="F212" s="41">
        <v>-920.84930000000008</v>
      </c>
      <c r="G212" s="40">
        <v>-1.6577128191949113E-2</v>
      </c>
    </row>
    <row r="213" spans="2:7" ht="18.399999999999999" x14ac:dyDescent="0.85">
      <c r="B213" s="59">
        <v>30001</v>
      </c>
      <c r="C213" s="60" t="s">
        <v>59</v>
      </c>
      <c r="D213" s="41">
        <v>12462.23711999998</v>
      </c>
      <c r="E213" s="40">
        <v>0.22275988242651773</v>
      </c>
      <c r="F213" s="41">
        <v>10507.626354887601</v>
      </c>
      <c r="G213" s="40">
        <v>0.18915827929507548</v>
      </c>
    </row>
    <row r="214" spans="2:7" ht="18.399999999999999" x14ac:dyDescent="0.85">
      <c r="B214" s="59">
        <v>30001</v>
      </c>
      <c r="C214" s="60" t="s">
        <v>3</v>
      </c>
      <c r="D214" s="41">
        <v>-4393.1039099999989</v>
      </c>
      <c r="E214" s="40">
        <v>-7.8525813708724926E-2</v>
      </c>
      <c r="F214" s="41">
        <v>-4678.9761700000017</v>
      </c>
      <c r="G214" s="40">
        <v>-8.4230924405508167E-2</v>
      </c>
    </row>
    <row r="215" spans="2:7" ht="18.399999999999999" x14ac:dyDescent="0.85">
      <c r="B215" s="59">
        <v>30001</v>
      </c>
      <c r="C215" s="60" t="s">
        <v>4</v>
      </c>
      <c r="D215" s="41">
        <v>-2592.6918899999991</v>
      </c>
      <c r="E215" s="40">
        <v>-4.634382535200765E-2</v>
      </c>
      <c r="F215" s="41">
        <v>-2873.7074499999994</v>
      </c>
      <c r="G215" s="40">
        <v>-5.1732478685501723E-2</v>
      </c>
    </row>
    <row r="216" spans="2:7" ht="18.399999999999999" x14ac:dyDescent="0.85">
      <c r="B216" s="59">
        <v>30001</v>
      </c>
      <c r="C216" s="60" t="s">
        <v>60</v>
      </c>
      <c r="D216" s="41">
        <v>-3048.4504999999999</v>
      </c>
      <c r="E216" s="40">
        <v>-5.4490415197866196E-2</v>
      </c>
      <c r="F216" s="41">
        <v>-2897.7200499999994</v>
      </c>
      <c r="G216" s="40">
        <v>-5.2164753487059373E-2</v>
      </c>
    </row>
    <row r="217" spans="2:7" ht="18.399999999999999" x14ac:dyDescent="0.85">
      <c r="B217" s="59">
        <v>30001</v>
      </c>
      <c r="C217" s="60" t="s">
        <v>61</v>
      </c>
      <c r="D217" s="41">
        <v>2427.9908199999809</v>
      </c>
      <c r="E217" s="40">
        <v>4.3399828167918937E-2</v>
      </c>
      <c r="F217" s="41">
        <v>57.222684887599826</v>
      </c>
      <c r="G217" s="40">
        <v>1.0301227170061936E-3</v>
      </c>
    </row>
    <row r="218" spans="2:7" ht="18.399999999999999" x14ac:dyDescent="0.85">
      <c r="B218" s="59">
        <v>30001</v>
      </c>
      <c r="C218" s="60" t="s">
        <v>62</v>
      </c>
      <c r="D218" s="41">
        <v>-467.2423</v>
      </c>
      <c r="E218" s="40">
        <v>-8.3518584031480776E-3</v>
      </c>
      <c r="F218" s="41">
        <v>-1289.08086</v>
      </c>
      <c r="G218" s="40">
        <v>-2.3206032372515249E-2</v>
      </c>
    </row>
    <row r="219" spans="2:7" ht="18.399999999999999" x14ac:dyDescent="0.85">
      <c r="B219" s="59">
        <v>30001</v>
      </c>
      <c r="C219" s="60" t="s">
        <v>5</v>
      </c>
      <c r="D219" s="41">
        <v>1960.748519999981</v>
      </c>
      <c r="E219" s="40">
        <v>3.5047969764770863E-2</v>
      </c>
      <c r="F219" s="41">
        <v>-1231.8581751124002</v>
      </c>
      <c r="G219" s="40">
        <v>-2.2175909655509057E-2</v>
      </c>
    </row>
    <row r="220" spans="2:7" ht="18.399999999999999" x14ac:dyDescent="0.85">
      <c r="B220" s="59">
        <v>40004</v>
      </c>
      <c r="C220" s="60" t="s">
        <v>1</v>
      </c>
      <c r="D220" s="41">
        <v>124175.87028999999</v>
      </c>
      <c r="E220" s="40">
        <v>1</v>
      </c>
      <c r="F220" s="41">
        <v>118339.44416</v>
      </c>
      <c r="G220" s="40">
        <v>1</v>
      </c>
    </row>
    <row r="221" spans="2:7" ht="18.399999999999999" x14ac:dyDescent="0.85">
      <c r="B221" s="59">
        <v>40004</v>
      </c>
      <c r="C221" s="60" t="s">
        <v>56</v>
      </c>
      <c r="D221" s="41">
        <v>12557.599610000001</v>
      </c>
      <c r="E221" s="40">
        <v>0.10112753452561288</v>
      </c>
      <c r="F221" s="41">
        <v>13158.581393258124</v>
      </c>
      <c r="G221" s="40">
        <v>0.11119353725768019</v>
      </c>
    </row>
    <row r="222" spans="2:7" ht="18.399999999999999" x14ac:dyDescent="0.85">
      <c r="B222" s="59">
        <v>40004</v>
      </c>
      <c r="C222" s="60" t="s">
        <v>57</v>
      </c>
      <c r="D222" s="41">
        <v>36510.953609999982</v>
      </c>
      <c r="E222" s="40">
        <v>0.29402615439483049</v>
      </c>
      <c r="F222" s="41">
        <v>35246.147333258072</v>
      </c>
      <c r="G222" s="40">
        <v>0.29783938553576245</v>
      </c>
    </row>
    <row r="223" spans="2:7" ht="18.399999999999999" x14ac:dyDescent="0.85">
      <c r="B223" s="59">
        <v>40004</v>
      </c>
      <c r="C223" s="60" t="s">
        <v>2</v>
      </c>
      <c r="D223" s="41">
        <v>-751.78873999999996</v>
      </c>
      <c r="E223" s="40">
        <v>-6.0542256578856634E-3</v>
      </c>
      <c r="F223" s="41">
        <v>-293.61039</v>
      </c>
      <c r="G223" s="40">
        <v>-2.4810864381197041E-3</v>
      </c>
    </row>
    <row r="224" spans="2:7" ht="18.399999999999999" x14ac:dyDescent="0.85">
      <c r="B224" s="59">
        <v>40004</v>
      </c>
      <c r="C224" s="60" t="s">
        <v>58</v>
      </c>
      <c r="D224" s="41">
        <v>-2406.14419</v>
      </c>
      <c r="E224" s="40">
        <v>-1.9376906192649968E-2</v>
      </c>
      <c r="F224" s="41">
        <v>-2188.19517</v>
      </c>
      <c r="G224" s="40">
        <v>-1.8490835287695507E-2</v>
      </c>
    </row>
    <row r="225" spans="2:7" ht="18.399999999999999" x14ac:dyDescent="0.85">
      <c r="B225" s="59">
        <v>40004</v>
      </c>
      <c r="C225" s="60" t="s">
        <v>59</v>
      </c>
      <c r="D225" s="41">
        <v>33353.02067999998</v>
      </c>
      <c r="E225" s="40">
        <v>0.26859502254429485</v>
      </c>
      <c r="F225" s="41">
        <v>32764.341773258071</v>
      </c>
      <c r="G225" s="40">
        <v>0.27686746380994726</v>
      </c>
    </row>
    <row r="226" spans="2:7" ht="18.399999999999999" x14ac:dyDescent="0.85">
      <c r="B226" s="59">
        <v>40004</v>
      </c>
      <c r="C226" s="60" t="s">
        <v>3</v>
      </c>
      <c r="D226" s="41">
        <v>-8042.5537300000005</v>
      </c>
      <c r="E226" s="40">
        <v>-6.4767444038986335E-2</v>
      </c>
      <c r="F226" s="41">
        <v>-8021.489309999999</v>
      </c>
      <c r="G226" s="40">
        <v>-6.7783733200188115E-2</v>
      </c>
    </row>
    <row r="227" spans="2:7" ht="18.399999999999999" x14ac:dyDescent="0.85">
      <c r="B227" s="59">
        <v>40004</v>
      </c>
      <c r="C227" s="60" t="s">
        <v>4</v>
      </c>
      <c r="D227" s="41">
        <v>-4667.6143000000002</v>
      </c>
      <c r="E227" s="40">
        <v>-3.7588738368406573E-2</v>
      </c>
      <c r="F227" s="41">
        <v>-4658.5375999999987</v>
      </c>
      <c r="G227" s="40">
        <v>-3.9365890494647386E-2</v>
      </c>
    </row>
    <row r="228" spans="2:7" ht="18.399999999999999" x14ac:dyDescent="0.85">
      <c r="B228" s="59">
        <v>40004</v>
      </c>
      <c r="C228" s="60" t="s">
        <v>60</v>
      </c>
      <c r="D228" s="41">
        <v>-4525.2064799999998</v>
      </c>
      <c r="E228" s="40">
        <v>-3.6441914757125077E-2</v>
      </c>
      <c r="F228" s="41">
        <v>-4525.2064799999998</v>
      </c>
      <c r="G228" s="40">
        <v>-3.8239206818326162E-2</v>
      </c>
    </row>
    <row r="229" spans="2:7" ht="18.399999999999999" x14ac:dyDescent="0.85">
      <c r="B229" s="59">
        <v>40004</v>
      </c>
      <c r="C229" s="60" t="s">
        <v>61</v>
      </c>
      <c r="D229" s="41">
        <v>16117.646169999978</v>
      </c>
      <c r="E229" s="40">
        <v>0.12979692537977686</v>
      </c>
      <c r="F229" s="41">
        <v>15559.108383258073</v>
      </c>
      <c r="G229" s="40">
        <v>0.13147863329678558</v>
      </c>
    </row>
    <row r="230" spans="2:7" ht="18.399999999999999" x14ac:dyDescent="0.85">
      <c r="B230" s="59">
        <v>40004</v>
      </c>
      <c r="C230" s="60" t="s">
        <v>62</v>
      </c>
      <c r="D230" s="41">
        <v>-4507.0254399999994</v>
      </c>
      <c r="E230" s="40">
        <v>-3.6295501126541771E-2</v>
      </c>
      <c r="F230" s="41">
        <v>-4258.4442099999997</v>
      </c>
      <c r="G230" s="40">
        <v>-3.5984994185390973E-2</v>
      </c>
    </row>
    <row r="231" spans="2:7" ht="18.399999999999999" x14ac:dyDescent="0.85">
      <c r="B231" s="59">
        <v>40004</v>
      </c>
      <c r="C231" s="60" t="s">
        <v>5</v>
      </c>
      <c r="D231" s="41">
        <v>11610.620729999979</v>
      </c>
      <c r="E231" s="40">
        <v>9.3501424253235085E-2</v>
      </c>
      <c r="F231" s="41">
        <v>11300.664173258074</v>
      </c>
      <c r="G231" s="40">
        <v>9.5493639111394607E-2</v>
      </c>
    </row>
    <row r="232" spans="2:7" ht="18.399999999999999" x14ac:dyDescent="0.85">
      <c r="B232" s="59">
        <v>40005</v>
      </c>
      <c r="C232" s="60" t="s">
        <v>1</v>
      </c>
      <c r="D232" s="41">
        <v>69770.380610000007</v>
      </c>
      <c r="E232" s="40">
        <v>1</v>
      </c>
      <c r="F232" s="41">
        <v>68795.663660000006</v>
      </c>
      <c r="G232" s="40">
        <v>1</v>
      </c>
    </row>
    <row r="233" spans="2:7" ht="18.399999999999999" x14ac:dyDescent="0.85">
      <c r="B233" s="59">
        <v>40005</v>
      </c>
      <c r="C233" s="60" t="s">
        <v>56</v>
      </c>
      <c r="D233" s="41">
        <v>6189.4020499999997</v>
      </c>
      <c r="E233" s="40">
        <v>8.8711026024027292E-2</v>
      </c>
      <c r="F233" s="41">
        <v>6264.1352797993241</v>
      </c>
      <c r="G233" s="40">
        <v>9.1054216887240996E-2</v>
      </c>
    </row>
    <row r="234" spans="2:7" ht="18.399999999999999" x14ac:dyDescent="0.85">
      <c r="B234" s="59">
        <v>40005</v>
      </c>
      <c r="C234" s="60" t="s">
        <v>57</v>
      </c>
      <c r="D234" s="41">
        <v>19322.482629999999</v>
      </c>
      <c r="E234" s="40">
        <v>0.27694391891034859</v>
      </c>
      <c r="F234" s="41">
        <v>18643.393069799331</v>
      </c>
      <c r="G234" s="40">
        <v>0.27099663086234888</v>
      </c>
    </row>
    <row r="235" spans="2:7" ht="18.399999999999999" x14ac:dyDescent="0.85">
      <c r="B235" s="59">
        <v>40005</v>
      </c>
      <c r="C235" s="60" t="s">
        <v>2</v>
      </c>
      <c r="D235" s="41">
        <v>-405.66752999999994</v>
      </c>
      <c r="E235" s="40">
        <v>-5.8143230186400423E-3</v>
      </c>
      <c r="F235" s="41">
        <v>-207.44045</v>
      </c>
      <c r="G235" s="40">
        <v>-3.0153128695030308E-3</v>
      </c>
    </row>
    <row r="236" spans="2:7" ht="18.399999999999999" x14ac:dyDescent="0.85">
      <c r="B236" s="59">
        <v>40005</v>
      </c>
      <c r="C236" s="60" t="s">
        <v>58</v>
      </c>
      <c r="D236" s="41">
        <v>-1288.47667</v>
      </c>
      <c r="E236" s="40">
        <v>-1.8467387718612015E-2</v>
      </c>
      <c r="F236" s="41">
        <v>-1192.1242</v>
      </c>
      <c r="G236" s="40">
        <v>-1.7328478810694853E-2</v>
      </c>
    </row>
    <row r="237" spans="2:7" ht="18.399999999999999" x14ac:dyDescent="0.85">
      <c r="B237" s="59">
        <v>40005</v>
      </c>
      <c r="C237" s="60" t="s">
        <v>59</v>
      </c>
      <c r="D237" s="41">
        <v>17628.33843</v>
      </c>
      <c r="E237" s="40">
        <v>0.25266220817309654</v>
      </c>
      <c r="F237" s="41">
        <v>17243.828419799327</v>
      </c>
      <c r="G237" s="40">
        <v>0.25065283918215092</v>
      </c>
    </row>
    <row r="238" spans="2:7" ht="18.399999999999999" x14ac:dyDescent="0.85">
      <c r="B238" s="59">
        <v>40005</v>
      </c>
      <c r="C238" s="60" t="s">
        <v>3</v>
      </c>
      <c r="D238" s="41">
        <v>-5389.8124999999991</v>
      </c>
      <c r="E238" s="40">
        <v>-7.725072520569698E-2</v>
      </c>
      <c r="F238" s="41">
        <v>-5326.737960000004</v>
      </c>
      <c r="G238" s="40">
        <v>-7.742839703277897E-2</v>
      </c>
    </row>
    <row r="239" spans="2:7" ht="18.399999999999999" x14ac:dyDescent="0.85">
      <c r="B239" s="59">
        <v>40005</v>
      </c>
      <c r="C239" s="60" t="s">
        <v>4</v>
      </c>
      <c r="D239" s="41">
        <v>-1853.5766199999998</v>
      </c>
      <c r="E239" s="40">
        <v>-2.6566812504020244E-2</v>
      </c>
      <c r="F239" s="41">
        <v>-2246.09753</v>
      </c>
      <c r="G239" s="40">
        <v>-3.264882422096544E-2</v>
      </c>
    </row>
    <row r="240" spans="2:7" ht="18.399999999999999" x14ac:dyDescent="0.85">
      <c r="B240" s="59">
        <v>40005</v>
      </c>
      <c r="C240" s="60" t="s">
        <v>60</v>
      </c>
      <c r="D240" s="41">
        <v>-5120.8015200000009</v>
      </c>
      <c r="E240" s="40">
        <v>-7.3395063567505456E-2</v>
      </c>
      <c r="F240" s="41">
        <v>-5120.8015200000009</v>
      </c>
      <c r="G240" s="40">
        <v>-7.4434946151662726E-2</v>
      </c>
    </row>
    <row r="241" spans="2:7" ht="18.399999999999999" x14ac:dyDescent="0.85">
      <c r="B241" s="59">
        <v>40005</v>
      </c>
      <c r="C241" s="60" t="s">
        <v>61</v>
      </c>
      <c r="D241" s="41">
        <v>5264.1477899999991</v>
      </c>
      <c r="E241" s="40">
        <v>7.5449606895873836E-2</v>
      </c>
      <c r="F241" s="41">
        <v>4550.1914097993213</v>
      </c>
      <c r="G241" s="40">
        <v>6.6140671776743792E-2</v>
      </c>
    </row>
    <row r="242" spans="2:7" ht="18.399999999999999" x14ac:dyDescent="0.85">
      <c r="B242" s="59">
        <v>40005</v>
      </c>
      <c r="C242" s="60" t="s">
        <v>62</v>
      </c>
      <c r="D242" s="41">
        <v>-2014.1298099999999</v>
      </c>
      <c r="E242" s="40">
        <v>-2.886797796415231E-2</v>
      </c>
      <c r="F242" s="41">
        <v>2114.9750100000001</v>
      </c>
      <c r="G242" s="40">
        <v>3.0742853509671337E-2</v>
      </c>
    </row>
    <row r="243" spans="2:7" ht="18.399999999999999" x14ac:dyDescent="0.85">
      <c r="B243" s="59">
        <v>40005</v>
      </c>
      <c r="C243" s="60" t="s">
        <v>5</v>
      </c>
      <c r="D243" s="41">
        <v>3250.0179799999992</v>
      </c>
      <c r="E243" s="40">
        <v>4.6581628931721526E-2</v>
      </c>
      <c r="F243" s="41">
        <v>6665.1664197993214</v>
      </c>
      <c r="G243" s="40">
        <v>9.688352528641514E-2</v>
      </c>
    </row>
    <row r="244" spans="2:7" ht="18.399999999999999" x14ac:dyDescent="0.85">
      <c r="B244" s="59">
        <v>40013</v>
      </c>
      <c r="C244" s="60" t="s">
        <v>1</v>
      </c>
      <c r="D244" s="41">
        <v>45741.72608</v>
      </c>
      <c r="E244" s="40">
        <v>1</v>
      </c>
      <c r="F244" s="41">
        <v>49726.589660000005</v>
      </c>
      <c r="G244" s="40">
        <v>1</v>
      </c>
    </row>
    <row r="245" spans="2:7" ht="18.399999999999999" x14ac:dyDescent="0.85">
      <c r="B245" s="59">
        <v>40013</v>
      </c>
      <c r="C245" s="60" t="s">
        <v>56</v>
      </c>
      <c r="D245" s="41">
        <v>3776.6744499999954</v>
      </c>
      <c r="E245" s="40">
        <v>8.256519317602444E-2</v>
      </c>
      <c r="F245" s="41">
        <v>4183.1995288740773</v>
      </c>
      <c r="G245" s="40">
        <v>8.4123997995362965E-2</v>
      </c>
    </row>
    <row r="246" spans="2:7" ht="18.399999999999999" x14ac:dyDescent="0.85">
      <c r="B246" s="59">
        <v>40013</v>
      </c>
      <c r="C246" s="60" t="s">
        <v>57</v>
      </c>
      <c r="D246" s="41">
        <v>12801.852649999995</v>
      </c>
      <c r="E246" s="40">
        <v>0.27987253099304105</v>
      </c>
      <c r="F246" s="41">
        <v>13574.910168874074</v>
      </c>
      <c r="G246" s="40">
        <v>0.27299097448047421</v>
      </c>
    </row>
    <row r="247" spans="2:7" ht="18.399999999999999" x14ac:dyDescent="0.85">
      <c r="B247" s="59">
        <v>40013</v>
      </c>
      <c r="C247" s="60" t="s">
        <v>2</v>
      </c>
      <c r="D247" s="41">
        <v>-295.50175999999999</v>
      </c>
      <c r="E247" s="40">
        <v>-6.4602231993428089E-3</v>
      </c>
      <c r="F247" s="41">
        <v>-620.17174999999997</v>
      </c>
      <c r="G247" s="40">
        <v>-1.2471632465454699E-2</v>
      </c>
    </row>
    <row r="248" spans="2:7" ht="18.399999999999999" x14ac:dyDescent="0.85">
      <c r="B248" s="59">
        <v>40013</v>
      </c>
      <c r="C248" s="60" t="s">
        <v>58</v>
      </c>
      <c r="D248" s="41">
        <v>-901.94284999999991</v>
      </c>
      <c r="E248" s="40">
        <v>-1.9718163858148834E-2</v>
      </c>
      <c r="F248" s="41">
        <v>-929.66099000000008</v>
      </c>
      <c r="G248" s="40">
        <v>-1.8695450388945895E-2</v>
      </c>
    </row>
    <row r="249" spans="2:7" ht="18.399999999999999" x14ac:dyDescent="0.85">
      <c r="B249" s="59">
        <v>40013</v>
      </c>
      <c r="C249" s="60" t="s">
        <v>59</v>
      </c>
      <c r="D249" s="41">
        <v>11604.408039999995</v>
      </c>
      <c r="E249" s="40">
        <v>0.2536941439355494</v>
      </c>
      <c r="F249" s="41">
        <v>12025.077428874076</v>
      </c>
      <c r="G249" s="40">
        <v>0.24182389162607365</v>
      </c>
    </row>
    <row r="250" spans="2:7" ht="18.399999999999999" x14ac:dyDescent="0.85">
      <c r="B250" s="59">
        <v>40013</v>
      </c>
      <c r="C250" s="60" t="s">
        <v>3</v>
      </c>
      <c r="D250" s="41">
        <v>-4397.4801799999996</v>
      </c>
      <c r="E250" s="40">
        <v>-9.6137171831011045E-2</v>
      </c>
      <c r="F250" s="41">
        <v>-4704.0989900000022</v>
      </c>
      <c r="G250" s="40">
        <v>-9.4599268161435421E-2</v>
      </c>
    </row>
    <row r="251" spans="2:7" ht="18.399999999999999" x14ac:dyDescent="0.85">
      <c r="B251" s="59">
        <v>40013</v>
      </c>
      <c r="C251" s="60" t="s">
        <v>4</v>
      </c>
      <c r="D251" s="41">
        <v>-2095.5180600000003</v>
      </c>
      <c r="E251" s="40">
        <v>-4.581195856787397E-2</v>
      </c>
      <c r="F251" s="41">
        <v>-1990.4069500000001</v>
      </c>
      <c r="G251" s="40">
        <v>-4.0027014995582547E-2</v>
      </c>
    </row>
    <row r="252" spans="2:7" ht="18.399999999999999" x14ac:dyDescent="0.85">
      <c r="B252" s="59">
        <v>40013</v>
      </c>
      <c r="C252" s="60" t="s">
        <v>60</v>
      </c>
      <c r="D252" s="41">
        <v>-5280.4418400000022</v>
      </c>
      <c r="E252" s="40">
        <v>-0.11544037124363808</v>
      </c>
      <c r="F252" s="41">
        <v>-5280.4418400000022</v>
      </c>
      <c r="G252" s="40">
        <v>-0.10618950296218649</v>
      </c>
    </row>
    <row r="253" spans="2:7" ht="18.399999999999999" x14ac:dyDescent="0.85">
      <c r="B253" s="59">
        <v>40013</v>
      </c>
      <c r="C253" s="60" t="s">
        <v>61</v>
      </c>
      <c r="D253" s="41">
        <v>-169.03204000000733</v>
      </c>
      <c r="E253" s="40">
        <v>-3.6953577069736877E-3</v>
      </c>
      <c r="F253" s="41">
        <v>50.129648874069971</v>
      </c>
      <c r="G253" s="40">
        <v>1.0081055068691788E-3</v>
      </c>
    </row>
    <row r="254" spans="2:7" ht="18.399999999999999" x14ac:dyDescent="0.85">
      <c r="B254" s="59">
        <v>40013</v>
      </c>
      <c r="C254" s="60" t="s">
        <v>62</v>
      </c>
      <c r="D254" s="41">
        <v>-731.41079000000002</v>
      </c>
      <c r="E254" s="40">
        <v>-1.5990012898087821E-2</v>
      </c>
      <c r="F254" s="41">
        <v>-843.09899999999982</v>
      </c>
      <c r="G254" s="40">
        <v>-1.6954691760778184E-2</v>
      </c>
    </row>
    <row r="255" spans="2:7" ht="18.399999999999999" x14ac:dyDescent="0.85">
      <c r="B255" s="59">
        <v>40013</v>
      </c>
      <c r="C255" s="60" t="s">
        <v>5</v>
      </c>
      <c r="D255" s="41">
        <v>-900.44283000000735</v>
      </c>
      <c r="E255" s="40">
        <v>-1.9685370605061508E-2</v>
      </c>
      <c r="F255" s="41">
        <v>-792.96935112592985</v>
      </c>
      <c r="G255" s="40">
        <v>-1.5946586253909007E-2</v>
      </c>
    </row>
    <row r="256" spans="2:7" ht="18.399999999999999" x14ac:dyDescent="0.85">
      <c r="B256" s="59">
        <v>50001</v>
      </c>
      <c r="C256" s="60" t="s">
        <v>1</v>
      </c>
      <c r="D256" s="41">
        <v>130111.17465999999</v>
      </c>
      <c r="E256" s="40">
        <v>1</v>
      </c>
      <c r="F256" s="41">
        <v>123769.43052000002</v>
      </c>
      <c r="G256" s="40">
        <v>1</v>
      </c>
    </row>
    <row r="257" spans="2:7" ht="18.399999999999999" x14ac:dyDescent="0.85">
      <c r="B257" s="59">
        <v>50001</v>
      </c>
      <c r="C257" s="60" t="s">
        <v>56</v>
      </c>
      <c r="D257" s="41">
        <v>8180.4646000000057</v>
      </c>
      <c r="E257" s="40">
        <v>6.2872882528167057E-2</v>
      </c>
      <c r="F257" s="41">
        <v>7654.4641434470523</v>
      </c>
      <c r="G257" s="40">
        <v>6.1844545226457673E-2</v>
      </c>
    </row>
    <row r="258" spans="2:7" ht="18.399999999999999" x14ac:dyDescent="0.85">
      <c r="B258" s="59">
        <v>50001</v>
      </c>
      <c r="C258" s="60" t="s">
        <v>57</v>
      </c>
      <c r="D258" s="41">
        <v>35890.683490000018</v>
      </c>
      <c r="E258" s="40">
        <v>0.27584627979716392</v>
      </c>
      <c r="F258" s="41">
        <v>33146.97453344705</v>
      </c>
      <c r="G258" s="40">
        <v>0.26781228930427048</v>
      </c>
    </row>
    <row r="259" spans="2:7" ht="18.399999999999999" x14ac:dyDescent="0.85">
      <c r="B259" s="59">
        <v>50001</v>
      </c>
      <c r="C259" s="60" t="s">
        <v>2</v>
      </c>
      <c r="D259" s="41">
        <v>-866.94392999999991</v>
      </c>
      <c r="E259" s="40">
        <v>-6.6631012460340502E-3</v>
      </c>
      <c r="F259" s="41">
        <v>-872.13867000000005</v>
      </c>
      <c r="G259" s="40">
        <v>-7.0464788141613877E-3</v>
      </c>
    </row>
    <row r="260" spans="2:7" ht="18.399999999999999" x14ac:dyDescent="0.85">
      <c r="B260" s="59">
        <v>50001</v>
      </c>
      <c r="C260" s="60" t="s">
        <v>58</v>
      </c>
      <c r="D260" s="41">
        <v>-2461.0197200000002</v>
      </c>
      <c r="E260" s="40">
        <v>-1.891474522792538E-2</v>
      </c>
      <c r="F260" s="41">
        <v>-2241.9096799999993</v>
      </c>
      <c r="G260" s="40">
        <v>-1.8113597764657461E-2</v>
      </c>
    </row>
    <row r="261" spans="2:7" ht="18.399999999999999" x14ac:dyDescent="0.85">
      <c r="B261" s="59">
        <v>50001</v>
      </c>
      <c r="C261" s="60" t="s">
        <v>59</v>
      </c>
      <c r="D261" s="41">
        <v>32562.71984000002</v>
      </c>
      <c r="E261" s="40">
        <v>0.25026843332320448</v>
      </c>
      <c r="F261" s="41">
        <v>30032.926183447045</v>
      </c>
      <c r="G261" s="40">
        <v>0.24265221272545159</v>
      </c>
    </row>
    <row r="262" spans="2:7" ht="18.399999999999999" x14ac:dyDescent="0.85">
      <c r="B262" s="59">
        <v>50001</v>
      </c>
      <c r="C262" s="60" t="s">
        <v>3</v>
      </c>
      <c r="D262" s="41">
        <v>-10145.721560000002</v>
      </c>
      <c r="E262" s="40">
        <v>-7.7977326594063062E-2</v>
      </c>
      <c r="F262" s="41">
        <v>-8774.9914099999951</v>
      </c>
      <c r="G262" s="40">
        <v>-7.0897889512241352E-2</v>
      </c>
    </row>
    <row r="263" spans="2:7" ht="18.399999999999999" x14ac:dyDescent="0.85">
      <c r="B263" s="59">
        <v>50001</v>
      </c>
      <c r="C263" s="60" t="s">
        <v>4</v>
      </c>
      <c r="D263" s="41">
        <v>-3508.03647</v>
      </c>
      <c r="E263" s="40">
        <v>-2.6961838436760144E-2</v>
      </c>
      <c r="F263" s="41">
        <v>-3974.4202399999999</v>
      </c>
      <c r="G263" s="40">
        <v>-3.2111485229446617E-2</v>
      </c>
    </row>
    <row r="264" spans="2:7" ht="18.399999999999999" x14ac:dyDescent="0.85">
      <c r="B264" s="59">
        <v>50001</v>
      </c>
      <c r="C264" s="60" t="s">
        <v>60</v>
      </c>
      <c r="D264" s="41">
        <v>-3657.3339700000001</v>
      </c>
      <c r="E264" s="40">
        <v>-2.8109299447623637E-2</v>
      </c>
      <c r="F264" s="41">
        <v>-3240.5805800000003</v>
      </c>
      <c r="G264" s="40">
        <v>-2.6182398726286065E-2</v>
      </c>
    </row>
    <row r="265" spans="2:7" ht="18.399999999999999" x14ac:dyDescent="0.85">
      <c r="B265" s="59">
        <v>50001</v>
      </c>
      <c r="C265" s="60" t="s">
        <v>61</v>
      </c>
      <c r="D265" s="41">
        <v>15251.627840000019</v>
      </c>
      <c r="E265" s="40">
        <v>0.11721996884475765</v>
      </c>
      <c r="F265" s="41">
        <v>14042.933953447051</v>
      </c>
      <c r="G265" s="40">
        <v>0.11346043925747755</v>
      </c>
    </row>
    <row r="266" spans="2:7" ht="18.399999999999999" x14ac:dyDescent="0.85">
      <c r="B266" s="59">
        <v>50001</v>
      </c>
      <c r="C266" s="60" t="s">
        <v>62</v>
      </c>
      <c r="D266" s="41">
        <v>-3490.8274100000003</v>
      </c>
      <c r="E266" s="40">
        <v>-2.682957416318818E-2</v>
      </c>
      <c r="F266" s="41">
        <v>-3167.6141799999996</v>
      </c>
      <c r="G266" s="40">
        <v>-2.5592863816951486E-2</v>
      </c>
    </row>
    <row r="267" spans="2:7" ht="18.399999999999999" x14ac:dyDescent="0.85">
      <c r="B267" s="59">
        <v>50001</v>
      </c>
      <c r="C267" s="60" t="s">
        <v>5</v>
      </c>
      <c r="D267" s="41">
        <v>11760.800430000019</v>
      </c>
      <c r="E267" s="40">
        <v>9.0390394681569466E-2</v>
      </c>
      <c r="F267" s="41">
        <v>10875.319773447052</v>
      </c>
      <c r="G267" s="40">
        <v>8.7867575440526077E-2</v>
      </c>
    </row>
    <row r="268" spans="2:7" ht="18.399999999999999" x14ac:dyDescent="0.85">
      <c r="B268" s="59">
        <v>70001</v>
      </c>
      <c r="C268" s="60" t="s">
        <v>1</v>
      </c>
      <c r="D268" s="41">
        <v>89141.940530000007</v>
      </c>
      <c r="E268" s="40">
        <v>1</v>
      </c>
      <c r="F268" s="41">
        <v>88054.375780000002</v>
      </c>
      <c r="G268" s="40">
        <v>1</v>
      </c>
    </row>
    <row r="269" spans="2:7" ht="18.399999999999999" x14ac:dyDescent="0.85">
      <c r="B269" s="59">
        <v>70001</v>
      </c>
      <c r="C269" s="60" t="s">
        <v>56</v>
      </c>
      <c r="D269" s="41">
        <v>6207.7113300000065</v>
      </c>
      <c r="E269" s="40">
        <v>6.963850341479666E-2</v>
      </c>
      <c r="F269" s="41">
        <v>6200.1548677648498</v>
      </c>
      <c r="G269" s="40">
        <v>7.0412796784292297E-2</v>
      </c>
    </row>
    <row r="270" spans="2:7" ht="18.399999999999999" x14ac:dyDescent="0.85">
      <c r="B270" s="59">
        <v>70001</v>
      </c>
      <c r="C270" s="60" t="s">
        <v>57</v>
      </c>
      <c r="D270" s="41">
        <v>25046.606500000005</v>
      </c>
      <c r="E270" s="40">
        <v>0.28097443639978614</v>
      </c>
      <c r="F270" s="41">
        <v>24211.543427764831</v>
      </c>
      <c r="G270" s="40">
        <v>0.27496127493148448</v>
      </c>
    </row>
    <row r="271" spans="2:7" ht="18.399999999999999" x14ac:dyDescent="0.85">
      <c r="B271" s="59">
        <v>70001</v>
      </c>
      <c r="C271" s="60" t="s">
        <v>2</v>
      </c>
      <c r="D271" s="41">
        <v>-592.40177999999992</v>
      </c>
      <c r="E271" s="40">
        <v>-6.6456011219615738E-3</v>
      </c>
      <c r="F271" s="41">
        <v>-656.78891999999996</v>
      </c>
      <c r="G271" s="40">
        <v>-7.4589015501166948E-3</v>
      </c>
    </row>
    <row r="272" spans="2:7" ht="18.399999999999999" x14ac:dyDescent="0.85">
      <c r="B272" s="59">
        <v>70001</v>
      </c>
      <c r="C272" s="60" t="s">
        <v>58</v>
      </c>
      <c r="D272" s="41">
        <v>-1571.8322500000002</v>
      </c>
      <c r="E272" s="40">
        <v>-1.7632914884447827E-2</v>
      </c>
      <c r="F272" s="41">
        <v>-1508.3995599999998</v>
      </c>
      <c r="G272" s="40">
        <v>-1.7130319153799579E-2</v>
      </c>
    </row>
    <row r="273" spans="2:7" ht="18.399999999999999" x14ac:dyDescent="0.85">
      <c r="B273" s="59">
        <v>70001</v>
      </c>
      <c r="C273" s="60" t="s">
        <v>59</v>
      </c>
      <c r="D273" s="41">
        <v>22882.372470000013</v>
      </c>
      <c r="E273" s="40">
        <v>0.2566959203933768</v>
      </c>
      <c r="F273" s="41">
        <v>22046.35494776483</v>
      </c>
      <c r="G273" s="40">
        <v>0.2503720542275682</v>
      </c>
    </row>
    <row r="274" spans="2:7" ht="18.399999999999999" x14ac:dyDescent="0.85">
      <c r="B274" s="59">
        <v>70001</v>
      </c>
      <c r="C274" s="60" t="s">
        <v>3</v>
      </c>
      <c r="D274" s="41">
        <v>-5173.9099600000018</v>
      </c>
      <c r="E274" s="40">
        <v>-5.8041253412682479E-2</v>
      </c>
      <c r="F274" s="41">
        <v>-5032.3770800000002</v>
      </c>
      <c r="G274" s="40">
        <v>-5.7150789332414027E-2</v>
      </c>
    </row>
    <row r="275" spans="2:7" ht="18.399999999999999" x14ac:dyDescent="0.85">
      <c r="B275" s="59">
        <v>70001</v>
      </c>
      <c r="C275" s="60" t="s">
        <v>4</v>
      </c>
      <c r="D275" s="41">
        <v>-1887.3076099999989</v>
      </c>
      <c r="E275" s="40">
        <v>-2.1171937684762884E-2</v>
      </c>
      <c r="F275" s="41">
        <v>-1545.5803999999998</v>
      </c>
      <c r="G275" s="40">
        <v>-1.7552567789039408E-2</v>
      </c>
    </row>
    <row r="276" spans="2:7" ht="18.399999999999999" x14ac:dyDescent="0.85">
      <c r="B276" s="59">
        <v>70001</v>
      </c>
      <c r="C276" s="60" t="s">
        <v>60</v>
      </c>
      <c r="D276" s="41">
        <v>-2334.7495899999999</v>
      </c>
      <c r="E276" s="40">
        <v>-2.6191370483058519E-2</v>
      </c>
      <c r="F276" s="41">
        <v>-2237.7481700000003</v>
      </c>
      <c r="G276" s="40">
        <v>-2.5413253460463067E-2</v>
      </c>
    </row>
    <row r="277" spans="2:7" ht="18.399999999999999" x14ac:dyDescent="0.85">
      <c r="B277" s="59">
        <v>70001</v>
      </c>
      <c r="C277" s="60" t="s">
        <v>61</v>
      </c>
      <c r="D277" s="41">
        <v>13486.405310000013</v>
      </c>
      <c r="E277" s="40">
        <v>0.15129135881287295</v>
      </c>
      <c r="F277" s="41">
        <v>13230.64929776483</v>
      </c>
      <c r="G277" s="40">
        <v>0.15025544364565172</v>
      </c>
    </row>
    <row r="278" spans="2:7" ht="18.399999999999999" x14ac:dyDescent="0.85">
      <c r="B278" s="59">
        <v>70001</v>
      </c>
      <c r="C278" s="60" t="s">
        <v>62</v>
      </c>
      <c r="D278" s="41">
        <v>-993.58343999999988</v>
      </c>
      <c r="E278" s="40">
        <v>-1.1146082686696923E-2</v>
      </c>
      <c r="F278" s="41">
        <v>-881.58780000000002</v>
      </c>
      <c r="G278" s="40">
        <v>-1.0011856789520698E-2</v>
      </c>
    </row>
    <row r="279" spans="2:7" ht="18.399999999999999" x14ac:dyDescent="0.85">
      <c r="B279" s="59">
        <v>70001</v>
      </c>
      <c r="C279" s="60" t="s">
        <v>5</v>
      </c>
      <c r="D279" s="41">
        <v>12492.821870000012</v>
      </c>
      <c r="E279" s="40">
        <v>0.14014527612617603</v>
      </c>
      <c r="F279" s="41">
        <v>12349.061497764831</v>
      </c>
      <c r="G279" s="40">
        <v>0.14024358685613103</v>
      </c>
    </row>
  </sheetData>
  <autoFilter ref="B3:G279" xr:uid="{51B178CF-9928-4D70-B003-017C1A96C172}"/>
  <sortState xmlns:xlrd2="http://schemas.microsoft.com/office/spreadsheetml/2017/richdata2" ref="A4:G279">
    <sortCondition ref="A4:A2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 P&amp;L - Summary</vt:lpstr>
      <vt:lpstr>Store P&amp;L Y2025B &amp; Y2024A</vt:lpstr>
      <vt:lpstr>P&amp;L Data</vt:lpstr>
      <vt:lpstr>Y2025B &amp; Y2024A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 Gulzar</dc:creator>
  <cp:lastModifiedBy>Adeel Gulzar</cp:lastModifiedBy>
  <dcterms:created xsi:type="dcterms:W3CDTF">2024-12-22T14:22:24Z</dcterms:created>
  <dcterms:modified xsi:type="dcterms:W3CDTF">2026-08-28T15:19:22Z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