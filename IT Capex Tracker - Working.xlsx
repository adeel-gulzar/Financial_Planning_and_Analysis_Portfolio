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fa\Documents\1 - My Portfolio\"/>
    </mc:Choice>
  </mc:AlternateContent>
  <xr:revisionPtr revIDLastSave="0" documentId="13_ncr:1_{83FF37CD-2379-42E6-A817-5280D09F2177}" xr6:coauthVersionLast="47" xr6:coauthVersionMax="47" xr10:uidLastSave="{00000000-0000-0000-0000-000000000000}"/>
  <bookViews>
    <workbookView xWindow="-98" yWindow="-98" windowWidth="19396" windowHeight="11475" xr2:uid="{F02832C0-7658-4D86-91C5-B555FC4539A9}"/>
  </bookViews>
  <sheets>
    <sheet name="Summary Budget Mapping" sheetId="8" r:id="rId1"/>
    <sheet name="PR Data" sheetId="4" state="hidden" r:id="rId2"/>
    <sheet name="Month" sheetId="6" state="hidden" r:id="rId3"/>
  </sheets>
  <definedNames>
    <definedName name="_________sun1" hidden="1">#REF!</definedName>
    <definedName name="________sun1" hidden="1">#REF!</definedName>
    <definedName name="_______sun1" hidden="1">#REF!</definedName>
    <definedName name="______sun1" hidden="1">#REF!</definedName>
    <definedName name="_____sun1" hidden="1">#REF!</definedName>
    <definedName name="____key1" hidden="1">#REF!</definedName>
    <definedName name="____sun1" hidden="1">#REF!</definedName>
    <definedName name="____xlfn.BAHTTEXT" hidden="1">#NAME?</definedName>
    <definedName name="___key1" hidden="1">#REF!</definedName>
    <definedName name="___sun1" hidden="1">#REF!</definedName>
    <definedName name="___xlfn.BAHTTEXT" hidden="1">#NAME?</definedName>
    <definedName name="__123Graph_A" hidden="1">#REF!</definedName>
    <definedName name="__123Graph_B" hidden="1">#REF!</definedName>
    <definedName name="__123Graph_C" hidden="1">#REF!</definedName>
    <definedName name="__123Graph_E" hidden="1">#REF!</definedName>
    <definedName name="__123Graph_X" hidden="1">#REF!</definedName>
    <definedName name="__aas1" hidden="1">#REF!</definedName>
    <definedName name="__key1" hidden="1">#REF!</definedName>
    <definedName name="__sun1" hidden="1">#REF!</definedName>
    <definedName name="__xlfn.BAHTTEXT" hidden="1">#NAME?</definedName>
    <definedName name="_1_123Grap" hidden="1">#REF!</definedName>
    <definedName name="_14_0__123Grap" hidden="1">#REF!</definedName>
    <definedName name="_15_0__123Grap" hidden="1">#REF!</definedName>
    <definedName name="_16_0__123Grap" hidden="1">#REF!</definedName>
    <definedName name="_2_123Grap" hidden="1">#REF!</definedName>
    <definedName name="_21_0__123Grap" hidden="1">#REF!</definedName>
    <definedName name="_22_0__123Grap" hidden="1">#REF!</definedName>
    <definedName name="_3_123Grap" hidden="1">#REF!</definedName>
    <definedName name="_5_0__123Grap" hidden="1">#REF!</definedName>
    <definedName name="_61_0__123Grap" hidden="1">#REF!</definedName>
    <definedName name="_71_0__123Grap" hidden="1">#REF!</definedName>
    <definedName name="_aas1" hidden="1">#REF!</definedName>
    <definedName name="_Fill" hidden="1">#REF!</definedName>
    <definedName name="_xlnm._FilterDatabase" localSheetId="1" hidden="1">'PR Data'!$B$3:$AC$99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MatMult_B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_sun1" hidden="1">#REF!</definedName>
    <definedName name="A" hidden="1">#REF!</definedName>
    <definedName name="aa" hidden="1">#REF!</definedName>
    <definedName name="aaa" hidden="1">#REF!</definedName>
    <definedName name="aaaaaa" hidden="1">#REF!</definedName>
    <definedName name="aas" hidden="1">#REF!</definedName>
    <definedName name="ABCCover" hidden="1">#REF!</definedName>
    <definedName name="AccountType" hidden="1">#REF!</definedName>
    <definedName name="add" hidden="1">#REF!</definedName>
    <definedName name="Alaa" hidden="1">#REF!</definedName>
    <definedName name="aps" hidden="1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yman" hidden="1">#REF!</definedName>
    <definedName name="B" hidden="1">#REF!</definedName>
    <definedName name="BAHASA" hidden="1">#REF!</definedName>
    <definedName name="BAHASSAN" hidden="1">#REF!</definedName>
    <definedName name="Baqer" hidden="1">#REF!</definedName>
    <definedName name="BG_Del" hidden="1">15</definedName>
    <definedName name="BG_Ins" hidden="1">4</definedName>
    <definedName name="BG_Mod" hidden="1">6</definedName>
    <definedName name="CaseSelection">#REF!</definedName>
    <definedName name="CountryCode">"OFFSET($B$1,0,0,COUNT($B:$B),1)"</definedName>
    <definedName name="D" hidden="1">#REF!</definedName>
    <definedName name="dad" hidden="1">#REF!</definedName>
    <definedName name="das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d" hidden="1">#REF!</definedName>
    <definedName name="ds" hidden="1">#REF!</definedName>
    <definedName name="e3ee" hidden="1">#REF!</definedName>
    <definedName name="EconList">#REF!</definedName>
    <definedName name="EDchoice" hidden="1">#REF!</definedName>
    <definedName name="ExistGuideDatabase">#REF!</definedName>
    <definedName name="ExistingGuidanceStart">#REF!</definedName>
    <definedName name="F" hidden="1">#REF!</definedName>
    <definedName name="Fasmeer" hidden="1">#REF!</definedName>
    <definedName name="Fasmeer1" hidden="1">#REF!</definedName>
    <definedName name="Fasmeer2" hidden="1">#REF!</definedName>
    <definedName name="Fees" hidden="1">#REF!</definedName>
    <definedName name="fill" hidden="1">#REF!</definedName>
    <definedName name="fill1" hidden="1">#REF!</definedName>
    <definedName name="ghfh" hidden="1">#REF!</definedName>
    <definedName name="Grades" hidden="1">{"'Calendar'!$A$3:$V$33","'Calendar'!$A$3:$V$33"}</definedName>
    <definedName name="Header2">#REF!</definedName>
    <definedName name="HTML_CodePage" hidden="1">1252</definedName>
    <definedName name="HTML_Control" hidden="1">{"'Calendar'!$A$3:$V$33","'Calendar'!$A$3:$V$33"}</definedName>
    <definedName name="HTML_Description" hidden="1">""</definedName>
    <definedName name="HTML_Email" hidden="1">""</definedName>
    <definedName name="HTML_Header" hidden="1">"Calendar"</definedName>
    <definedName name="HTML_LastUpdate" hidden="1">"1/27/02"</definedName>
    <definedName name="HTML_LineAfter" hidden="1">FALSE</definedName>
    <definedName name="HTML_LineBefore" hidden="1">FALSE</definedName>
    <definedName name="HTML_Name" hidden="1">"Arnold"</definedName>
    <definedName name="HTML_OBDlg2" hidden="1">TRUE</definedName>
    <definedName name="HTML_OBDlg4" hidden="1">TRUE</definedName>
    <definedName name="HTML_OS" hidden="1">0</definedName>
    <definedName name="HTML_PathFile" hidden="1">"P:\Training Department\Training Plan\2002 Learning Plan\MyHTML.htm"</definedName>
    <definedName name="HTML_Title" hidden="1">"UA Local Learning Courses -- 2002 (WL1 &amp; Above)"</definedName>
    <definedName name="IntroPrintArea" hidden="1">#REF!</definedName>
    <definedName name="IRBD" hidden="1">#REF!</definedName>
    <definedName name="jjjjjj" hidden="1">#REF!</definedName>
    <definedName name="key" hidden="1">#REF!</definedName>
    <definedName name="kkkk" hidden="1">#REF!</definedName>
    <definedName name="NewGuidanceStart">#REF!</definedName>
    <definedName name="NewLease1">#REF!</definedName>
    <definedName name="NewLease2">#REF!</definedName>
    <definedName name="NewLease3">#REF!</definedName>
    <definedName name="NewLease4">#REF!</definedName>
    <definedName name="NewLease5">#REF!</definedName>
    <definedName name="NewLease6">#REF!</definedName>
    <definedName name="NewPF" hidden="1">#REF!</definedName>
    <definedName name="NWMGFA" hidden="1">#REF!</definedName>
    <definedName name="_xlnm.Print_Area" localSheetId="0">'Summary Budget Mapping'!$A$1:$U$59</definedName>
    <definedName name="Q" hidden="1">#REF!</definedName>
    <definedName name="qa" hidden="1">#REF!</definedName>
    <definedName name="QQ" hidden="1">#REF!</definedName>
    <definedName name="s" hidden="1">#REF!</definedName>
    <definedName name="sA" hidden="1">#REF!</definedName>
    <definedName name="saa" hidden="1">#REF!</definedName>
    <definedName name="Salwan" hidden="1">#REF!</definedName>
    <definedName name="same" hidden="1">#REF!</definedName>
    <definedName name="sd" hidden="1">#REF!</definedName>
    <definedName name="SelectedCase">#REF!</definedName>
    <definedName name="shh" hidden="1">#REF!</definedName>
    <definedName name="Size">IF(#REF!&lt;2500,TRUE,FALSE)</definedName>
    <definedName name="SMT" hidden="1">#REF!</definedName>
    <definedName name="sort" hidden="1">#REF!</definedName>
    <definedName name="sort1" hidden="1">#REF!</definedName>
    <definedName name="ssssss" hidden="1">#REF!</definedName>
    <definedName name="TextRefCopyRangeCount" hidden="1">6</definedName>
    <definedName name="Tolerance">#REF!</definedName>
    <definedName name="Tolerancex">#REF!</definedName>
    <definedName name="tot" hidden="1">#REF!</definedName>
    <definedName name="Unbudget" hidden="1">#REF!</definedName>
    <definedName name="wrtyryu" hidden="1">#REF!</definedName>
    <definedName name="xd" hidden="1">#REF!</definedName>
    <definedName name="Yousuf" hidden="1">#REF!</definedName>
    <definedName name="z" hidden="1">#REF!</definedName>
    <definedName name="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9" i="4" l="1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0" i="4"/>
  <c r="Z59" i="4"/>
  <c r="Z58" i="4"/>
  <c r="Z57" i="4"/>
  <c r="Z56" i="4"/>
  <c r="Z49" i="4"/>
  <c r="Z45" i="4"/>
  <c r="Z44" i="4"/>
  <c r="Z43" i="4"/>
  <c r="Z42" i="4"/>
  <c r="Z41" i="4"/>
  <c r="Z40" i="4"/>
  <c r="Z39" i="4"/>
  <c r="Z38" i="4"/>
  <c r="Z36" i="4"/>
  <c r="Z35" i="4"/>
  <c r="Z33" i="4"/>
  <c r="Z32" i="4"/>
  <c r="Z30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S46" i="4"/>
  <c r="V46" i="4" s="1" a="1"/>
  <c r="V46" i="4" s="1"/>
  <c r="T46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W2" i="4"/>
  <c r="N2" i="4"/>
  <c r="M2" i="4"/>
  <c r="L2" i="4"/>
  <c r="K2" i="4"/>
  <c r="U99" i="4" a="1"/>
  <c r="U99" i="4" s="1"/>
  <c r="T99" i="4"/>
  <c r="S99" i="4"/>
  <c r="R99" i="4"/>
  <c r="U98" i="4" a="1"/>
  <c r="U98" i="4" s="1"/>
  <c r="T98" i="4"/>
  <c r="S98" i="4"/>
  <c r="R98" i="4"/>
  <c r="U97" i="4" a="1"/>
  <c r="U97" i="4" s="1"/>
  <c r="T97" i="4"/>
  <c r="S97" i="4"/>
  <c r="R97" i="4"/>
  <c r="U96" i="4" a="1"/>
  <c r="U96" i="4" s="1"/>
  <c r="T96" i="4"/>
  <c r="S96" i="4"/>
  <c r="R96" i="4"/>
  <c r="U95" i="4" a="1"/>
  <c r="U95" i="4" s="1"/>
  <c r="T95" i="4"/>
  <c r="S95" i="4"/>
  <c r="R95" i="4"/>
  <c r="T94" i="4"/>
  <c r="S94" i="4"/>
  <c r="R94" i="4"/>
  <c r="T93" i="4"/>
  <c r="S93" i="4"/>
  <c r="R93" i="4"/>
  <c r="U93" i="4" s="1" a="1"/>
  <c r="U93" i="4" s="1"/>
  <c r="T92" i="4"/>
  <c r="S92" i="4"/>
  <c r="R92" i="4"/>
  <c r="U92" i="4" s="1" a="1"/>
  <c r="U92" i="4" s="1"/>
  <c r="C99" i="4"/>
  <c r="C98" i="4"/>
  <c r="C97" i="4"/>
  <c r="C96" i="4"/>
  <c r="C95" i="4"/>
  <c r="C94" i="4"/>
  <c r="C93" i="4"/>
  <c r="AB92" i="4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Z9" i="4"/>
  <c r="U91" i="4" a="1"/>
  <c r="U91" i="4" s="1"/>
  <c r="T91" i="4"/>
  <c r="S91" i="4"/>
  <c r="R91" i="4"/>
  <c r="T90" i="4"/>
  <c r="S90" i="4"/>
  <c r="R90" i="4"/>
  <c r="T89" i="4"/>
  <c r="S89" i="4"/>
  <c r="R89" i="4"/>
  <c r="U89" i="4" s="1" a="1"/>
  <c r="U89" i="4" s="1"/>
  <c r="T88" i="4"/>
  <c r="S88" i="4"/>
  <c r="R88" i="4"/>
  <c r="U88" i="4" s="1" a="1"/>
  <c r="U88" i="4" s="1"/>
  <c r="T87" i="4"/>
  <c r="S87" i="4"/>
  <c r="R87" i="4"/>
  <c r="T86" i="4"/>
  <c r="S86" i="4"/>
  <c r="R86" i="4"/>
  <c r="U86" i="4" s="1" a="1"/>
  <c r="U86" i="4" s="1"/>
  <c r="T85" i="4"/>
  <c r="S85" i="4"/>
  <c r="R85" i="4"/>
  <c r="U85" i="4" s="1" a="1"/>
  <c r="U85" i="4" s="1"/>
  <c r="R84" i="4"/>
  <c r="R83" i="4"/>
  <c r="U83" i="4" s="1" a="1"/>
  <c r="U83" i="4" s="1"/>
  <c r="C92" i="4"/>
  <c r="C91" i="4"/>
  <c r="C90" i="4"/>
  <c r="C89" i="4"/>
  <c r="C88" i="4"/>
  <c r="C87" i="4"/>
  <c r="C86" i="4"/>
  <c r="C85" i="4"/>
  <c r="C84" i="4"/>
  <c r="C83" i="4"/>
  <c r="X46" i="4" l="1"/>
  <c r="P2" i="4"/>
  <c r="V93" i="4" a="1"/>
  <c r="V93" i="4" s="1"/>
  <c r="X93" i="4" s="1"/>
  <c r="V92" i="4" a="1"/>
  <c r="V92" i="4" s="1"/>
  <c r="X92" i="4" s="1"/>
  <c r="V98" i="4" a="1"/>
  <c r="V98" i="4" s="1"/>
  <c r="X98" i="4" s="1"/>
  <c r="V96" i="4" a="1"/>
  <c r="V96" i="4" s="1"/>
  <c r="X96" i="4" s="1"/>
  <c r="V99" i="4" a="1"/>
  <c r="V99" i="4" s="1"/>
  <c r="X99" i="4" s="1"/>
  <c r="V95" i="4" a="1"/>
  <c r="V95" i="4" s="1"/>
  <c r="X95" i="4" s="1"/>
  <c r="V97" i="4" a="1"/>
  <c r="V97" i="4" s="1"/>
  <c r="X97" i="4" s="1"/>
  <c r="U94" i="4" a="1"/>
  <c r="U94" i="4" s="1"/>
  <c r="V94" i="4" s="1" a="1"/>
  <c r="V94" i="4" s="1"/>
  <c r="X94" i="4" s="1"/>
  <c r="V86" i="4" a="1"/>
  <c r="V86" i="4" s="1"/>
  <c r="X86" i="4" s="1"/>
  <c r="V89" i="4" a="1"/>
  <c r="V89" i="4" s="1"/>
  <c r="X89" i="4" s="1"/>
  <c r="V91" i="4" a="1"/>
  <c r="V91" i="4" s="1"/>
  <c r="X91" i="4" s="1"/>
  <c r="V85" i="4" a="1"/>
  <c r="V85" i="4" s="1"/>
  <c r="X85" i="4" s="1"/>
  <c r="U84" i="4" a="1"/>
  <c r="U84" i="4" s="1"/>
  <c r="U90" i="4" a="1"/>
  <c r="U90" i="4" s="1"/>
  <c r="V90" i="4" s="1" a="1"/>
  <c r="V90" i="4" s="1"/>
  <c r="X90" i="4" s="1"/>
  <c r="U87" i="4" a="1"/>
  <c r="U87" i="4" s="1"/>
  <c r="V87" i="4" s="1" a="1"/>
  <c r="V87" i="4" s="1"/>
  <c r="X87" i="4" s="1"/>
  <c r="V88" i="4" a="1"/>
  <c r="V88" i="4" s="1"/>
  <c r="X88" i="4" s="1"/>
  <c r="T79" i="4" l="1"/>
  <c r="S79" i="4"/>
  <c r="R79" i="4"/>
  <c r="U79" i="4" s="1" a="1"/>
  <c r="U79" i="4" s="1"/>
  <c r="U73" i="4" a="1"/>
  <c r="U73" i="4" s="1"/>
  <c r="T73" i="4"/>
  <c r="S73" i="4"/>
  <c r="R73" i="4"/>
  <c r="U72" i="4" a="1"/>
  <c r="U72" i="4" s="1"/>
  <c r="T72" i="4"/>
  <c r="S72" i="4"/>
  <c r="R72" i="4"/>
  <c r="U71" i="4" a="1"/>
  <c r="U71" i="4" s="1"/>
  <c r="T71" i="4"/>
  <c r="S71" i="4"/>
  <c r="R71" i="4"/>
  <c r="U70" i="4" a="1"/>
  <c r="U70" i="4" s="1"/>
  <c r="T70" i="4"/>
  <c r="S70" i="4"/>
  <c r="R70" i="4"/>
  <c r="U69" i="4" a="1"/>
  <c r="U69" i="4" s="1"/>
  <c r="T69" i="4"/>
  <c r="S69" i="4"/>
  <c r="R69" i="4"/>
  <c r="U68" i="4" a="1"/>
  <c r="U68" i="4" s="1"/>
  <c r="T68" i="4"/>
  <c r="S68" i="4"/>
  <c r="R68" i="4"/>
  <c r="U67" i="4" a="1"/>
  <c r="U67" i="4" s="1"/>
  <c r="T67" i="4"/>
  <c r="S67" i="4"/>
  <c r="R67" i="4"/>
  <c r="U66" i="4" a="1"/>
  <c r="U66" i="4" s="1"/>
  <c r="T66" i="4"/>
  <c r="S66" i="4"/>
  <c r="R66" i="4"/>
  <c r="U65" i="4" a="1"/>
  <c r="U65" i="4" s="1"/>
  <c r="T65" i="4"/>
  <c r="S65" i="4"/>
  <c r="R65" i="4"/>
  <c r="U64" i="4" a="1"/>
  <c r="U64" i="4" s="1"/>
  <c r="T64" i="4"/>
  <c r="S64" i="4"/>
  <c r="R64" i="4"/>
  <c r="R63" i="4"/>
  <c r="T62" i="4"/>
  <c r="S62" i="4"/>
  <c r="R62" i="4"/>
  <c r="U62" i="4" s="1" a="1"/>
  <c r="U62" i="4" s="1"/>
  <c r="V62" i="4" l="1" a="1"/>
  <c r="V62" i="4" s="1"/>
  <c r="X62" i="4" s="1"/>
  <c r="V65" i="4" a="1"/>
  <c r="V65" i="4" s="1"/>
  <c r="X65" i="4" s="1"/>
  <c r="V68" i="4" a="1"/>
  <c r="V68" i="4" s="1"/>
  <c r="X68" i="4" s="1"/>
  <c r="V71" i="4" a="1"/>
  <c r="V71" i="4" s="1"/>
  <c r="X71" i="4" s="1"/>
  <c r="V64" i="4" a="1"/>
  <c r="V64" i="4" s="1"/>
  <c r="X64" i="4" s="1"/>
  <c r="V72" i="4" a="1"/>
  <c r="V72" i="4" s="1"/>
  <c r="X72" i="4" s="1"/>
  <c r="V67" i="4" a="1"/>
  <c r="V67" i="4" s="1"/>
  <c r="X67" i="4" s="1"/>
  <c r="V70" i="4" a="1"/>
  <c r="V70" i="4" s="1"/>
  <c r="X70" i="4" s="1"/>
  <c r="V79" i="4" a="1"/>
  <c r="V79" i="4" s="1"/>
  <c r="X79" i="4" s="1"/>
  <c r="V66" i="4" a="1"/>
  <c r="V66" i="4" s="1"/>
  <c r="X66" i="4" s="1"/>
  <c r="V69" i="4" a="1"/>
  <c r="V69" i="4" s="1"/>
  <c r="X69" i="4" s="1"/>
  <c r="V73" i="4" a="1"/>
  <c r="V73" i="4" s="1"/>
  <c r="X73" i="4" s="1"/>
  <c r="U63" i="4" a="1"/>
  <c r="U63" i="4" s="1"/>
  <c r="C58" i="4" l="1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I58" i="8"/>
  <c r="O24" i="8"/>
  <c r="I24" i="8"/>
  <c r="J24" i="8" l="1"/>
  <c r="T58" i="4"/>
  <c r="U58" i="4" a="1"/>
  <c r="U58" i="4" s="1"/>
  <c r="U57" i="4" a="1"/>
  <c r="U57" i="4" s="1"/>
  <c r="U56" i="4" a="1"/>
  <c r="U56" i="4" s="1"/>
  <c r="T82" i="4" l="1"/>
  <c r="T75" i="4"/>
  <c r="T76" i="4"/>
  <c r="T81" i="4"/>
  <c r="T77" i="4"/>
  <c r="T78" i="4"/>
  <c r="T80" i="4"/>
  <c r="T74" i="4"/>
  <c r="S58" i="4" l="1"/>
  <c r="V58" i="4" s="1" a="1"/>
  <c r="V58" i="4" s="1"/>
  <c r="X58" i="4" s="1"/>
  <c r="R77" i="4"/>
  <c r="S77" i="4"/>
  <c r="S75" i="4"/>
  <c r="R75" i="4"/>
  <c r="S81" i="4"/>
  <c r="R81" i="4"/>
  <c r="S74" i="4"/>
  <c r="R74" i="4"/>
  <c r="S80" i="4"/>
  <c r="R80" i="4"/>
  <c r="S78" i="4"/>
  <c r="R78" i="4"/>
  <c r="S82" i="4"/>
  <c r="R82" i="4"/>
  <c r="S76" i="4"/>
  <c r="R76" i="4"/>
  <c r="C59" i="4"/>
  <c r="C60" i="4"/>
  <c r="C61" i="4"/>
  <c r="R61" i="4"/>
  <c r="S61" i="4"/>
  <c r="T61" i="4"/>
  <c r="U61" i="4" a="1"/>
  <c r="U61" i="4" s="1"/>
  <c r="C62" i="4"/>
  <c r="U82" i="4" l="1" a="1"/>
  <c r="U82" i="4" s="1"/>
  <c r="V82" i="4" s="1" a="1"/>
  <c r="V82" i="4" s="1"/>
  <c r="X82" i="4" s="1"/>
  <c r="U81" i="4" a="1"/>
  <c r="U81" i="4" s="1"/>
  <c r="V81" i="4" s="1" a="1"/>
  <c r="V81" i="4" s="1"/>
  <c r="X81" i="4" s="1"/>
  <c r="U78" i="4" a="1"/>
  <c r="U78" i="4" s="1"/>
  <c r="V78" i="4" s="1" a="1"/>
  <c r="V78" i="4" s="1"/>
  <c r="X78" i="4" s="1"/>
  <c r="U75" i="4" a="1"/>
  <c r="U75" i="4" s="1"/>
  <c r="V75" i="4" s="1" a="1"/>
  <c r="V75" i="4" s="1"/>
  <c r="X75" i="4" s="1"/>
  <c r="U80" i="4" a="1"/>
  <c r="U80" i="4" s="1"/>
  <c r="V80" i="4" s="1" a="1"/>
  <c r="V80" i="4" s="1"/>
  <c r="X80" i="4" s="1"/>
  <c r="U76" i="4" a="1"/>
  <c r="U76" i="4" s="1"/>
  <c r="V76" i="4" s="1" a="1"/>
  <c r="V76" i="4" s="1"/>
  <c r="X76" i="4" s="1"/>
  <c r="U74" i="4" a="1"/>
  <c r="U74" i="4" s="1"/>
  <c r="V74" i="4" s="1" a="1"/>
  <c r="V74" i="4" s="1"/>
  <c r="X74" i="4" s="1"/>
  <c r="U77" i="4" a="1"/>
  <c r="U77" i="4" s="1"/>
  <c r="V77" i="4" s="1" a="1"/>
  <c r="V77" i="4" s="1"/>
  <c r="X77" i="4" s="1"/>
  <c r="V61" i="4" a="1"/>
  <c r="V61" i="4" s="1"/>
  <c r="X61" i="4" s="1"/>
  <c r="T59" i="4" l="1"/>
  <c r="T57" i="4"/>
  <c r="S57" i="4"/>
  <c r="T56" i="4"/>
  <c r="S56" i="4"/>
  <c r="T45" i="4"/>
  <c r="S45" i="4"/>
  <c r="T44" i="4"/>
  <c r="S44" i="4"/>
  <c r="T43" i="4"/>
  <c r="S43" i="4"/>
  <c r="T42" i="4"/>
  <c r="S42" i="4"/>
  <c r="T41" i="4"/>
  <c r="S41" i="4"/>
  <c r="T40" i="4"/>
  <c r="S40" i="4"/>
  <c r="T36" i="4"/>
  <c r="S36" i="4"/>
  <c r="T33" i="4"/>
  <c r="S33" i="4"/>
  <c r="T32" i="4"/>
  <c r="S32" i="4"/>
  <c r="T28" i="4"/>
  <c r="S28" i="4"/>
  <c r="T27" i="4"/>
  <c r="S27" i="4"/>
  <c r="T26" i="4"/>
  <c r="S26" i="4"/>
  <c r="T23" i="4"/>
  <c r="S23" i="4"/>
  <c r="T22" i="4"/>
  <c r="S22" i="4"/>
  <c r="T21" i="4"/>
  <c r="S21" i="4"/>
  <c r="T20" i="4"/>
  <c r="S20" i="4"/>
  <c r="T19" i="4"/>
  <c r="S19" i="4"/>
  <c r="T18" i="4"/>
  <c r="S18" i="4"/>
  <c r="T17" i="4"/>
  <c r="S17" i="4"/>
  <c r="T15" i="4"/>
  <c r="S15" i="4"/>
  <c r="T6" i="4"/>
  <c r="S6" i="4"/>
  <c r="S5" i="4"/>
  <c r="T37" i="4"/>
  <c r="T35" i="4"/>
  <c r="T31" i="4"/>
  <c r="T29" i="4"/>
  <c r="T25" i="4"/>
  <c r="T24" i="4"/>
  <c r="S59" i="4" l="1"/>
  <c r="R59" i="4"/>
  <c r="R60" i="4"/>
  <c r="T5" i="4"/>
  <c r="T30" i="4"/>
  <c r="T16" i="4"/>
  <c r="T14" i="4"/>
  <c r="T13" i="4"/>
  <c r="T12" i="4"/>
  <c r="T11" i="4"/>
  <c r="T10" i="4"/>
  <c r="T9" i="4"/>
  <c r="T8" i="4"/>
  <c r="T7" i="4"/>
  <c r="T4" i="4"/>
  <c r="R2" i="4" l="1"/>
  <c r="U59" i="4" a="1"/>
  <c r="U59" i="4" s="1"/>
  <c r="V59" i="4" s="1" a="1"/>
  <c r="V59" i="4" s="1"/>
  <c r="X59" i="4" s="1"/>
  <c r="U60" i="4" a="1"/>
  <c r="U60" i="4" s="1"/>
  <c r="R35" i="8" l="1"/>
  <c r="Q35" i="8"/>
  <c r="P35" i="8"/>
  <c r="M35" i="8"/>
  <c r="S35" i="8" s="1"/>
  <c r="B3" i="8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T35" i="8" l="1"/>
  <c r="N35" i="8"/>
  <c r="S34" i="4" l="1"/>
  <c r="V34" i="4" s="1" a="1"/>
  <c r="V34" i="4" s="1"/>
  <c r="T34" i="4"/>
  <c r="T47" i="4"/>
  <c r="S47" i="4"/>
  <c r="V35" i="4" a="1"/>
  <c r="V35" i="4" s="1"/>
  <c r="V33" i="4" a="1"/>
  <c r="V33" i="4" s="1"/>
  <c r="S48" i="4" l="1"/>
  <c r="T48" i="4"/>
  <c r="P22" i="8"/>
  <c r="P16" i="8"/>
  <c r="P23" i="8"/>
  <c r="P20" i="8"/>
  <c r="P9" i="8" l="1"/>
  <c r="AB4" i="4"/>
  <c r="V57" i="4" l="1" a="1"/>
  <c r="V57" i="4" s="1"/>
  <c r="X57" i="4" s="1"/>
  <c r="U55" i="4" l="1" a="1"/>
  <c r="U55" i="4" s="1"/>
  <c r="V56" i="4" l="1" a="1"/>
  <c r="V56" i="4" s="1"/>
  <c r="X56" i="4" l="1"/>
  <c r="U50" i="4" l="1" a="1"/>
  <c r="U50" i="4" s="1"/>
  <c r="U54" i="4" a="1"/>
  <c r="U54" i="4" s="1"/>
  <c r="C4" i="4"/>
  <c r="U53" i="4" l="1" a="1"/>
  <c r="U53" i="4" s="1"/>
  <c r="U51" i="4" a="1"/>
  <c r="U51" i="4" s="1"/>
  <c r="U52" i="4" a="1"/>
  <c r="U52" i="4" s="1"/>
  <c r="V32" i="4" a="1"/>
  <c r="V32" i="4" s="1"/>
  <c r="S10" i="4"/>
  <c r="V10" i="4" s="1" a="1"/>
  <c r="V10" i="4" s="1"/>
  <c r="S24" i="4"/>
  <c r="S13" i="4"/>
  <c r="V13" i="4" s="1" a="1"/>
  <c r="V13" i="4" s="1"/>
  <c r="S25" i="4"/>
  <c r="S37" i="4"/>
  <c r="S14" i="4"/>
  <c r="V14" i="4" s="1" a="1"/>
  <c r="V14" i="4" s="1"/>
  <c r="V15" i="4" a="1"/>
  <c r="V15" i="4" s="1"/>
  <c r="V5" i="4" a="1"/>
  <c r="V5" i="4" s="1"/>
  <c r="S16" i="4"/>
  <c r="V16" i="4" s="1" a="1"/>
  <c r="V16" i="4" s="1"/>
  <c r="V6" i="4" a="1"/>
  <c r="V6" i="4" s="1"/>
  <c r="S29" i="4"/>
  <c r="S7" i="4"/>
  <c r="V7" i="4" s="1" a="1"/>
  <c r="V7" i="4" s="1"/>
  <c r="S30" i="4"/>
  <c r="S8" i="4"/>
  <c r="S31" i="4"/>
  <c r="S9" i="4"/>
  <c r="V9" i="4" s="1" a="1"/>
  <c r="V9" i="4" s="1"/>
  <c r="U2" i="4" l="1"/>
  <c r="P14" i="8"/>
  <c r="P17" i="8"/>
  <c r="P10" i="8"/>
  <c r="P15" i="8"/>
  <c r="V8" i="4" a="1"/>
  <c r="V8" i="4" s="1"/>
  <c r="X8" i="4" s="1"/>
  <c r="V37" i="4" a="1"/>
  <c r="V37" i="4" s="1"/>
  <c r="V42" i="4" a="1"/>
  <c r="V42" i="4" s="1"/>
  <c r="X42" i="4" s="1"/>
  <c r="V25" i="4" a="1"/>
  <c r="V25" i="4" s="1"/>
  <c r="X25" i="4" s="1"/>
  <c r="V45" i="4" a="1"/>
  <c r="V45" i="4" s="1"/>
  <c r="V30" i="4" a="1"/>
  <c r="V30" i="4" s="1"/>
  <c r="X30" i="4" s="1"/>
  <c r="V21" i="4" a="1"/>
  <c r="V21" i="4" s="1"/>
  <c r="X21" i="4" s="1"/>
  <c r="V18" i="4" a="1"/>
  <c r="V18" i="4" s="1"/>
  <c r="X18" i="4" s="1"/>
  <c r="V27" i="4" a="1"/>
  <c r="V27" i="4" s="1"/>
  <c r="V47" i="4" a="1"/>
  <c r="V47" i="4" s="1"/>
  <c r="X47" i="4" s="1"/>
  <c r="V41" i="4" a="1"/>
  <c r="V41" i="4" s="1"/>
  <c r="X41" i="4" s="1"/>
  <c r="V24" i="4" a="1"/>
  <c r="V24" i="4" s="1"/>
  <c r="X24" i="4" s="1"/>
  <c r="V44" i="4" a="1"/>
  <c r="V44" i="4" s="1"/>
  <c r="X44" i="4" s="1"/>
  <c r="V29" i="4" a="1"/>
  <c r="V29" i="4" s="1"/>
  <c r="V17" i="4" a="1"/>
  <c r="V17" i="4" s="1"/>
  <c r="X17" i="4" s="1"/>
  <c r="V43" i="4" a="1"/>
  <c r="V43" i="4" s="1"/>
  <c r="X43" i="4" s="1"/>
  <c r="V26" i="4" a="1"/>
  <c r="V26" i="4" s="1"/>
  <c r="V31" i="4" a="1"/>
  <c r="V31" i="4" s="1"/>
  <c r="X31" i="4" s="1"/>
  <c r="V40" i="4" a="1"/>
  <c r="V40" i="4" s="1"/>
  <c r="V19" i="4" a="1"/>
  <c r="V19" i="4" s="1"/>
  <c r="X19" i="4" s="1"/>
  <c r="V28" i="4" a="1"/>
  <c r="V28" i="4" s="1"/>
  <c r="V48" i="4" a="1"/>
  <c r="V48" i="4" s="1"/>
  <c r="X48" i="4" s="1"/>
  <c r="V22" i="4" a="1"/>
  <c r="V22" i="4" s="1"/>
  <c r="X22" i="4" s="1"/>
  <c r="X7" i="4"/>
  <c r="X15" i="4"/>
  <c r="X6" i="4"/>
  <c r="X16" i="4"/>
  <c r="X9" i="4"/>
  <c r="X14" i="4"/>
  <c r="X5" i="4"/>
  <c r="X13" i="4"/>
  <c r="X10" i="4"/>
  <c r="X35" i="4"/>
  <c r="X32" i="4"/>
  <c r="X34" i="4"/>
  <c r="X33" i="4"/>
  <c r="X26" i="4" l="1"/>
  <c r="X29" i="4"/>
  <c r="X27" i="4"/>
  <c r="X40" i="4"/>
  <c r="AC4" i="4"/>
  <c r="V20" i="4" a="1"/>
  <c r="V20" i="4" s="1"/>
  <c r="S12" i="4"/>
  <c r="V12" i="4" s="1" a="1"/>
  <c r="V12" i="4" s="1"/>
  <c r="V23" i="4" a="1"/>
  <c r="V23" i="4" s="1"/>
  <c r="S11" i="4"/>
  <c r="V11" i="4" s="1" a="1"/>
  <c r="V11" i="4" s="1"/>
  <c r="V36" i="4" a="1"/>
  <c r="V36" i="4" s="1"/>
  <c r="X28" i="4"/>
  <c r="X45" i="4"/>
  <c r="X37" i="4"/>
  <c r="X20" i="4" l="1"/>
  <c r="X12" i="4"/>
  <c r="X23" i="4"/>
  <c r="X11" i="4"/>
  <c r="X36" i="4"/>
  <c r="S4" i="4" l="1"/>
  <c r="V4" i="4" l="1" a="1"/>
  <c r="V4" i="4" s="1"/>
  <c r="X4" i="4" l="1"/>
  <c r="G56" i="8" l="1"/>
  <c r="E54" i="8"/>
  <c r="H51" i="8"/>
  <c r="F49" i="8"/>
  <c r="D47" i="8"/>
  <c r="G44" i="8"/>
  <c r="E42" i="8"/>
  <c r="E20" i="8"/>
  <c r="K17" i="8"/>
  <c r="K14" i="8"/>
  <c r="D12" i="8"/>
  <c r="F9" i="8"/>
  <c r="F56" i="8"/>
  <c r="D54" i="8"/>
  <c r="G51" i="8"/>
  <c r="H46" i="8"/>
  <c r="F44" i="8"/>
  <c r="L19" i="8"/>
  <c r="F17" i="8"/>
  <c r="F14" i="8"/>
  <c r="L11" i="8"/>
  <c r="E9" i="8"/>
  <c r="E56" i="8"/>
  <c r="H53" i="8"/>
  <c r="F51" i="8"/>
  <c r="G46" i="8"/>
  <c r="E44" i="8"/>
  <c r="F22" i="8"/>
  <c r="K19" i="8"/>
  <c r="E17" i="8"/>
  <c r="E14" i="8"/>
  <c r="K11" i="8"/>
  <c r="D56" i="8"/>
  <c r="G53" i="8"/>
  <c r="E51" i="8"/>
  <c r="H48" i="8"/>
  <c r="F46" i="8"/>
  <c r="D44" i="8"/>
  <c r="E22" i="8"/>
  <c r="F19" i="8"/>
  <c r="L16" i="8"/>
  <c r="L13" i="8"/>
  <c r="F11" i="8"/>
  <c r="H55" i="8"/>
  <c r="F53" i="8"/>
  <c r="D51" i="8"/>
  <c r="G48" i="8"/>
  <c r="E46" i="8"/>
  <c r="H43" i="8"/>
  <c r="L21" i="8"/>
  <c r="E19" i="8"/>
  <c r="K16" i="8"/>
  <c r="K13" i="8"/>
  <c r="E11" i="8"/>
  <c r="G55" i="8"/>
  <c r="E53" i="8"/>
  <c r="H50" i="8"/>
  <c r="F48" i="8"/>
  <c r="D46" i="8"/>
  <c r="G43" i="8"/>
  <c r="K21" i="8"/>
  <c r="D19" i="8"/>
  <c r="F16" i="8"/>
  <c r="F13" i="8"/>
  <c r="D11" i="8"/>
  <c r="F55" i="8"/>
  <c r="D53" i="8"/>
  <c r="G50" i="8"/>
  <c r="E48" i="8"/>
  <c r="H45" i="8"/>
  <c r="F43" i="8"/>
  <c r="F21" i="8"/>
  <c r="L18" i="8"/>
  <c r="E16" i="8"/>
  <c r="E13" i="8"/>
  <c r="E55" i="8"/>
  <c r="H52" i="8"/>
  <c r="F50" i="8"/>
  <c r="G45" i="8"/>
  <c r="E21" i="8"/>
  <c r="K18" i="8"/>
  <c r="D13" i="8"/>
  <c r="D55" i="8"/>
  <c r="G52" i="8"/>
  <c r="E50" i="8"/>
  <c r="H47" i="8"/>
  <c r="F45" i="8"/>
  <c r="D43" i="8"/>
  <c r="L23" i="8"/>
  <c r="D21" i="8"/>
  <c r="P21" i="8" s="1"/>
  <c r="F18" i="8"/>
  <c r="L12" i="8"/>
  <c r="F10" i="8"/>
  <c r="H54" i="8"/>
  <c r="F52" i="8"/>
  <c r="D50" i="8"/>
  <c r="G47" i="8"/>
  <c r="E45" i="8"/>
  <c r="H42" i="8"/>
  <c r="K23" i="8"/>
  <c r="L20" i="8"/>
  <c r="E18" i="8"/>
  <c r="K12" i="8"/>
  <c r="E10" i="8"/>
  <c r="G54" i="8"/>
  <c r="E52" i="8"/>
  <c r="H49" i="8"/>
  <c r="F47" i="8"/>
  <c r="D45" i="8"/>
  <c r="G42" i="8"/>
  <c r="K20" i="8"/>
  <c r="D18" i="8"/>
  <c r="F12" i="8"/>
  <c r="L9" i="8"/>
  <c r="H56" i="8"/>
  <c r="F54" i="8"/>
  <c r="D52" i="8"/>
  <c r="G49" i="8"/>
  <c r="E47" i="8"/>
  <c r="H44" i="8"/>
  <c r="F42" i="8"/>
  <c r="F20" i="8"/>
  <c r="L17" i="8"/>
  <c r="L14" i="8"/>
  <c r="E12" i="8"/>
  <c r="K9" i="8"/>
  <c r="M12" i="8" l="1"/>
  <c r="N12" i="8" s="1"/>
  <c r="R12" i="8"/>
  <c r="M19" i="8"/>
  <c r="N19" i="8" s="1"/>
  <c r="M11" i="8"/>
  <c r="N11" i="8" s="1"/>
  <c r="R21" i="8"/>
  <c r="R11" i="8"/>
  <c r="M21" i="8"/>
  <c r="N21" i="8" s="1"/>
  <c r="R13" i="8"/>
  <c r="J52" i="8"/>
  <c r="J55" i="8"/>
  <c r="M16" i="8"/>
  <c r="N16" i="8" s="1"/>
  <c r="R19" i="8"/>
  <c r="M20" i="8"/>
  <c r="N20" i="8" s="1"/>
  <c r="M13" i="8"/>
  <c r="N13" i="8" s="1"/>
  <c r="J46" i="8"/>
  <c r="J50" i="8"/>
  <c r="R18" i="8"/>
  <c r="F58" i="8"/>
  <c r="R20" i="8"/>
  <c r="G58" i="8"/>
  <c r="J45" i="8"/>
  <c r="J51" i="8"/>
  <c r="M23" i="8"/>
  <c r="N23" i="8" s="1"/>
  <c r="R16" i="8"/>
  <c r="M18" i="8"/>
  <c r="N18" i="8" s="1"/>
  <c r="P18" i="8"/>
  <c r="G18" i="8"/>
  <c r="Q18" i="8"/>
  <c r="J47" i="8"/>
  <c r="Q21" i="8"/>
  <c r="G21" i="8"/>
  <c r="J54" i="8"/>
  <c r="H58" i="8"/>
  <c r="J56" i="8"/>
  <c r="G9" i="8"/>
  <c r="Q9" i="8"/>
  <c r="R9" i="8"/>
  <c r="J53" i="8"/>
  <c r="Q14" i="8"/>
  <c r="G14" i="8"/>
  <c r="R14" i="8"/>
  <c r="P12" i="8"/>
  <c r="G11" i="8"/>
  <c r="Q11" i="8"/>
  <c r="Q17" i="8"/>
  <c r="G17" i="8"/>
  <c r="R17" i="8"/>
  <c r="M14" i="8"/>
  <c r="N14" i="8" s="1"/>
  <c r="P11" i="8"/>
  <c r="D24" i="8"/>
  <c r="M17" i="8"/>
  <c r="N17" i="8" s="1"/>
  <c r="M9" i="8"/>
  <c r="Q20" i="8"/>
  <c r="G20" i="8"/>
  <c r="Q12" i="8"/>
  <c r="G12" i="8"/>
  <c r="S12" i="8" s="1"/>
  <c r="G10" i="8"/>
  <c r="G13" i="8"/>
  <c r="Q13" i="8"/>
  <c r="Q19" i="8"/>
  <c r="G19" i="8"/>
  <c r="S19" i="8" s="1"/>
  <c r="G22" i="8"/>
  <c r="P13" i="8"/>
  <c r="Q16" i="8"/>
  <c r="G16" i="8"/>
  <c r="P19" i="8"/>
  <c r="J44" i="8"/>
  <c r="S11" i="8" l="1"/>
  <c r="T11" i="8" s="1"/>
  <c r="S13" i="8"/>
  <c r="S18" i="8"/>
  <c r="T18" i="8" s="1"/>
  <c r="H19" i="8"/>
  <c r="H11" i="8"/>
  <c r="T12" i="8"/>
  <c r="S17" i="8"/>
  <c r="T17" i="8" s="1"/>
  <c r="H17" i="8"/>
  <c r="H10" i="8"/>
  <c r="T13" i="8"/>
  <c r="P24" i="8"/>
  <c r="H12" i="8"/>
  <c r="H18" i="8"/>
  <c r="H16" i="8"/>
  <c r="S16" i="8"/>
  <c r="T16" i="8" s="1"/>
  <c r="S9" i="8"/>
  <c r="T9" i="8" s="1"/>
  <c r="H9" i="8"/>
  <c r="N9" i="8"/>
  <c r="H14" i="8"/>
  <c r="S14" i="8"/>
  <c r="T14" i="8" s="1"/>
  <c r="H13" i="8"/>
  <c r="H22" i="8"/>
  <c r="S20" i="8"/>
  <c r="T20" i="8" s="1"/>
  <c r="H20" i="8"/>
  <c r="T19" i="8"/>
  <c r="H21" i="8"/>
  <c r="S21" i="8"/>
  <c r="T21" i="8" s="1"/>
  <c r="T63" i="4" l="1"/>
  <c r="S63" i="4"/>
  <c r="V63" i="4" s="1" a="1"/>
  <c r="V63" i="4" s="1"/>
  <c r="Q2" i="4"/>
  <c r="T38" i="4"/>
  <c r="S38" i="4"/>
  <c r="T51" i="4"/>
  <c r="S51" i="4"/>
  <c r="V51" i="4" s="1" a="1"/>
  <c r="V51" i="4" s="1"/>
  <c r="T49" i="4"/>
  <c r="S49" i="4"/>
  <c r="V49" i="4" s="1" a="1"/>
  <c r="V49" i="4" s="1"/>
  <c r="S52" i="4"/>
  <c r="V52" i="4" s="1" a="1"/>
  <c r="V52" i="4" s="1"/>
  <c r="T52" i="4"/>
  <c r="T54" i="4"/>
  <c r="S54" i="4"/>
  <c r="V54" i="4" s="1" a="1"/>
  <c r="V54" i="4" s="1"/>
  <c r="T53" i="4"/>
  <c r="S53" i="4"/>
  <c r="V53" i="4" s="1" a="1"/>
  <c r="V53" i="4" s="1"/>
  <c r="S39" i="4"/>
  <c r="V39" i="4" s="1" a="1"/>
  <c r="V39" i="4" s="1"/>
  <c r="T39" i="4"/>
  <c r="S83" i="4"/>
  <c r="V83" i="4" s="1" a="1"/>
  <c r="V83" i="4" s="1"/>
  <c r="T83" i="4"/>
  <c r="S84" i="4"/>
  <c r="V84" i="4" s="1" a="1"/>
  <c r="V84" i="4" s="1"/>
  <c r="T84" i="4"/>
  <c r="T60" i="4"/>
  <c r="S60" i="4"/>
  <c r="V60" i="4" s="1" a="1"/>
  <c r="V60" i="4" s="1"/>
  <c r="T50" i="4"/>
  <c r="S50" i="4"/>
  <c r="V50" i="4" s="1" a="1"/>
  <c r="V50" i="4" s="1"/>
  <c r="T55" i="4"/>
  <c r="S55" i="4"/>
  <c r="V55" i="4" s="1" a="1"/>
  <c r="V55" i="4" s="1"/>
  <c r="S2" i="4" l="1"/>
  <c r="T2" i="4"/>
  <c r="X84" i="4"/>
  <c r="X52" i="4"/>
  <c r="X83" i="4"/>
  <c r="K10" i="8"/>
  <c r="V38" i="4" a="1"/>
  <c r="V38" i="4" s="1"/>
  <c r="E49" i="8" s="1"/>
  <c r="X55" i="4"/>
  <c r="X50" i="4"/>
  <c r="F23" i="8"/>
  <c r="R23" i="8" s="1"/>
  <c r="D42" i="8"/>
  <c r="E23" i="8"/>
  <c r="X49" i="4"/>
  <c r="L10" i="8"/>
  <c r="D48" i="8"/>
  <c r="J48" i="8" s="1"/>
  <c r="E15" i="8"/>
  <c r="X39" i="4"/>
  <c r="X60" i="4"/>
  <c r="E43" i="8"/>
  <c r="L22" i="8"/>
  <c r="R22" i="8" s="1"/>
  <c r="K22" i="8"/>
  <c r="X53" i="4"/>
  <c r="X54" i="4"/>
  <c r="F68" i="8"/>
  <c r="L30" i="8"/>
  <c r="D65" i="8"/>
  <c r="D32" i="8"/>
  <c r="D64" i="8"/>
  <c r="D66" i="8"/>
  <c r="H67" i="8"/>
  <c r="F34" i="8"/>
  <c r="D30" i="8"/>
  <c r="J33" i="8"/>
  <c r="E33" i="8"/>
  <c r="F65" i="8"/>
  <c r="F32" i="8"/>
  <c r="H66" i="8"/>
  <c r="J31" i="8"/>
  <c r="E31" i="8"/>
  <c r="K34" i="8"/>
  <c r="F64" i="8"/>
  <c r="G68" i="8"/>
  <c r="D34" i="8"/>
  <c r="E68" i="8"/>
  <c r="K32" i="8"/>
  <c r="E67" i="8"/>
  <c r="L33" i="8"/>
  <c r="E66" i="8"/>
  <c r="L32" i="8"/>
  <c r="H65" i="8"/>
  <c r="K30" i="8"/>
  <c r="H64" i="8"/>
  <c r="L31" i="8"/>
  <c r="F33" i="8"/>
  <c r="D33" i="8"/>
  <c r="G67" i="8"/>
  <c r="E34" i="8"/>
  <c r="G66" i="8"/>
  <c r="F31" i="8"/>
  <c r="D31" i="8"/>
  <c r="E65" i="8"/>
  <c r="E32" i="8"/>
  <c r="E64" i="8"/>
  <c r="F67" i="8"/>
  <c r="D68" i="8"/>
  <c r="J34" i="8"/>
  <c r="E30" i="8"/>
  <c r="K33" i="8"/>
  <c r="G65" i="8"/>
  <c r="J32" i="8"/>
  <c r="D67" i="8"/>
  <c r="K31" i="8"/>
  <c r="L34" i="8"/>
  <c r="J30" i="8"/>
  <c r="G64" i="8"/>
  <c r="H68" i="8"/>
  <c r="F66" i="8"/>
  <c r="X51" i="4"/>
  <c r="X63" i="4"/>
  <c r="L15" i="8"/>
  <c r="K15" i="8"/>
  <c r="X38" i="4" l="1"/>
  <c r="X2" i="4" s="1"/>
  <c r="Y2" i="4" s="1"/>
  <c r="V2" i="4"/>
  <c r="R31" i="8"/>
  <c r="M15" i="8"/>
  <c r="N15" i="8" s="1"/>
  <c r="M33" i="8"/>
  <c r="N33" i="8" s="1"/>
  <c r="E69" i="8"/>
  <c r="F30" i="8"/>
  <c r="R30" i="8" s="1"/>
  <c r="Q30" i="8"/>
  <c r="E36" i="8"/>
  <c r="L36" i="8"/>
  <c r="M31" i="8"/>
  <c r="N31" i="8" s="1"/>
  <c r="P31" i="8"/>
  <c r="R32" i="8"/>
  <c r="E24" i="8"/>
  <c r="Q15" i="8"/>
  <c r="J67" i="8"/>
  <c r="J68" i="8"/>
  <c r="F69" i="8"/>
  <c r="J66" i="8"/>
  <c r="J42" i="8"/>
  <c r="R34" i="8"/>
  <c r="G33" i="8"/>
  <c r="Q33" i="8"/>
  <c r="M34" i="8"/>
  <c r="N34" i="8" s="1"/>
  <c r="Q22" i="8"/>
  <c r="M22" i="8"/>
  <c r="G69" i="8"/>
  <c r="R33" i="8"/>
  <c r="G31" i="8"/>
  <c r="Q31" i="8"/>
  <c r="J36" i="8"/>
  <c r="M32" i="8"/>
  <c r="N32" i="8" s="1"/>
  <c r="H69" i="8"/>
  <c r="R10" i="8"/>
  <c r="L24" i="8"/>
  <c r="Q34" i="8"/>
  <c r="G34" i="8"/>
  <c r="H34" i="8" s="1"/>
  <c r="K36" i="8"/>
  <c r="M30" i="8"/>
  <c r="P34" i="8"/>
  <c r="E58" i="8"/>
  <c r="J43" i="8"/>
  <c r="D49" i="8"/>
  <c r="J49" i="8" s="1"/>
  <c r="F15" i="8"/>
  <c r="G15" i="8" s="1"/>
  <c r="J64" i="8"/>
  <c r="D69" i="8"/>
  <c r="K24" i="8"/>
  <c r="M10" i="8"/>
  <c r="Q10" i="8"/>
  <c r="P33" i="8"/>
  <c r="P32" i="8"/>
  <c r="G32" i="8"/>
  <c r="Q32" i="8"/>
  <c r="D36" i="8"/>
  <c r="P30" i="8"/>
  <c r="J65" i="8"/>
  <c r="Q23" i="8"/>
  <c r="G23" i="8"/>
  <c r="S33" i="8" l="1"/>
  <c r="T33" i="8" s="1"/>
  <c r="S31" i="8"/>
  <c r="T31" i="8" s="1"/>
  <c r="G30" i="8"/>
  <c r="H30" i="8" s="1"/>
  <c r="F36" i="8"/>
  <c r="H31" i="8"/>
  <c r="M36" i="8"/>
  <c r="H33" i="8"/>
  <c r="Q24" i="8"/>
  <c r="S32" i="8"/>
  <c r="T32" i="8" s="1"/>
  <c r="S34" i="8"/>
  <c r="T34" i="8" s="1"/>
  <c r="G24" i="8"/>
  <c r="S15" i="8"/>
  <c r="T15" i="8" s="1"/>
  <c r="H15" i="8"/>
  <c r="D58" i="8"/>
  <c r="N10" i="8"/>
  <c r="M24" i="8"/>
  <c r="S10" i="8"/>
  <c r="R36" i="8"/>
  <c r="H32" i="8"/>
  <c r="N22" i="8"/>
  <c r="S22" i="8"/>
  <c r="T22" i="8" s="1"/>
  <c r="Q36" i="8"/>
  <c r="J69" i="8"/>
  <c r="J58" i="8"/>
  <c r="S23" i="8"/>
  <c r="T23" i="8" s="1"/>
  <c r="H23" i="8"/>
  <c r="R15" i="8"/>
  <c r="R24" i="8" s="1"/>
  <c r="F24" i="8"/>
  <c r="N30" i="8"/>
  <c r="N36" i="8" s="1"/>
  <c r="P36" i="8"/>
  <c r="G36" i="8" l="1"/>
  <c r="H36" i="8"/>
  <c r="S30" i="8"/>
  <c r="T30" i="8" s="1"/>
  <c r="T36" i="8" s="1"/>
  <c r="N24" i="8"/>
  <c r="T10" i="8"/>
  <c r="T24" i="8" s="1"/>
  <c r="S24" i="8"/>
  <c r="H24" i="8"/>
  <c r="S36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<sst xmlns="http://schemas.openxmlformats.org/spreadsheetml/2006/main" count="496" uniqueCount="73">
  <si>
    <t>PR Number</t>
  </si>
  <si>
    <t>Carryforward</t>
  </si>
  <si>
    <t>Total</t>
  </si>
  <si>
    <t>Project</t>
  </si>
  <si>
    <t>PO Number</t>
  </si>
  <si>
    <t>PR Line</t>
  </si>
  <si>
    <t>PO Line</t>
  </si>
  <si>
    <t>Implementation</t>
  </si>
  <si>
    <t>Hardware</t>
  </si>
  <si>
    <t>Software License</t>
  </si>
  <si>
    <t>PR Amount</t>
  </si>
  <si>
    <t>PO Amount</t>
  </si>
  <si>
    <t>Received Amount</t>
  </si>
  <si>
    <t>Code</t>
  </si>
  <si>
    <t>Status</t>
  </si>
  <si>
    <t>Open</t>
  </si>
  <si>
    <t>Cancelled</t>
  </si>
  <si>
    <t>Closed</t>
  </si>
  <si>
    <t>Activity Item</t>
  </si>
  <si>
    <t>Year</t>
  </si>
  <si>
    <t>PR Not Converted to PO</t>
  </si>
  <si>
    <t>Outstanding PO's</t>
  </si>
  <si>
    <t>Spend</t>
  </si>
  <si>
    <t>Reversal PR</t>
  </si>
  <si>
    <t>Committed</t>
  </si>
  <si>
    <t xml:space="preserve">Total Committed </t>
  </si>
  <si>
    <t>HCM Core</t>
  </si>
  <si>
    <t>Consultancy</t>
  </si>
  <si>
    <t>Integration</t>
  </si>
  <si>
    <t>Current Date</t>
  </si>
  <si>
    <t>Aged Months</t>
  </si>
  <si>
    <t>Intervals</t>
  </si>
  <si>
    <t>Count Code</t>
  </si>
  <si>
    <t>Summary by Projects</t>
  </si>
  <si>
    <t>CarryForward</t>
  </si>
  <si>
    <t>Total Commitment</t>
  </si>
  <si>
    <t>Remaining</t>
  </si>
  <si>
    <t>Budget</t>
  </si>
  <si>
    <t>Summary by Activity Items</t>
  </si>
  <si>
    <t>Ageing by Projects</t>
  </si>
  <si>
    <t>Ageing of Commitment</t>
  </si>
  <si>
    <t>3 Months</t>
  </si>
  <si>
    <t>6 Months</t>
  </si>
  <si>
    <t>9 Months</t>
  </si>
  <si>
    <t>12 Months</t>
  </si>
  <si>
    <t>&gt; 12 Months</t>
  </si>
  <si>
    <t>Ageing by Activity Items</t>
  </si>
  <si>
    <t>Y2024</t>
  </si>
  <si>
    <t>Y2024 Budget</t>
  </si>
  <si>
    <t>Date</t>
  </si>
  <si>
    <t>Point of Sales</t>
  </si>
  <si>
    <t>Others</t>
  </si>
  <si>
    <t>Project Name - Budget</t>
  </si>
  <si>
    <t>Ocado</t>
  </si>
  <si>
    <t>Budget Date</t>
  </si>
  <si>
    <t>PR Approved Date</t>
  </si>
  <si>
    <t>Relex Project</t>
  </si>
  <si>
    <t>Fusion Re-Engineering</t>
  </si>
  <si>
    <t>RMS</t>
  </si>
  <si>
    <t>Memory Project</t>
  </si>
  <si>
    <t>Etqan</t>
  </si>
  <si>
    <t>Var</t>
  </si>
  <si>
    <t>Y2025</t>
  </si>
  <si>
    <t xml:space="preserve">WMS (Manhattan) </t>
  </si>
  <si>
    <t>HR Performance Management</t>
  </si>
  <si>
    <t>MDM Solution</t>
  </si>
  <si>
    <t xml:space="preserve">Network Operations </t>
  </si>
  <si>
    <t>Wireless Infrastructure</t>
  </si>
  <si>
    <t>Buffer 2%</t>
  </si>
  <si>
    <t>Software</t>
  </si>
  <si>
    <t>IT Projects CAPEX Summary</t>
  </si>
  <si>
    <t>Cube 2.0</t>
  </si>
  <si>
    <t>WMS (Manhattan)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</si>
</sst>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d\-mmm\-yyyy;@"/>
    <numFmt numFmtId="167" formatCode="_(* #,##0.0_);_(* \(#,##0.0\);_(* &quot;-&quot;?_);_(@_)"/>
  </numFmts>
  <fonts count="1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Times New Roman"/>
      <family val="1"/>
    </font>
    <font>
      <b/>
      <sz val="16"/>
      <name val="Sakkal Majalla"/>
    </font>
    <font>
      <sz val="12"/>
      <name val="Sakkal Majalla"/>
    </font>
    <font>
      <b/>
      <sz val="12"/>
      <name val="Sakkal Majalla"/>
    </font>
    <font>
      <b/>
      <sz val="20"/>
      <name val="Sakkal Majalla"/>
    </font>
    <font>
      <b/>
      <i/>
      <sz val="15"/>
      <color theme="1"/>
      <name val="Sakkal Majalla"/>
    </font>
    <font>
      <sz val="12"/>
      <color theme="0"/>
      <name val="Sakkal Majalla"/>
    </font>
    <font>
      <b/>
      <sz val="11"/>
      <color theme="9" tint="0.59999389629810485"/>
      <name val="Sakkal Majalla"/>
    </font>
    <font>
      <b/>
      <sz val="12"/>
      <color theme="1"/>
      <name val="Sakkal Majalla"/>
    </font>
    <font>
      <sz val="12"/>
      <color theme="1"/>
      <name val="Sakkal Majalla"/>
    </font>
    <font>
      <sz val="12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n">
        <color theme="0" tint="-0.249977111117893"/>
      </left>
      <right/>
      <top style="thick">
        <color rgb="FFC00000"/>
      </top>
      <bottom/>
      <diagonal/>
    </border>
    <border>
      <left/>
      <right style="thin">
        <color theme="0" tint="-0.249977111117893"/>
      </right>
      <top style="thick">
        <color rgb="FFC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165" fontId="0" fillId="0" borderId="0" xfId="2" applyNumberFormat="1" applyFont="1"/>
    <xf numFmtId="166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6" fontId="3" fillId="4" borderId="0" xfId="0" applyNumberFormat="1" applyFont="1" applyFill="1" applyAlignment="1">
      <alignment horizontal="center" vertical="center" wrapText="1"/>
    </xf>
    <xf numFmtId="165" fontId="3" fillId="5" borderId="0" xfId="2" applyNumberFormat="1" applyFont="1" applyFill="1" applyAlignment="1">
      <alignment horizontal="center" vertical="center" wrapText="1"/>
    </xf>
    <xf numFmtId="165" fontId="3" fillId="6" borderId="0" xfId="2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65" fontId="3" fillId="9" borderId="0" xfId="2" applyNumberFormat="1" applyFont="1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  <xf numFmtId="165" fontId="0" fillId="4" borderId="0" xfId="2" applyNumberFormat="1" applyFont="1" applyFill="1"/>
    <xf numFmtId="165" fontId="0" fillId="4" borderId="0" xfId="2" applyNumberFormat="1" applyFont="1" applyFill="1" applyAlignment="1"/>
    <xf numFmtId="0" fontId="0" fillId="5" borderId="0" xfId="0" applyFill="1"/>
    <xf numFmtId="0" fontId="0" fillId="5" borderId="0" xfId="0" applyFill="1" applyAlignment="1">
      <alignment horizontal="center"/>
    </xf>
    <xf numFmtId="166" fontId="0" fillId="5" borderId="0" xfId="0" applyNumberFormat="1" applyFill="1" applyAlignment="1">
      <alignment horizontal="center"/>
    </xf>
    <xf numFmtId="165" fontId="0" fillId="5" borderId="0" xfId="2" applyNumberFormat="1" applyFont="1" applyFill="1" applyAlignment="1"/>
    <xf numFmtId="165" fontId="0" fillId="5" borderId="0" xfId="2" applyNumberFormat="1" applyFont="1" applyFill="1"/>
    <xf numFmtId="0" fontId="0" fillId="4" borderId="0" xfId="2" applyNumberFormat="1" applyFont="1" applyFill="1" applyAlignment="1">
      <alignment horizontal="center"/>
    </xf>
    <xf numFmtId="0" fontId="3" fillId="7" borderId="0" xfId="2" applyNumberFormat="1" applyFont="1" applyFill="1" applyAlignment="1">
      <alignment horizontal="center" vertical="center" wrapText="1"/>
    </xf>
    <xf numFmtId="0" fontId="0" fillId="5" borderId="0" xfId="2" applyNumberFormat="1" applyFont="1" applyFill="1" applyAlignment="1">
      <alignment horizontal="center"/>
    </xf>
    <xf numFmtId="0" fontId="0" fillId="0" borderId="0" xfId="2" applyNumberFormat="1" applyFont="1" applyAlignment="1">
      <alignment horizontal="center"/>
    </xf>
    <xf numFmtId="165" fontId="2" fillId="8" borderId="0" xfId="2" applyNumberFormat="1" applyFont="1" applyFill="1" applyAlignment="1">
      <alignment horizontal="center" vertical="center" wrapText="1"/>
    </xf>
    <xf numFmtId="165" fontId="0" fillId="4" borderId="0" xfId="2" applyNumberFormat="1" applyFont="1" applyFill="1" applyAlignment="1">
      <alignment horizontal="left"/>
    </xf>
    <xf numFmtId="0" fontId="0" fillId="4" borderId="0" xfId="0" applyFill="1" applyAlignment="1">
      <alignment horizontal="left"/>
    </xf>
    <xf numFmtId="0" fontId="5" fillId="3" borderId="0" xfId="2" applyNumberFormat="1" applyFont="1" applyFill="1" applyBorder="1" applyAlignment="1">
      <alignment vertical="center" wrapText="1"/>
    </xf>
    <xf numFmtId="166" fontId="5" fillId="7" borderId="0" xfId="2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5" fillId="7" borderId="0" xfId="2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2" xfId="0" applyFont="1" applyBorder="1"/>
    <xf numFmtId="0" fontId="7" fillId="0" borderId="2" xfId="0" applyFont="1" applyBorder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7" fillId="0" borderId="5" xfId="0" applyFont="1" applyBorder="1"/>
    <xf numFmtId="164" fontId="7" fillId="0" borderId="0" xfId="2" applyNumberFormat="1" applyFont="1" applyBorder="1" applyAlignment="1">
      <alignment horizontal="center"/>
    </xf>
    <xf numFmtId="0" fontId="8" fillId="2" borderId="8" xfId="0" applyFont="1" applyFill="1" applyBorder="1"/>
    <xf numFmtId="0" fontId="9" fillId="0" borderId="0" xfId="0" applyFont="1"/>
    <xf numFmtId="166" fontId="10" fillId="0" borderId="0" xfId="0" quotePrefix="1" applyNumberFormat="1" applyFont="1" applyAlignment="1">
      <alignment horizontal="left"/>
    </xf>
    <xf numFmtId="164" fontId="7" fillId="0" borderId="0" xfId="2" applyNumberFormat="1" applyFont="1" applyAlignment="1">
      <alignment horizontal="center"/>
    </xf>
    <xf numFmtId="165" fontId="7" fillId="0" borderId="0" xfId="2" applyNumberFormat="1" applyFont="1" applyAlignment="1">
      <alignment horizontal="center"/>
    </xf>
    <xf numFmtId="0" fontId="11" fillId="0" borderId="0" xfId="0" applyFont="1" applyAlignment="1">
      <alignment horizontal="center"/>
    </xf>
    <xf numFmtId="167" fontId="7" fillId="0" borderId="0" xfId="0" applyNumberFormat="1" applyFont="1" applyAlignment="1">
      <alignment horizontal="center"/>
    </xf>
    <xf numFmtId="165" fontId="7" fillId="0" borderId="6" xfId="2" applyNumberFormat="1" applyFont="1" applyBorder="1" applyAlignment="1">
      <alignment horizontal="center"/>
    </xf>
    <xf numFmtId="165" fontId="7" fillId="0" borderId="0" xfId="2" applyNumberFormat="1" applyFont="1" applyBorder="1" applyAlignment="1">
      <alignment horizontal="center"/>
    </xf>
    <xf numFmtId="165" fontId="7" fillId="0" borderId="7" xfId="2" applyNumberFormat="1" applyFont="1" applyBorder="1" applyAlignment="1">
      <alignment horizontal="center"/>
    </xf>
    <xf numFmtId="165" fontId="7" fillId="0" borderId="0" xfId="0" applyNumberFormat="1" applyFont="1"/>
    <xf numFmtId="165" fontId="8" fillId="2" borderId="9" xfId="2" applyNumberFormat="1" applyFont="1" applyFill="1" applyBorder="1" applyAlignment="1">
      <alignment horizontal="center"/>
    </xf>
    <xf numFmtId="165" fontId="8" fillId="2" borderId="10" xfId="2" applyNumberFormat="1" applyFont="1" applyFill="1" applyBorder="1" applyAlignment="1">
      <alignment horizontal="center"/>
    </xf>
    <xf numFmtId="165" fontId="8" fillId="2" borderId="11" xfId="2" applyNumberFormat="1" applyFont="1" applyFill="1" applyBorder="1" applyAlignment="1">
      <alignment horizontal="center"/>
    </xf>
    <xf numFmtId="165" fontId="14" fillId="0" borderId="6" xfId="2" applyNumberFormat="1" applyFont="1" applyBorder="1" applyAlignment="1">
      <alignment horizontal="center" vertical="center"/>
    </xf>
    <xf numFmtId="165" fontId="14" fillId="0" borderId="0" xfId="2" applyNumberFormat="1" applyFont="1" applyBorder="1" applyAlignment="1">
      <alignment horizontal="center" vertical="center"/>
    </xf>
    <xf numFmtId="165" fontId="14" fillId="0" borderId="7" xfId="2" applyNumberFormat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165" fontId="7" fillId="0" borderId="5" xfId="2" applyNumberFormat="1" applyFont="1" applyBorder="1" applyAlignment="1">
      <alignment horizontal="center"/>
    </xf>
    <xf numFmtId="165" fontId="7" fillId="0" borderId="6" xfId="2" applyNumberFormat="1" applyFont="1" applyBorder="1"/>
    <xf numFmtId="165" fontId="7" fillId="0" borderId="0" xfId="2" applyNumberFormat="1" applyFont="1" applyBorder="1"/>
    <xf numFmtId="165" fontId="7" fillId="0" borderId="7" xfId="2" applyNumberFormat="1" applyFont="1" applyBorder="1"/>
    <xf numFmtId="165" fontId="8" fillId="2" borderId="9" xfId="2" applyNumberFormat="1" applyFont="1" applyFill="1" applyBorder="1"/>
    <xf numFmtId="165" fontId="8" fillId="2" borderId="10" xfId="2" applyNumberFormat="1" applyFont="1" applyFill="1" applyBorder="1"/>
    <xf numFmtId="165" fontId="8" fillId="2" borderId="11" xfId="2" applyNumberFormat="1" applyFont="1" applyFill="1" applyBorder="1"/>
    <xf numFmtId="165" fontId="8" fillId="2" borderId="8" xfId="2" applyNumberFormat="1" applyFont="1" applyFill="1" applyBorder="1"/>
    <xf numFmtId="0" fontId="15" fillId="0" borderId="0" xfId="0" applyFont="1"/>
    <xf numFmtId="0" fontId="16" fillId="4" borderId="0" xfId="0" applyFont="1" applyFill="1"/>
    <xf numFmtId="166" fontId="16" fillId="5" borderId="0" xfId="0" applyNumberFormat="1" applyFont="1" applyFill="1" applyAlignment="1">
      <alignment horizontal="center"/>
    </xf>
    <xf numFmtId="43" fontId="7" fillId="0" borderId="0" xfId="2" applyFont="1" applyAlignment="1">
      <alignment horizontal="center"/>
    </xf>
    <xf numFmtId="165" fontId="0" fillId="4" borderId="0" xfId="0" applyNumberFormat="1" applyFill="1"/>
    <xf numFmtId="165" fontId="0" fillId="0" borderId="0" xfId="0" applyNumberFormat="1"/>
    <xf numFmtId="0" fontId="8" fillId="4" borderId="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2" fontId="8" fillId="4" borderId="3" xfId="0" applyNumberFormat="1" applyFont="1" applyFill="1" applyBorder="1" applyAlignment="1">
      <alignment horizontal="centerContinuous"/>
    </xf>
    <xf numFmtId="2" fontId="8" fillId="4" borderId="2" xfId="0" applyNumberFormat="1" applyFont="1" applyFill="1" applyBorder="1" applyAlignment="1">
      <alignment horizontal="centerContinuous"/>
    </xf>
    <xf numFmtId="2" fontId="8" fillId="4" borderId="4" xfId="0" applyNumberFormat="1" applyFont="1" applyFill="1" applyBorder="1" applyAlignment="1">
      <alignment horizontal="centerContinuous"/>
    </xf>
    <xf numFmtId="0" fontId="8" fillId="5" borderId="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Continuous"/>
    </xf>
    <xf numFmtId="0" fontId="13" fillId="4" borderId="5" xfId="0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0" fontId="3" fillId="6" borderId="0" xfId="0" applyFont="1" applyFill="1" applyAlignment="1">
      <alignment horizontal="center" vertical="center"/>
    </xf>
    <xf numFmtId="165" fontId="0" fillId="5" borderId="0" xfId="2" applyNumberFormat="1" applyFont="1" applyFill="1" applyBorder="1" applyAlignment="1"/>
    <xf numFmtId="0" fontId="0" fillId="5" borderId="0" xfId="2" applyNumberFormat="1" applyFont="1" applyFill="1" applyBorder="1" applyAlignment="1">
      <alignment horizontal="center"/>
    </xf>
    <xf numFmtId="165" fontId="0" fillId="5" borderId="0" xfId="2" applyNumberFormat="1" applyFont="1" applyFill="1" applyBorder="1"/>
    <xf numFmtId="165" fontId="0" fillId="0" borderId="0" xfId="2" applyNumberFormat="1" applyFont="1" applyAlignment="1">
      <alignment horizontal="center"/>
    </xf>
  </cellXfs>
  <cellStyles count="3">
    <cellStyle name="Comma" xfId="2" builtinId="3"/>
    <cellStyle name="Comma 2" xfId="1" xr:uid="{35655A65-ABE7-4451-A833-A6BA28F4D49B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3375-F672-4E1E-8812-50E4943E9797}">
  <sheetPr>
    <tabColor theme="9" tint="0.79998168889431442"/>
  </sheetPr>
  <dimension ref="B1:T73"/>
  <sheetViews>
    <sheetView showGridLines="0" tabSelected="1" zoomScale="90" zoomScaleNormal="90" workbookViewId="0">
      <pane xSplit="2" ySplit="8" topLeftCell="H41" activePane="bottomRight" state="frozen"/>
      <selection pane="topRight" activeCell="C1" sqref="C1"/>
      <selection pane="bottomLeft" activeCell="A9" sqref="A9"/>
      <selection pane="bottomRight" activeCell="L48" sqref="L48"/>
    </sheetView>
  </sheetViews>
  <sheetFormatPr defaultColWidth="8.73046875" defaultRowHeight="18.399999999999999" x14ac:dyDescent="0.85"/>
  <cols>
    <col min="1" max="1" width="1.53125" style="33" customWidth="1"/>
    <col min="2" max="2" width="36.796875" style="33" customWidth="1"/>
    <col min="3" max="3" width="0.46484375" style="33" customWidth="1"/>
    <col min="4" max="6" width="12.59765625" style="34" customWidth="1"/>
    <col min="7" max="7" width="14.59765625" style="34" customWidth="1"/>
    <col min="8" max="8" width="12.59765625" style="34" customWidth="1"/>
    <col min="9" max="9" width="0.46484375" style="33" customWidth="1"/>
    <col min="10" max="12" width="12.59765625" style="34" customWidth="1"/>
    <col min="13" max="13" width="14.59765625" style="34" customWidth="1"/>
    <col min="14" max="14" width="12.59765625" style="34" customWidth="1"/>
    <col min="15" max="15" width="0.46484375" style="33" customWidth="1"/>
    <col min="16" max="18" width="12.59765625" style="34" customWidth="1"/>
    <col min="19" max="19" width="14.59765625" style="34" customWidth="1"/>
    <col min="20" max="20" width="12.59765625" style="34" customWidth="1"/>
    <col min="21" max="21" width="1.53125" style="33" customWidth="1"/>
    <col min="22" max="16384" width="8.73046875" style="33"/>
  </cols>
  <sheetData>
    <row r="1" spans="2:20" ht="9" customHeight="1" x14ac:dyDescent="0.85"/>
    <row r="2" spans="2:20" ht="29.25" x14ac:dyDescent="1.25">
      <c r="B2" s="42" t="s">
        <v>70</v>
      </c>
    </row>
    <row r="3" spans="2:20" ht="21" customHeight="1" x14ac:dyDescent="0.95">
      <c r="B3" s="43">
        <f>Month!C4</f>
        <v>46053</v>
      </c>
    </row>
    <row r="4" spans="2:20" ht="5.75" customHeight="1" x14ac:dyDescent="0.85"/>
    <row r="5" spans="2:20" ht="24" x14ac:dyDescent="1.05">
      <c r="B5" s="32" t="s">
        <v>33</v>
      </c>
    </row>
    <row r="6" spans="2:20" ht="4.5" customHeight="1" thickBot="1" x14ac:dyDescent="0.9"/>
    <row r="7" spans="2:20" ht="18.75" thickTop="1" x14ac:dyDescent="0.85">
      <c r="B7" s="73"/>
      <c r="C7" s="35"/>
      <c r="D7" s="75" t="s">
        <v>47</v>
      </c>
      <c r="E7" s="76"/>
      <c r="F7" s="76"/>
      <c r="G7" s="76"/>
      <c r="H7" s="77"/>
      <c r="I7" s="35"/>
      <c r="J7" s="75" t="s">
        <v>62</v>
      </c>
      <c r="K7" s="76"/>
      <c r="L7" s="76"/>
      <c r="M7" s="76"/>
      <c r="N7" s="77"/>
      <c r="O7" s="35"/>
      <c r="P7" s="75" t="s">
        <v>2</v>
      </c>
      <c r="Q7" s="76"/>
      <c r="R7" s="76"/>
      <c r="S7" s="76"/>
      <c r="T7" s="77"/>
    </row>
    <row r="8" spans="2:20" x14ac:dyDescent="0.85">
      <c r="B8" s="74" t="s">
        <v>3</v>
      </c>
      <c r="C8" s="37"/>
      <c r="D8" s="78" t="s">
        <v>34</v>
      </c>
      <c r="E8" s="79" t="s">
        <v>22</v>
      </c>
      <c r="F8" s="79" t="s">
        <v>24</v>
      </c>
      <c r="G8" s="79" t="s">
        <v>35</v>
      </c>
      <c r="H8" s="80" t="s">
        <v>36</v>
      </c>
      <c r="I8" s="38"/>
      <c r="J8" s="78" t="s">
        <v>37</v>
      </c>
      <c r="K8" s="79" t="s">
        <v>22</v>
      </c>
      <c r="L8" s="79" t="s">
        <v>24</v>
      </c>
      <c r="M8" s="79" t="s">
        <v>35</v>
      </c>
      <c r="N8" s="80" t="s">
        <v>36</v>
      </c>
      <c r="O8" s="38"/>
      <c r="P8" s="78" t="s">
        <v>37</v>
      </c>
      <c r="Q8" s="79" t="s">
        <v>22</v>
      </c>
      <c r="R8" s="79" t="s">
        <v>24</v>
      </c>
      <c r="S8" s="79" t="s">
        <v>35</v>
      </c>
      <c r="T8" s="80" t="s">
        <v>36</v>
      </c>
    </row>
    <row r="9" spans="2:20" x14ac:dyDescent="0.85">
      <c r="B9" s="39" t="s">
        <v>50</v>
      </c>
      <c r="D9" s="48">
        <v>1043610.9375000001</v>
      </c>
      <c r="E9" s="49">
        <f>SUMIFS('PR Data'!$T:$T,'PR Data'!$P:$P,$B9,'PR Data'!$O:$O,$D$7)</f>
        <v>0</v>
      </c>
      <c r="F9" s="49">
        <f>SUMIFS('PR Data'!$V:$V,'PR Data'!$P:$P,$B9,'PR Data'!$O:$O,$D$7)</f>
        <v>0</v>
      </c>
      <c r="G9" s="49">
        <f t="shared" ref="G9:G23" si="0">SUM(E9:F9)</f>
        <v>0</v>
      </c>
      <c r="H9" s="50">
        <f t="shared" ref="H9:H23" si="1">D9-G9</f>
        <v>1043610.9375000001</v>
      </c>
      <c r="I9" s="51"/>
      <c r="J9" s="48">
        <v>45020000</v>
      </c>
      <c r="K9" s="49">
        <f>SUMIFS('PR Data'!$T:$T,'PR Data'!$P:$P,$B9,'PR Data'!$O:$O,$J$7)</f>
        <v>0</v>
      </c>
      <c r="L9" s="49">
        <f>SUMIFS('PR Data'!$V:$V,'PR Data'!$P:$P,$B9,'PR Data'!$O:$O,$J$7)</f>
        <v>45003001</v>
      </c>
      <c r="M9" s="49">
        <f t="shared" ref="M9:M23" si="2">SUM(K9:L9)</f>
        <v>45003001</v>
      </c>
      <c r="N9" s="50">
        <f t="shared" ref="N9:N23" si="3">J9-M9</f>
        <v>16999</v>
      </c>
      <c r="O9" s="51"/>
      <c r="P9" s="48">
        <f t="shared" ref="P9:P23" si="4">D9+J9</f>
        <v>46063610.9375</v>
      </c>
      <c r="Q9" s="49">
        <f t="shared" ref="Q9:Q23" si="5">E9+K9</f>
        <v>0</v>
      </c>
      <c r="R9" s="49">
        <f t="shared" ref="R9:R23" si="6">F9+L9</f>
        <v>45003001</v>
      </c>
      <c r="S9" s="49">
        <f t="shared" ref="S9:S23" si="7">G9+M9</f>
        <v>45003001</v>
      </c>
      <c r="T9" s="50">
        <f t="shared" ref="T9:T23" si="8">P9-S9</f>
        <v>1060609.9375</v>
      </c>
    </row>
    <row r="10" spans="2:20" x14ac:dyDescent="0.85">
      <c r="B10" s="39" t="s">
        <v>53</v>
      </c>
      <c r="D10" s="48">
        <v>0</v>
      </c>
      <c r="E10" s="49">
        <f>SUMIFS('PR Data'!$T:$T,'PR Data'!$P:$P,$B10,'PR Data'!$O:$O,$D$7)</f>
        <v>388922.85588971101</v>
      </c>
      <c r="F10" s="49">
        <f>SUMIFS('PR Data'!$V:$V,'PR Data'!$P:$P,$B10,'PR Data'!$O:$O,$D$7)</f>
        <v>108900</v>
      </c>
      <c r="G10" s="49">
        <f t="shared" si="0"/>
        <v>497822.85588971101</v>
      </c>
      <c r="H10" s="50">
        <f t="shared" si="1"/>
        <v>-497822.85588971101</v>
      </c>
      <c r="I10" s="51"/>
      <c r="J10" s="48">
        <v>22500000</v>
      </c>
      <c r="K10" s="49">
        <f>SUMIFS('PR Data'!$T:$T,'PR Data'!$P:$P,$B10,'PR Data'!$O:$O,$J$7)</f>
        <v>206037.35709954001</v>
      </c>
      <c r="L10" s="49">
        <f>SUMIFS('PR Data'!$V:$V,'PR Data'!$P:$P,$B10,'PR Data'!$O:$O,$J$7)</f>
        <v>618112.07129862008</v>
      </c>
      <c r="M10" s="49">
        <f t="shared" si="2"/>
        <v>824149.42839816003</v>
      </c>
      <c r="N10" s="50">
        <f t="shared" si="3"/>
        <v>21675850.571601842</v>
      </c>
      <c r="O10" s="51"/>
      <c r="P10" s="48">
        <f t="shared" si="4"/>
        <v>22500000</v>
      </c>
      <c r="Q10" s="49">
        <f t="shared" si="5"/>
        <v>594960.21298925101</v>
      </c>
      <c r="R10" s="49">
        <f t="shared" si="6"/>
        <v>727012.07129862008</v>
      </c>
      <c r="S10" s="49">
        <f t="shared" si="7"/>
        <v>1321972.2842878711</v>
      </c>
      <c r="T10" s="50">
        <f t="shared" si="8"/>
        <v>21178027.71571213</v>
      </c>
    </row>
    <row r="11" spans="2:20" x14ac:dyDescent="0.85">
      <c r="B11" s="39" t="s">
        <v>72</v>
      </c>
      <c r="D11" s="48">
        <f>(SUMIFS('PR Data'!$N:$N,'PR Data'!$P:$P,$B11,'PR Data'!$O:$O,$D$7))*1000</f>
        <v>0</v>
      </c>
      <c r="E11" s="49">
        <f>SUMIFS('PR Data'!$T:$T,'PR Data'!$P:$P,$B11,'PR Data'!$O:$O,$D$7)</f>
        <v>0</v>
      </c>
      <c r="F11" s="49">
        <f>SUMIFS('PR Data'!$V:$V,'PR Data'!$P:$P,$B11,'PR Data'!$O:$O,$D$7)</f>
        <v>0</v>
      </c>
      <c r="G11" s="49">
        <f t="shared" si="0"/>
        <v>0</v>
      </c>
      <c r="H11" s="50">
        <f t="shared" si="1"/>
        <v>0</v>
      </c>
      <c r="I11" s="51"/>
      <c r="J11" s="48">
        <v>22000000</v>
      </c>
      <c r="K11" s="49">
        <f>SUMIFS('PR Data'!$T:$T,'PR Data'!$P:$P,$B11,'PR Data'!$O:$O,$J$7)</f>
        <v>0</v>
      </c>
      <c r="L11" s="49">
        <f>SUMIFS('PR Data'!$V:$V,'PR Data'!$P:$P,$B11,'PR Data'!$O:$O,$J$7)</f>
        <v>0</v>
      </c>
      <c r="M11" s="49">
        <f t="shared" si="2"/>
        <v>0</v>
      </c>
      <c r="N11" s="50">
        <f t="shared" si="3"/>
        <v>22000000</v>
      </c>
      <c r="O11" s="51"/>
      <c r="P11" s="48">
        <f t="shared" si="4"/>
        <v>22000000</v>
      </c>
      <c r="Q11" s="49">
        <f t="shared" si="5"/>
        <v>0</v>
      </c>
      <c r="R11" s="49">
        <f t="shared" si="6"/>
        <v>0</v>
      </c>
      <c r="S11" s="49">
        <f t="shared" si="7"/>
        <v>0</v>
      </c>
      <c r="T11" s="50">
        <f t="shared" si="8"/>
        <v>22000000</v>
      </c>
    </row>
    <row r="12" spans="2:20" x14ac:dyDescent="0.85">
      <c r="B12" s="39" t="s">
        <v>67</v>
      </c>
      <c r="D12" s="48">
        <f>(SUMIFS('PR Data'!$N:$N,'PR Data'!$P:$P,$B12,'PR Data'!$O:$O,$D$7))*1000</f>
        <v>0</v>
      </c>
      <c r="E12" s="49">
        <f>SUMIFS('PR Data'!$T:$T,'PR Data'!$P:$P,$B12,'PR Data'!$O:$O,$D$7)</f>
        <v>0</v>
      </c>
      <c r="F12" s="49">
        <f>SUMIFS('PR Data'!$V:$V,'PR Data'!$P:$P,$B12,'PR Data'!$O:$O,$D$7)</f>
        <v>0</v>
      </c>
      <c r="G12" s="49">
        <f t="shared" si="0"/>
        <v>0</v>
      </c>
      <c r="H12" s="50">
        <f t="shared" si="1"/>
        <v>0</v>
      </c>
      <c r="I12" s="51"/>
      <c r="J12" s="48">
        <v>21000000</v>
      </c>
      <c r="K12" s="49">
        <f>SUMIFS('PR Data'!$T:$T,'PR Data'!$P:$P,$B12,'PR Data'!$O:$O,$J$7)</f>
        <v>0</v>
      </c>
      <c r="L12" s="49">
        <f>SUMIFS('PR Data'!$V:$V,'PR Data'!$P:$P,$B12,'PR Data'!$O:$O,$J$7)</f>
        <v>0</v>
      </c>
      <c r="M12" s="49">
        <f t="shared" si="2"/>
        <v>0</v>
      </c>
      <c r="N12" s="50">
        <f t="shared" si="3"/>
        <v>21000000</v>
      </c>
      <c r="O12" s="51"/>
      <c r="P12" s="48">
        <f t="shared" si="4"/>
        <v>21000000</v>
      </c>
      <c r="Q12" s="49">
        <f t="shared" si="5"/>
        <v>0</v>
      </c>
      <c r="R12" s="49">
        <f t="shared" si="6"/>
        <v>0</v>
      </c>
      <c r="S12" s="49">
        <f t="shared" si="7"/>
        <v>0</v>
      </c>
      <c r="T12" s="50">
        <f t="shared" si="8"/>
        <v>21000000</v>
      </c>
    </row>
    <row r="13" spans="2:20" x14ac:dyDescent="0.85">
      <c r="B13" s="39" t="s">
        <v>66</v>
      </c>
      <c r="D13" s="48">
        <f>(SUMIFS('PR Data'!$N:$N,'PR Data'!$P:$P,$B13,'PR Data'!$O:$O,$D$7))*1000</f>
        <v>0</v>
      </c>
      <c r="E13" s="49">
        <f>SUMIFS('PR Data'!$T:$T,'PR Data'!$P:$P,$B13,'PR Data'!$O:$O,$D$7)</f>
        <v>0</v>
      </c>
      <c r="F13" s="49">
        <f>SUMIFS('PR Data'!$V:$V,'PR Data'!$P:$P,$B13,'PR Data'!$O:$O,$D$7)</f>
        <v>0</v>
      </c>
      <c r="G13" s="49">
        <f t="shared" si="0"/>
        <v>0</v>
      </c>
      <c r="H13" s="50">
        <f t="shared" si="1"/>
        <v>0</v>
      </c>
      <c r="I13" s="51"/>
      <c r="J13" s="48">
        <v>10800000</v>
      </c>
      <c r="K13" s="49">
        <f>SUMIFS('PR Data'!$T:$T,'PR Data'!$P:$P,$B13,'PR Data'!$O:$O,$J$7)</f>
        <v>0</v>
      </c>
      <c r="L13" s="49">
        <f>SUMIFS('PR Data'!$V:$V,'PR Data'!$P:$P,$B13,'PR Data'!$O:$O,$J$7)</f>
        <v>0</v>
      </c>
      <c r="M13" s="49">
        <f t="shared" si="2"/>
        <v>0</v>
      </c>
      <c r="N13" s="50">
        <f t="shared" si="3"/>
        <v>10800000</v>
      </c>
      <c r="O13" s="51"/>
      <c r="P13" s="48">
        <f t="shared" si="4"/>
        <v>10800000</v>
      </c>
      <c r="Q13" s="49">
        <f t="shared" si="5"/>
        <v>0</v>
      </c>
      <c r="R13" s="49">
        <f t="shared" si="6"/>
        <v>0</v>
      </c>
      <c r="S13" s="49">
        <f t="shared" si="7"/>
        <v>0</v>
      </c>
      <c r="T13" s="50">
        <f t="shared" si="8"/>
        <v>10800000</v>
      </c>
    </row>
    <row r="14" spans="2:20" x14ac:dyDescent="0.85">
      <c r="B14" s="39" t="s">
        <v>58</v>
      </c>
      <c r="D14" s="48">
        <v>3970125</v>
      </c>
      <c r="E14" s="49">
        <f>SUMIFS('PR Data'!$T:$T,'PR Data'!$P:$P,$B14,'PR Data'!$O:$O,$D$7)</f>
        <v>0</v>
      </c>
      <c r="F14" s="49">
        <f>SUMIFS('PR Data'!$V:$V,'PR Data'!$P:$P,$B14,'PR Data'!$O:$O,$D$7)</f>
        <v>3576375</v>
      </c>
      <c r="G14" s="49">
        <f t="shared" si="0"/>
        <v>3576375</v>
      </c>
      <c r="H14" s="50">
        <f t="shared" si="1"/>
        <v>393750</v>
      </c>
      <c r="I14" s="51"/>
      <c r="J14" s="48">
        <v>4315000</v>
      </c>
      <c r="K14" s="49">
        <f>SUMIFS('PR Data'!$T:$T,'PR Data'!$P:$P,$B14,'PR Data'!$O:$O,$J$7)</f>
        <v>0</v>
      </c>
      <c r="L14" s="49">
        <f>SUMIFS('PR Data'!$V:$V,'PR Data'!$P:$P,$B14,'PR Data'!$O:$O,$J$7)</f>
        <v>0</v>
      </c>
      <c r="M14" s="49">
        <f t="shared" si="2"/>
        <v>0</v>
      </c>
      <c r="N14" s="50">
        <f t="shared" si="3"/>
        <v>4315000</v>
      </c>
      <c r="O14" s="51"/>
      <c r="P14" s="48">
        <f t="shared" si="4"/>
        <v>8285125</v>
      </c>
      <c r="Q14" s="49">
        <f t="shared" si="5"/>
        <v>0</v>
      </c>
      <c r="R14" s="49">
        <f t="shared" si="6"/>
        <v>3576375</v>
      </c>
      <c r="S14" s="49">
        <f t="shared" si="7"/>
        <v>3576375</v>
      </c>
      <c r="T14" s="50">
        <f t="shared" si="8"/>
        <v>4708750</v>
      </c>
    </row>
    <row r="15" spans="2:20" x14ac:dyDescent="0.85">
      <c r="B15" s="39" t="s">
        <v>71</v>
      </c>
      <c r="D15" s="48">
        <v>0</v>
      </c>
      <c r="E15" s="49">
        <f>SUMIFS('PR Data'!$T:$T,'PR Data'!$P:$P,$B15,'PR Data'!$O:$O,$D$7)</f>
        <v>126195</v>
      </c>
      <c r="F15" s="49">
        <f>SUMIFS('PR Data'!$V:$V,'PR Data'!$P:$P,$B15,'PR Data'!$O:$O,$D$7)</f>
        <v>6105</v>
      </c>
      <c r="G15" s="49">
        <f t="shared" si="0"/>
        <v>132300</v>
      </c>
      <c r="H15" s="50">
        <f t="shared" si="1"/>
        <v>-132300</v>
      </c>
      <c r="I15" s="51"/>
      <c r="J15" s="48">
        <v>7500000</v>
      </c>
      <c r="K15" s="49">
        <f>SUMIFS('PR Data'!$T:$T,'PR Data'!$P:$P,$B15,'PR Data'!$O:$O,$J$7)</f>
        <v>3361.68</v>
      </c>
      <c r="L15" s="49">
        <f>SUMIFS('PR Data'!$V:$V,'PR Data'!$P:$P,$B15,'PR Data'!$O:$O,$J$7)</f>
        <v>245015.82</v>
      </c>
      <c r="M15" s="49">
        <f t="shared" si="2"/>
        <v>248377.5</v>
      </c>
      <c r="N15" s="50">
        <f t="shared" si="3"/>
        <v>7251622.5</v>
      </c>
      <c r="O15" s="51"/>
      <c r="P15" s="48">
        <f t="shared" si="4"/>
        <v>7500000</v>
      </c>
      <c r="Q15" s="49">
        <f t="shared" si="5"/>
        <v>129556.68</v>
      </c>
      <c r="R15" s="49">
        <f t="shared" si="6"/>
        <v>251120.82</v>
      </c>
      <c r="S15" s="49">
        <f t="shared" si="7"/>
        <v>380677.5</v>
      </c>
      <c r="T15" s="50">
        <f t="shared" si="8"/>
        <v>7119322.5</v>
      </c>
    </row>
    <row r="16" spans="2:20" x14ac:dyDescent="0.85">
      <c r="B16" s="39" t="s">
        <v>57</v>
      </c>
      <c r="D16" s="48">
        <v>2197500</v>
      </c>
      <c r="E16" s="49">
        <f>SUMIFS('PR Data'!$T:$T,'PR Data'!$P:$P,$B16,'PR Data'!$O:$O,$D$7)</f>
        <v>281250</v>
      </c>
      <c r="F16" s="49">
        <f>SUMIFS('PR Data'!$V:$V,'PR Data'!$P:$P,$B16,'PR Data'!$O:$O,$D$7)</f>
        <v>1916250</v>
      </c>
      <c r="G16" s="49">
        <f t="shared" si="0"/>
        <v>2197500</v>
      </c>
      <c r="H16" s="50">
        <f t="shared" si="1"/>
        <v>0</v>
      </c>
      <c r="I16" s="51"/>
      <c r="J16" s="48">
        <v>4000000</v>
      </c>
      <c r="K16" s="49">
        <f>SUMIFS('PR Data'!$T:$T,'PR Data'!$P:$P,$B16,'PR Data'!$O:$O,$J$7)</f>
        <v>0</v>
      </c>
      <c r="L16" s="49">
        <f>SUMIFS('PR Data'!$V:$V,'PR Data'!$P:$P,$B16,'PR Data'!$O:$O,$J$7)</f>
        <v>1083662</v>
      </c>
      <c r="M16" s="49">
        <f t="shared" si="2"/>
        <v>1083662</v>
      </c>
      <c r="N16" s="50">
        <f t="shared" si="3"/>
        <v>2916338</v>
      </c>
      <c r="O16" s="51"/>
      <c r="P16" s="48">
        <f t="shared" si="4"/>
        <v>6197500</v>
      </c>
      <c r="Q16" s="49">
        <f t="shared" si="5"/>
        <v>281250</v>
      </c>
      <c r="R16" s="49">
        <f t="shared" si="6"/>
        <v>2999912</v>
      </c>
      <c r="S16" s="49">
        <f t="shared" si="7"/>
        <v>3281162</v>
      </c>
      <c r="T16" s="50">
        <f t="shared" si="8"/>
        <v>2916338</v>
      </c>
    </row>
    <row r="17" spans="2:20" x14ac:dyDescent="0.85">
      <c r="B17" s="39" t="s">
        <v>56</v>
      </c>
      <c r="D17" s="48">
        <v>774418.38784825499</v>
      </c>
      <c r="E17" s="49">
        <f>SUMIFS('PR Data'!$T:$T,'PR Data'!$P:$P,$B17,'PR Data'!$O:$O,$D$7)</f>
        <v>77435.887852379979</v>
      </c>
      <c r="F17" s="49">
        <f>SUMIFS('PR Data'!$V:$V,'PR Data'!$P:$P,$B17,'PR Data'!$O:$O,$D$7)</f>
        <v>75000</v>
      </c>
      <c r="G17" s="49">
        <f t="shared" si="0"/>
        <v>152435.88785237999</v>
      </c>
      <c r="H17" s="50">
        <f t="shared" si="1"/>
        <v>621982.49999587494</v>
      </c>
      <c r="I17" s="51"/>
      <c r="J17" s="48">
        <v>3775000</v>
      </c>
      <c r="K17" s="49">
        <f>SUMIFS('PR Data'!$T:$T,'PR Data'!$P:$P,$B17,'PR Data'!$O:$O,$J$7)</f>
        <v>58125</v>
      </c>
      <c r="L17" s="49">
        <f>SUMIFS('PR Data'!$V:$V,'PR Data'!$P:$P,$B17,'PR Data'!$O:$O,$J$7)</f>
        <v>0</v>
      </c>
      <c r="M17" s="49">
        <f t="shared" si="2"/>
        <v>58125</v>
      </c>
      <c r="N17" s="50">
        <f t="shared" si="3"/>
        <v>3716875</v>
      </c>
      <c r="O17" s="51"/>
      <c r="P17" s="48">
        <f t="shared" si="4"/>
        <v>4549418.3878482552</v>
      </c>
      <c r="Q17" s="49">
        <f t="shared" si="5"/>
        <v>135560.88785237999</v>
      </c>
      <c r="R17" s="49">
        <f t="shared" si="6"/>
        <v>75000</v>
      </c>
      <c r="S17" s="49">
        <f t="shared" si="7"/>
        <v>210560.88785237999</v>
      </c>
      <c r="T17" s="50">
        <f t="shared" si="8"/>
        <v>4338857.4999958752</v>
      </c>
    </row>
    <row r="18" spans="2:20" x14ac:dyDescent="0.85">
      <c r="B18" s="39" t="s">
        <v>68</v>
      </c>
      <c r="D18" s="48">
        <f>(SUMIFS('PR Data'!$N:$N,'PR Data'!$P:$P,$B18,'PR Data'!$O:$O,$D$7))*1000</f>
        <v>0</v>
      </c>
      <c r="E18" s="49">
        <f>SUMIFS('PR Data'!$T:$T,'PR Data'!$P:$P,$B18,'PR Data'!$O:$O,$D$7)</f>
        <v>0</v>
      </c>
      <c r="F18" s="49">
        <f>SUMIFS('PR Data'!$V:$V,'PR Data'!$P:$P,$B18,'PR Data'!$O:$O,$D$7)</f>
        <v>0</v>
      </c>
      <c r="G18" s="49">
        <f t="shared" si="0"/>
        <v>0</v>
      </c>
      <c r="H18" s="50">
        <f t="shared" si="1"/>
        <v>0</v>
      </c>
      <c r="I18" s="51"/>
      <c r="J18" s="48">
        <v>2354649.14</v>
      </c>
      <c r="K18" s="49">
        <f>SUMIFS('PR Data'!$T:$T,'PR Data'!$P:$P,$B18,'PR Data'!$O:$O,$J$7)</f>
        <v>0</v>
      </c>
      <c r="L18" s="49">
        <f>SUMIFS('PR Data'!$V:$V,'PR Data'!$P:$P,$B18,'PR Data'!$O:$O,$J$7)</f>
        <v>0</v>
      </c>
      <c r="M18" s="49">
        <f t="shared" si="2"/>
        <v>0</v>
      </c>
      <c r="N18" s="50">
        <f t="shared" si="3"/>
        <v>2354649.14</v>
      </c>
      <c r="O18" s="51"/>
      <c r="P18" s="48">
        <f t="shared" si="4"/>
        <v>2354649.14</v>
      </c>
      <c r="Q18" s="49">
        <f t="shared" si="5"/>
        <v>0</v>
      </c>
      <c r="R18" s="49">
        <f t="shared" si="6"/>
        <v>0</v>
      </c>
      <c r="S18" s="49">
        <f t="shared" si="7"/>
        <v>0</v>
      </c>
      <c r="T18" s="50">
        <f t="shared" si="8"/>
        <v>2354649.14</v>
      </c>
    </row>
    <row r="19" spans="2:20" x14ac:dyDescent="0.85">
      <c r="B19" s="39" t="s">
        <v>65</v>
      </c>
      <c r="D19" s="48">
        <f>(SUMIFS('PR Data'!$N:$N,'PR Data'!$P:$P,$B19,'PR Data'!$O:$O,$D$7))*1000</f>
        <v>0</v>
      </c>
      <c r="E19" s="49">
        <f>SUMIFS('PR Data'!$T:$T,'PR Data'!$P:$P,$B19,'PR Data'!$O:$O,$D$7)</f>
        <v>0</v>
      </c>
      <c r="F19" s="49">
        <f>SUMIFS('PR Data'!$V:$V,'PR Data'!$P:$P,$B19,'PR Data'!$O:$O,$D$7)</f>
        <v>0</v>
      </c>
      <c r="G19" s="49">
        <f t="shared" si="0"/>
        <v>0</v>
      </c>
      <c r="H19" s="50">
        <f t="shared" si="1"/>
        <v>0</v>
      </c>
      <c r="I19" s="51"/>
      <c r="J19" s="48">
        <v>2200000</v>
      </c>
      <c r="K19" s="49">
        <f>SUMIFS('PR Data'!$T:$T,'PR Data'!$P:$P,$B19,'PR Data'!$O:$O,$J$7)</f>
        <v>0</v>
      </c>
      <c r="L19" s="49">
        <f>SUMIFS('PR Data'!$V:$V,'PR Data'!$P:$P,$B19,'PR Data'!$O:$O,$J$7)</f>
        <v>0</v>
      </c>
      <c r="M19" s="49">
        <f t="shared" si="2"/>
        <v>0</v>
      </c>
      <c r="N19" s="50">
        <f t="shared" si="3"/>
        <v>2200000</v>
      </c>
      <c r="O19" s="51"/>
      <c r="P19" s="48">
        <f t="shared" si="4"/>
        <v>2200000</v>
      </c>
      <c r="Q19" s="49">
        <f t="shared" si="5"/>
        <v>0</v>
      </c>
      <c r="R19" s="49">
        <f t="shared" si="6"/>
        <v>0</v>
      </c>
      <c r="S19" s="49">
        <f t="shared" si="7"/>
        <v>0</v>
      </c>
      <c r="T19" s="50">
        <f t="shared" si="8"/>
        <v>2200000</v>
      </c>
    </row>
    <row r="20" spans="2:20" x14ac:dyDescent="0.85">
      <c r="B20" s="39" t="s">
        <v>59</v>
      </c>
      <c r="D20" s="48">
        <v>1775143.6483809999</v>
      </c>
      <c r="E20" s="49">
        <f>SUMIFS('PR Data'!$T:$T,'PR Data'!$P:$P,$B20,'PR Data'!$O:$O,$D$7)</f>
        <v>75930.648381000006</v>
      </c>
      <c r="F20" s="49">
        <f>SUMIFS('PR Data'!$V:$V,'PR Data'!$P:$P,$B20,'PR Data'!$O:$O,$D$7)</f>
        <v>0</v>
      </c>
      <c r="G20" s="49">
        <f t="shared" si="0"/>
        <v>75930.648381000006</v>
      </c>
      <c r="H20" s="50">
        <f t="shared" si="1"/>
        <v>1699213</v>
      </c>
      <c r="I20" s="51"/>
      <c r="J20" s="48">
        <v>0</v>
      </c>
      <c r="K20" s="49">
        <f>SUMIFS('PR Data'!$T:$T,'PR Data'!$P:$P,$B20,'PR Data'!$O:$O,$J$7)</f>
        <v>0</v>
      </c>
      <c r="L20" s="49">
        <f>SUMIFS('PR Data'!$V:$V,'PR Data'!$P:$P,$B20,'PR Data'!$O:$O,$J$7)</f>
        <v>0</v>
      </c>
      <c r="M20" s="49">
        <f t="shared" si="2"/>
        <v>0</v>
      </c>
      <c r="N20" s="50">
        <f t="shared" si="3"/>
        <v>0</v>
      </c>
      <c r="O20" s="51"/>
      <c r="P20" s="48">
        <f t="shared" si="4"/>
        <v>1775143.6483809999</v>
      </c>
      <c r="Q20" s="49">
        <f t="shared" si="5"/>
        <v>75930.648381000006</v>
      </c>
      <c r="R20" s="49">
        <f t="shared" si="6"/>
        <v>0</v>
      </c>
      <c r="S20" s="49">
        <f t="shared" si="7"/>
        <v>75930.648381000006</v>
      </c>
      <c r="T20" s="50">
        <f t="shared" si="8"/>
        <v>1699213</v>
      </c>
    </row>
    <row r="21" spans="2:20" x14ac:dyDescent="0.85">
      <c r="B21" s="39" t="s">
        <v>64</v>
      </c>
      <c r="D21" s="48">
        <f>(SUMIFS('PR Data'!$N:$N,'PR Data'!$P:$P,$B21,'PR Data'!$O:$O,$D$7))*1000</f>
        <v>0</v>
      </c>
      <c r="E21" s="49">
        <f>SUMIFS('PR Data'!$T:$T,'PR Data'!$P:$P,$B21,'PR Data'!$O:$O,$D$7)</f>
        <v>0</v>
      </c>
      <c r="F21" s="49">
        <f>SUMIFS('PR Data'!$V:$V,'PR Data'!$P:$P,$B21,'PR Data'!$O:$O,$D$7)</f>
        <v>0</v>
      </c>
      <c r="G21" s="49">
        <f t="shared" si="0"/>
        <v>0</v>
      </c>
      <c r="H21" s="50">
        <f t="shared" si="1"/>
        <v>0</v>
      </c>
      <c r="I21" s="51"/>
      <c r="J21" s="48">
        <v>1550000</v>
      </c>
      <c r="K21" s="49">
        <f>SUMIFS('PR Data'!$T:$T,'PR Data'!$P:$P,$B21,'PR Data'!$O:$O,$J$7)</f>
        <v>0</v>
      </c>
      <c r="L21" s="49">
        <f>SUMIFS('PR Data'!$V:$V,'PR Data'!$P:$P,$B21,'PR Data'!$O:$O,$J$7)</f>
        <v>0</v>
      </c>
      <c r="M21" s="49">
        <f t="shared" si="2"/>
        <v>0</v>
      </c>
      <c r="N21" s="50">
        <f t="shared" si="3"/>
        <v>1550000</v>
      </c>
      <c r="O21" s="51"/>
      <c r="P21" s="48">
        <f t="shared" si="4"/>
        <v>1550000</v>
      </c>
      <c r="Q21" s="49">
        <f t="shared" si="5"/>
        <v>0</v>
      </c>
      <c r="R21" s="49">
        <f t="shared" si="6"/>
        <v>0</v>
      </c>
      <c r="S21" s="49">
        <f t="shared" si="7"/>
        <v>0</v>
      </c>
      <c r="T21" s="50">
        <f t="shared" si="8"/>
        <v>1550000</v>
      </c>
    </row>
    <row r="22" spans="2:20" x14ac:dyDescent="0.85">
      <c r="B22" s="39" t="s">
        <v>26</v>
      </c>
      <c r="D22" s="48">
        <v>0</v>
      </c>
      <c r="E22" s="49">
        <f>SUMIFS('PR Data'!$T:$T,'PR Data'!$P:$P,$B22,'PR Data'!$O:$O,$D$7)</f>
        <v>898290</v>
      </c>
      <c r="F22" s="49">
        <f>SUMIFS('PR Data'!$V:$V,'PR Data'!$P:$P,$B22,'PR Data'!$O:$O,$D$7)</f>
        <v>0</v>
      </c>
      <c r="G22" s="49">
        <f t="shared" si="0"/>
        <v>898290</v>
      </c>
      <c r="H22" s="50">
        <f t="shared" si="1"/>
        <v>-898290</v>
      </c>
      <c r="I22" s="51"/>
      <c r="J22" s="48">
        <v>0</v>
      </c>
      <c r="K22" s="49">
        <f>SUMIFS('PR Data'!$T:$T,'PR Data'!$P:$P,$B22,'PR Data'!$O:$O,$J$7)</f>
        <v>337762</v>
      </c>
      <c r="L22" s="49">
        <f>SUMIFS('PR Data'!$V:$V,'PR Data'!$P:$P,$B22,'PR Data'!$O:$O,$J$7)</f>
        <v>285938</v>
      </c>
      <c r="M22" s="49">
        <f t="shared" si="2"/>
        <v>623700</v>
      </c>
      <c r="N22" s="50">
        <f t="shared" si="3"/>
        <v>-623700</v>
      </c>
      <c r="O22" s="51"/>
      <c r="P22" s="48">
        <f t="shared" si="4"/>
        <v>0</v>
      </c>
      <c r="Q22" s="49">
        <f t="shared" si="5"/>
        <v>1236052</v>
      </c>
      <c r="R22" s="49">
        <f t="shared" si="6"/>
        <v>285938</v>
      </c>
      <c r="S22" s="49">
        <f t="shared" si="7"/>
        <v>1521990</v>
      </c>
      <c r="T22" s="50">
        <f t="shared" si="8"/>
        <v>-1521990</v>
      </c>
    </row>
    <row r="23" spans="2:20" x14ac:dyDescent="0.85">
      <c r="B23" s="39" t="s">
        <v>51</v>
      </c>
      <c r="D23" s="48">
        <v>2834498.5087405471</v>
      </c>
      <c r="E23" s="49">
        <f>SUMIFS('PR Data'!$T:$T,'PR Data'!$P:$P,$B23,'PR Data'!$O:$O,$D$7)</f>
        <v>1707933.6588930788</v>
      </c>
      <c r="F23" s="49">
        <f>SUMIFS('PR Data'!$V:$V,'PR Data'!$P:$P,$B23,'PR Data'!$O:$O,$D$7)</f>
        <v>1996100.850000828</v>
      </c>
      <c r="G23" s="49">
        <f t="shared" si="0"/>
        <v>3704034.5088939071</v>
      </c>
      <c r="H23" s="50">
        <f t="shared" si="1"/>
        <v>-869536.00015335996</v>
      </c>
      <c r="I23" s="51"/>
      <c r="J23" s="48">
        <v>10572457</v>
      </c>
      <c r="K23" s="49">
        <f>SUMIFS('PR Data'!$T:$T,'PR Data'!$P:$P,$B23,'PR Data'!$O:$O,$J$7)</f>
        <v>0</v>
      </c>
      <c r="L23" s="49">
        <f>SUMIFS('PR Data'!$V:$V,'PR Data'!$P:$P,$B23,'PR Data'!$O:$O,$J$7)</f>
        <v>1718037.5</v>
      </c>
      <c r="M23" s="49">
        <f t="shared" si="2"/>
        <v>1718037.5</v>
      </c>
      <c r="N23" s="50">
        <f t="shared" si="3"/>
        <v>8854419.5</v>
      </c>
      <c r="O23" s="51"/>
      <c r="P23" s="48">
        <f t="shared" si="4"/>
        <v>13406955.508740548</v>
      </c>
      <c r="Q23" s="49">
        <f t="shared" si="5"/>
        <v>1707933.6588930788</v>
      </c>
      <c r="R23" s="49">
        <f t="shared" si="6"/>
        <v>3714138.350000828</v>
      </c>
      <c r="S23" s="49">
        <f t="shared" si="7"/>
        <v>5422072.0088939071</v>
      </c>
      <c r="T23" s="50">
        <f t="shared" si="8"/>
        <v>7984883.499846641</v>
      </c>
    </row>
    <row r="24" spans="2:20" x14ac:dyDescent="0.85">
      <c r="B24" s="41"/>
      <c r="D24" s="52">
        <f>SUBTOTAL(9,D9:D23)</f>
        <v>12595296.482469801</v>
      </c>
      <c r="E24" s="53">
        <f>SUBTOTAL(9,E9:E23)</f>
        <v>3555958.0510161696</v>
      </c>
      <c r="F24" s="53">
        <f>SUBTOTAL(9,F9:F23)</f>
        <v>7678730.8500008285</v>
      </c>
      <c r="G24" s="53">
        <f>SUBTOTAL(9,G9:G23)</f>
        <v>11234688.901016999</v>
      </c>
      <c r="H24" s="54">
        <f>SUBTOTAL(9,H9:H23)</f>
        <v>1360607.5814528042</v>
      </c>
      <c r="I24" s="51">
        <f>SUBTOTAL(9,I9:I23)</f>
        <v>0</v>
      </c>
      <c r="J24" s="52">
        <f>SUBTOTAL(9,J9:J23)</f>
        <v>157587106.13999999</v>
      </c>
      <c r="K24" s="53">
        <f>SUBTOTAL(9,K9:K23)</f>
        <v>605286.03709954</v>
      </c>
      <c r="L24" s="53">
        <f>SUBTOTAL(9,L9:L23)</f>
        <v>48953766.391298622</v>
      </c>
      <c r="M24" s="53">
        <f>SUBTOTAL(9,M9:M23)</f>
        <v>49559052.428398162</v>
      </c>
      <c r="N24" s="54">
        <f>SUBTOTAL(9,N9:N23)</f>
        <v>108028053.71160184</v>
      </c>
      <c r="O24" s="51">
        <f>SUBTOTAL(9,O9:O23)</f>
        <v>0</v>
      </c>
      <c r="P24" s="52">
        <f>SUBTOTAL(9,P9:P23)</f>
        <v>170182402.62246978</v>
      </c>
      <c r="Q24" s="53">
        <f>SUBTOTAL(9,Q9:Q23)</f>
        <v>4161244.0881157098</v>
      </c>
      <c r="R24" s="53">
        <f>SUBTOTAL(9,R9:R23)</f>
        <v>56632497.24129945</v>
      </c>
      <c r="S24" s="53">
        <f>SUBTOTAL(9,S9:S23)</f>
        <v>60793741.329415157</v>
      </c>
      <c r="T24" s="54">
        <f>SUBTOTAL(9,T9:T23)</f>
        <v>109388661.29305464</v>
      </c>
    </row>
    <row r="25" spans="2:20" x14ac:dyDescent="0.85">
      <c r="D25" s="44"/>
      <c r="E25" s="44"/>
      <c r="F25" s="44"/>
      <c r="G25" s="40"/>
      <c r="H25" s="44"/>
      <c r="J25" s="44"/>
      <c r="K25" s="44"/>
      <c r="L25" s="44"/>
      <c r="M25" s="44"/>
      <c r="N25" s="44"/>
      <c r="P25" s="44"/>
      <c r="Q25" s="44"/>
      <c r="R25" s="44"/>
      <c r="S25" s="44"/>
      <c r="T25" s="44"/>
    </row>
    <row r="26" spans="2:20" ht="24" hidden="1" x14ac:dyDescent="1.05">
      <c r="B26" s="32" t="s">
        <v>38</v>
      </c>
      <c r="L26" s="45"/>
      <c r="M26" s="45"/>
      <c r="N26" s="45"/>
      <c r="R26" s="45"/>
      <c r="S26" s="45"/>
      <c r="T26" s="45"/>
    </row>
    <row r="27" spans="2:20" ht="4.5" hidden="1" customHeight="1" thickBot="1" x14ac:dyDescent="0.9">
      <c r="L27" s="45"/>
      <c r="M27" s="45"/>
      <c r="N27" s="45"/>
      <c r="R27" s="45"/>
      <c r="S27" s="45"/>
      <c r="T27" s="45"/>
    </row>
    <row r="28" spans="2:20" ht="18.75" hidden="1" thickTop="1" x14ac:dyDescent="0.85">
      <c r="B28" s="73"/>
      <c r="C28" s="35"/>
      <c r="D28" s="75" t="s">
        <v>47</v>
      </c>
      <c r="E28" s="76"/>
      <c r="F28" s="76"/>
      <c r="G28" s="76"/>
      <c r="H28" s="77"/>
      <c r="I28" s="35"/>
      <c r="J28" s="75" t="s">
        <v>62</v>
      </c>
      <c r="K28" s="76"/>
      <c r="L28" s="76"/>
      <c r="M28" s="76"/>
      <c r="N28" s="77"/>
      <c r="O28" s="35"/>
      <c r="P28" s="75" t="s">
        <v>2</v>
      </c>
      <c r="Q28" s="76"/>
      <c r="R28" s="76"/>
      <c r="S28" s="76"/>
      <c r="T28" s="77"/>
    </row>
    <row r="29" spans="2:20" hidden="1" x14ac:dyDescent="0.85">
      <c r="B29" s="74" t="s">
        <v>18</v>
      </c>
      <c r="C29" s="37"/>
      <c r="D29" s="78" t="s">
        <v>34</v>
      </c>
      <c r="E29" s="79" t="s">
        <v>22</v>
      </c>
      <c r="F29" s="79" t="s">
        <v>24</v>
      </c>
      <c r="G29" s="79" t="s">
        <v>35</v>
      </c>
      <c r="H29" s="80" t="s">
        <v>36</v>
      </c>
      <c r="I29" s="38"/>
      <c r="J29" s="78" t="s">
        <v>37</v>
      </c>
      <c r="K29" s="79" t="s">
        <v>22</v>
      </c>
      <c r="L29" s="79" t="s">
        <v>24</v>
      </c>
      <c r="M29" s="79" t="s">
        <v>35</v>
      </c>
      <c r="N29" s="80" t="s">
        <v>36</v>
      </c>
      <c r="O29" s="38"/>
      <c r="P29" s="78" t="s">
        <v>37</v>
      </c>
      <c r="Q29" s="79" t="s">
        <v>22</v>
      </c>
      <c r="R29" s="79" t="s">
        <v>24</v>
      </c>
      <c r="S29" s="79" t="s">
        <v>35</v>
      </c>
      <c r="T29" s="80" t="s">
        <v>36</v>
      </c>
    </row>
    <row r="30" spans="2:20" hidden="1" x14ac:dyDescent="0.85">
      <c r="B30" s="39" t="s">
        <v>7</v>
      </c>
      <c r="D30" s="48">
        <f>SUMIFS('PR Data'!$N:$N,'PR Data'!$Q:$Q,$B30,'PR Data'!$O:$O,$D$28)</f>
        <v>9772915.1851272881</v>
      </c>
      <c r="E30" s="49">
        <f>SUMIFS('PR Data'!$T:$T,'PR Data'!$Q:$Q,$B30,'PR Data'!$O:$O,$D$28)</f>
        <v>3191633.0510161701</v>
      </c>
      <c r="F30" s="49">
        <f>SUMIFS('PR Data'!$V:$V,'PR Data'!$Q:$Q,$B30,'PR Data'!$O:$O,$D$28)</f>
        <v>5698700.8500008285</v>
      </c>
      <c r="G30" s="49">
        <f>SUM(E30:F30)</f>
        <v>8890333.901016999</v>
      </c>
      <c r="H30" s="50">
        <f>D30-G30</f>
        <v>882581.28411028907</v>
      </c>
      <c r="I30" s="51"/>
      <c r="J30" s="48">
        <f>SUMIFS('PR Data'!$N:$N,'PR Data'!$Q:$Q,$B30,'PR Data'!$O:$O,$J$28)</f>
        <v>0</v>
      </c>
      <c r="K30" s="49">
        <f>SUMIFS('PR Data'!$T:$T,'PR Data'!$Q:$Q,$B30,'PR Data'!$O:$O,$J$28)</f>
        <v>605286.03709954</v>
      </c>
      <c r="L30" s="49">
        <f>SUMIFS('PR Data'!$V:$V,'PR Data'!$Q:$Q,$B30,'PR Data'!$O:$O,$J$28)</f>
        <v>26664124.391298622</v>
      </c>
      <c r="M30" s="49">
        <f>SUM(K30:L30)</f>
        <v>27269410.428398162</v>
      </c>
      <c r="N30" s="50">
        <f>J30-M30</f>
        <v>-27269410.428398162</v>
      </c>
      <c r="O30" s="51"/>
      <c r="P30" s="48">
        <f>D30+J30</f>
        <v>9772915.1851272881</v>
      </c>
      <c r="Q30" s="49">
        <f t="shared" ref="Q30:S35" si="9">E30+K30</f>
        <v>3796919.0881157098</v>
      </c>
      <c r="R30" s="49">
        <f t="shared" si="9"/>
        <v>32362825.24129945</v>
      </c>
      <c r="S30" s="49">
        <f t="shared" si="9"/>
        <v>36159744.329415157</v>
      </c>
      <c r="T30" s="50">
        <f t="shared" ref="T30:T35" si="10">P30-S30</f>
        <v>-26386829.144287869</v>
      </c>
    </row>
    <row r="31" spans="2:20" hidden="1" x14ac:dyDescent="0.85">
      <c r="B31" s="39" t="s">
        <v>28</v>
      </c>
      <c r="D31" s="48">
        <f>SUMIFS('PR Data'!$N:$N,'PR Data'!$Q:$Q,$B31,'PR Data'!$O:$O,$D$28)</f>
        <v>0</v>
      </c>
      <c r="E31" s="49">
        <f>SUMIFS('PR Data'!$T:$T,'PR Data'!$Q:$Q,$B31,'PR Data'!$O:$O,$D$28)</f>
        <v>0</v>
      </c>
      <c r="F31" s="49">
        <f>SUMIFS('PR Data'!$V:$V,'PR Data'!$Q:$Q,$B31,'PR Data'!$O:$O,$D$28)</f>
        <v>0</v>
      </c>
      <c r="G31" s="49">
        <f t="shared" ref="G31:G34" si="11">SUM(E31:F31)</f>
        <v>0</v>
      </c>
      <c r="H31" s="50">
        <f t="shared" ref="H31:H34" si="12">D31-G31</f>
        <v>0</v>
      </c>
      <c r="I31" s="51"/>
      <c r="J31" s="48">
        <f>SUMIFS('PR Data'!$N:$N,'PR Data'!$Q:$Q,$B31,'PR Data'!$O:$O,$J$28)</f>
        <v>0</v>
      </c>
      <c r="K31" s="49">
        <f>SUMIFS('PR Data'!$T:$T,'PR Data'!$Q:$Q,$B31,'PR Data'!$O:$O,$J$28)</f>
        <v>0</v>
      </c>
      <c r="L31" s="49">
        <f>SUMIFS('PR Data'!$V:$V,'PR Data'!$Q:$Q,$B31,'PR Data'!$O:$O,$J$28)</f>
        <v>0</v>
      </c>
      <c r="M31" s="49">
        <f t="shared" ref="M31:M35" si="13">SUM(K31:L31)</f>
        <v>0</v>
      </c>
      <c r="N31" s="50">
        <f t="shared" ref="N31:N35" si="14">J31-M31</f>
        <v>0</v>
      </c>
      <c r="O31" s="51"/>
      <c r="P31" s="48">
        <f t="shared" ref="P31:P35" si="15">D31+J31</f>
        <v>0</v>
      </c>
      <c r="Q31" s="49">
        <f t="shared" si="9"/>
        <v>0</v>
      </c>
      <c r="R31" s="49">
        <f t="shared" si="9"/>
        <v>0</v>
      </c>
      <c r="S31" s="49">
        <f t="shared" si="9"/>
        <v>0</v>
      </c>
      <c r="T31" s="50">
        <f t="shared" si="10"/>
        <v>0</v>
      </c>
    </row>
    <row r="32" spans="2:20" hidden="1" x14ac:dyDescent="0.85">
      <c r="B32" s="39" t="s">
        <v>27</v>
      </c>
      <c r="D32" s="48">
        <f>SUMIFS('PR Data'!$N:$N,'PR Data'!$Q:$Q,$B32,'PR Data'!$O:$O,$D$28)</f>
        <v>310750</v>
      </c>
      <c r="E32" s="49">
        <f>SUMIFS('PR Data'!$T:$T,'PR Data'!$Q:$Q,$B32,'PR Data'!$O:$O,$D$28)</f>
        <v>3750</v>
      </c>
      <c r="F32" s="49">
        <f>SUMIFS('PR Data'!$V:$V,'PR Data'!$Q:$Q,$B32,'PR Data'!$O:$O,$D$28)</f>
        <v>307000</v>
      </c>
      <c r="G32" s="49">
        <f t="shared" si="11"/>
        <v>310750</v>
      </c>
      <c r="H32" s="50">
        <f t="shared" si="12"/>
        <v>0</v>
      </c>
      <c r="I32" s="51"/>
      <c r="J32" s="48">
        <f>SUMIFS('PR Data'!$N:$N,'PR Data'!$Q:$Q,$B32,'PR Data'!$O:$O,$J$28)</f>
        <v>0</v>
      </c>
      <c r="K32" s="49">
        <f>SUMIFS('PR Data'!$T:$T,'PR Data'!$Q:$Q,$B32,'PR Data'!$O:$O,$J$28)</f>
        <v>0</v>
      </c>
      <c r="L32" s="49">
        <f>SUMIFS('PR Data'!$V:$V,'PR Data'!$Q:$Q,$B32,'PR Data'!$O:$O,$J$28)</f>
        <v>0</v>
      </c>
      <c r="M32" s="49">
        <f t="shared" si="13"/>
        <v>0</v>
      </c>
      <c r="N32" s="50">
        <f t="shared" si="14"/>
        <v>0</v>
      </c>
      <c r="O32" s="51"/>
      <c r="P32" s="48">
        <f t="shared" si="15"/>
        <v>310750</v>
      </c>
      <c r="Q32" s="49">
        <f t="shared" si="9"/>
        <v>3750</v>
      </c>
      <c r="R32" s="49">
        <f t="shared" si="9"/>
        <v>307000</v>
      </c>
      <c r="S32" s="49">
        <f t="shared" si="9"/>
        <v>310750</v>
      </c>
      <c r="T32" s="50">
        <f t="shared" si="10"/>
        <v>0</v>
      </c>
    </row>
    <row r="33" spans="2:20" hidden="1" x14ac:dyDescent="0.85">
      <c r="B33" s="39" t="s">
        <v>8</v>
      </c>
      <c r="D33" s="48">
        <f>SUMIFS('PR Data'!$N:$N,'PR Data'!$Q:$Q,$B33,'PR Data'!$O:$O,$D$28)</f>
        <v>2069845</v>
      </c>
      <c r="E33" s="49">
        <f>SUMIFS('PR Data'!$T:$T,'PR Data'!$Q:$Q,$B33,'PR Data'!$O:$O,$D$28)</f>
        <v>360575</v>
      </c>
      <c r="F33" s="49">
        <f>SUMIFS('PR Data'!$V:$V,'PR Data'!$Q:$Q,$B33,'PR Data'!$O:$O,$D$28)</f>
        <v>1703030</v>
      </c>
      <c r="G33" s="49">
        <f t="shared" si="11"/>
        <v>2063605</v>
      </c>
      <c r="H33" s="50">
        <f t="shared" si="12"/>
        <v>6240</v>
      </c>
      <c r="I33" s="51"/>
      <c r="J33" s="48">
        <f>SUMIFS('PR Data'!$N:$N,'PR Data'!$Q:$Q,$B33,'PR Data'!$O:$O,$J$28)</f>
        <v>0</v>
      </c>
      <c r="K33" s="49">
        <f>SUMIFS('PR Data'!$T:$T,'PR Data'!$Q:$Q,$B33,'PR Data'!$O:$O,$J$28)</f>
        <v>0</v>
      </c>
      <c r="L33" s="49">
        <f>SUMIFS('PR Data'!$V:$V,'PR Data'!$Q:$Q,$B33,'PR Data'!$O:$O,$J$28)</f>
        <v>16167265</v>
      </c>
      <c r="M33" s="49">
        <f t="shared" si="13"/>
        <v>16167265</v>
      </c>
      <c r="N33" s="50">
        <f t="shared" si="14"/>
        <v>-16167265</v>
      </c>
      <c r="O33" s="51"/>
      <c r="P33" s="48">
        <f t="shared" si="15"/>
        <v>2069845</v>
      </c>
      <c r="Q33" s="49">
        <f t="shared" si="9"/>
        <v>360575</v>
      </c>
      <c r="R33" s="49">
        <f t="shared" si="9"/>
        <v>17870295</v>
      </c>
      <c r="S33" s="49">
        <f t="shared" si="9"/>
        <v>18230870</v>
      </c>
      <c r="T33" s="50">
        <f t="shared" si="10"/>
        <v>-16161025</v>
      </c>
    </row>
    <row r="34" spans="2:20" hidden="1" x14ac:dyDescent="0.85">
      <c r="B34" s="39" t="s">
        <v>9</v>
      </c>
      <c r="D34" s="48">
        <f>SUMIFS('PR Data'!$N:$N,'PR Data'!$Q:$Q,$B34,'PR Data'!$O:$O,$D$28)</f>
        <v>0</v>
      </c>
      <c r="E34" s="49">
        <f>SUMIFS('PR Data'!$T:$T,'PR Data'!$Q:$Q,$B34,'PR Data'!$O:$O,$D$28)</f>
        <v>0</v>
      </c>
      <c r="F34" s="49">
        <f>SUMIFS('PR Data'!$V:$V,'PR Data'!$Q:$Q,$B34,'PR Data'!$O:$O,$D$28)</f>
        <v>0</v>
      </c>
      <c r="G34" s="49">
        <f t="shared" si="11"/>
        <v>0</v>
      </c>
      <c r="H34" s="50">
        <f t="shared" si="12"/>
        <v>0</v>
      </c>
      <c r="I34" s="51"/>
      <c r="J34" s="48">
        <f>SUMIFS('PR Data'!$N:$N,'PR Data'!$Q:$Q,$B34,'PR Data'!$O:$O,$J$28)</f>
        <v>0</v>
      </c>
      <c r="K34" s="49">
        <f>SUMIFS('PR Data'!$T:$T,'PR Data'!$Q:$Q,$B34,'PR Data'!$O:$O,$J$28)</f>
        <v>0</v>
      </c>
      <c r="L34" s="49">
        <f>SUMIFS('PR Data'!$V:$V,'PR Data'!$Q:$Q,$B34,'PR Data'!$O:$O,$J$28)</f>
        <v>0</v>
      </c>
      <c r="M34" s="49">
        <f t="shared" si="13"/>
        <v>0</v>
      </c>
      <c r="N34" s="50">
        <f t="shared" si="14"/>
        <v>0</v>
      </c>
      <c r="O34" s="51"/>
      <c r="P34" s="48">
        <f t="shared" si="15"/>
        <v>0</v>
      </c>
      <c r="Q34" s="49">
        <f t="shared" si="9"/>
        <v>0</v>
      </c>
      <c r="R34" s="49">
        <f t="shared" si="9"/>
        <v>0</v>
      </c>
      <c r="S34" s="49">
        <f t="shared" si="9"/>
        <v>0</v>
      </c>
      <c r="T34" s="50">
        <f t="shared" si="10"/>
        <v>0</v>
      </c>
    </row>
    <row r="35" spans="2:20" hidden="1" x14ac:dyDescent="0.85">
      <c r="B35" s="39" t="s">
        <v>48</v>
      </c>
      <c r="D35" s="48">
        <v>0</v>
      </c>
      <c r="E35" s="49">
        <v>0</v>
      </c>
      <c r="F35" s="49">
        <v>0</v>
      </c>
      <c r="G35" s="49"/>
      <c r="H35" s="50">
        <v>0</v>
      </c>
      <c r="I35" s="51"/>
      <c r="J35" s="48">
        <v>34824100</v>
      </c>
      <c r="K35" s="49">
        <v>0</v>
      </c>
      <c r="L35" s="49">
        <v>0</v>
      </c>
      <c r="M35" s="49">
        <f t="shared" si="13"/>
        <v>0</v>
      </c>
      <c r="N35" s="50">
        <f t="shared" si="14"/>
        <v>34824100</v>
      </c>
      <c r="O35" s="51"/>
      <c r="P35" s="48">
        <f t="shared" si="15"/>
        <v>34824100</v>
      </c>
      <c r="Q35" s="49">
        <f t="shared" si="9"/>
        <v>0</v>
      </c>
      <c r="R35" s="49">
        <f t="shared" si="9"/>
        <v>0</v>
      </c>
      <c r="S35" s="49">
        <f t="shared" si="9"/>
        <v>0</v>
      </c>
      <c r="T35" s="50">
        <f t="shared" si="10"/>
        <v>34824100</v>
      </c>
    </row>
    <row r="36" spans="2:20" hidden="1" x14ac:dyDescent="0.85">
      <c r="B36" s="41"/>
      <c r="D36" s="52">
        <f>SUBTOTAL(9,D30:D35)</f>
        <v>12153510.185127288</v>
      </c>
      <c r="E36" s="53">
        <f t="shared" ref="E36:H36" si="16">SUBTOTAL(9,E30:E35)</f>
        <v>3555958.0510161701</v>
      </c>
      <c r="F36" s="53">
        <f t="shared" si="16"/>
        <v>7708730.8500008285</v>
      </c>
      <c r="G36" s="53">
        <f t="shared" si="16"/>
        <v>11264688.901016999</v>
      </c>
      <c r="H36" s="54">
        <f t="shared" si="16"/>
        <v>888821.28411028907</v>
      </c>
      <c r="I36" s="51"/>
      <c r="J36" s="52">
        <f t="shared" ref="J36:N36" si="17">SUBTOTAL(9,J30:J35)</f>
        <v>34824100</v>
      </c>
      <c r="K36" s="53">
        <f t="shared" si="17"/>
        <v>605286.03709954</v>
      </c>
      <c r="L36" s="53">
        <f t="shared" si="17"/>
        <v>42831389.391298622</v>
      </c>
      <c r="M36" s="53">
        <f t="shared" si="17"/>
        <v>43436675.428398162</v>
      </c>
      <c r="N36" s="54">
        <f t="shared" si="17"/>
        <v>-8612575.4283981621</v>
      </c>
      <c r="O36" s="51"/>
      <c r="P36" s="52">
        <f t="shared" ref="P36:T36" si="18">SUBTOTAL(9,P30:P35)</f>
        <v>46977610.185127288</v>
      </c>
      <c r="Q36" s="53">
        <f t="shared" si="18"/>
        <v>4161244.0881157098</v>
      </c>
      <c r="R36" s="53">
        <f t="shared" si="18"/>
        <v>50540120.24129945</v>
      </c>
      <c r="S36" s="53">
        <f t="shared" si="18"/>
        <v>54701364.329415157</v>
      </c>
      <c r="T36" s="54">
        <f t="shared" si="18"/>
        <v>-7723754.1442878693</v>
      </c>
    </row>
    <row r="38" spans="2:20" ht="24" x14ac:dyDescent="1.05">
      <c r="B38" s="32" t="s">
        <v>39</v>
      </c>
      <c r="R38" s="44"/>
    </row>
    <row r="39" spans="2:20" ht="4.5" customHeight="1" thickBot="1" x14ac:dyDescent="0.9">
      <c r="D39" s="46">
        <v>1</v>
      </c>
      <c r="E39" s="46">
        <v>2</v>
      </c>
      <c r="F39" s="46">
        <v>3</v>
      </c>
      <c r="G39" s="46">
        <v>4</v>
      </c>
      <c r="H39" s="46">
        <v>5</v>
      </c>
      <c r="I39" s="46"/>
      <c r="L39" s="45"/>
      <c r="M39" s="45"/>
      <c r="N39" s="45"/>
      <c r="R39" s="44"/>
      <c r="S39" s="45"/>
      <c r="T39" s="45"/>
    </row>
    <row r="40" spans="2:20" ht="18.75" thickTop="1" x14ac:dyDescent="0.85">
      <c r="B40" s="73"/>
      <c r="C40" s="35"/>
      <c r="D40" s="75" t="s">
        <v>40</v>
      </c>
      <c r="E40" s="76"/>
      <c r="F40" s="76"/>
      <c r="G40" s="76"/>
      <c r="H40" s="77"/>
      <c r="I40" s="36"/>
      <c r="J40" s="81"/>
      <c r="R40" s="44"/>
    </row>
    <row r="41" spans="2:20" x14ac:dyDescent="0.85">
      <c r="B41" s="74" t="s">
        <v>3</v>
      </c>
      <c r="C41" s="37"/>
      <c r="D41" s="78" t="s">
        <v>41</v>
      </c>
      <c r="E41" s="79" t="s">
        <v>42</v>
      </c>
      <c r="F41" s="79" t="s">
        <v>43</v>
      </c>
      <c r="G41" s="79" t="s">
        <v>44</v>
      </c>
      <c r="H41" s="80" t="s">
        <v>45</v>
      </c>
      <c r="J41" s="82" t="s">
        <v>2</v>
      </c>
      <c r="M41" s="70"/>
      <c r="R41" s="44"/>
    </row>
    <row r="42" spans="2:20" x14ac:dyDescent="0.85">
      <c r="B42" s="39" t="s">
        <v>51</v>
      </c>
      <c r="D42" s="55">
        <f>SUMIFS('PR Data'!$V:$V,'PR Data'!$P:$P,$B42,'PR Data'!$AA:$AA,D$39)</f>
        <v>1623537.5</v>
      </c>
      <c r="E42" s="56">
        <f>SUMIFS('PR Data'!$V:$V,'PR Data'!$P:$P,$B42,'PR Data'!$AA:$AA,E$39)</f>
        <v>1681130</v>
      </c>
      <c r="F42" s="56">
        <f>SUMIFS('PR Data'!$V:$V,'PR Data'!$P:$P,$B42,'PR Data'!$AA:$AA,F$39)</f>
        <v>0</v>
      </c>
      <c r="G42" s="56">
        <f>SUMIFS('PR Data'!$V:$V,'PR Data'!$P:$P,$B42,'PR Data'!$AA:$AA,G$39)</f>
        <v>109470.85000082801</v>
      </c>
      <c r="H42" s="57">
        <f>SUMIFS('PR Data'!$V:$V,'PR Data'!$P:$P,$B42,'PR Data'!$AA:$AA,H$39)</f>
        <v>300000</v>
      </c>
      <c r="I42" s="51"/>
      <c r="J42" s="58">
        <f>SUM(D42:H42)</f>
        <v>3714138.350000828</v>
      </c>
    </row>
    <row r="43" spans="2:20" x14ac:dyDescent="0.85">
      <c r="B43" s="39" t="s">
        <v>26</v>
      </c>
      <c r="D43" s="55">
        <f>SUMIFS('PR Data'!$V:$V,'PR Data'!$P:$P,$B43,'PR Data'!$AA:$AA,D$39)</f>
        <v>0</v>
      </c>
      <c r="E43" s="56">
        <f>SUMIFS('PR Data'!$V:$V,'PR Data'!$P:$P,$B43,'PR Data'!$AA:$AA,E$39)</f>
        <v>285938</v>
      </c>
      <c r="F43" s="56">
        <f>SUMIFS('PR Data'!$V:$V,'PR Data'!$P:$P,$B43,'PR Data'!$AA:$AA,F$39)</f>
        <v>0</v>
      </c>
      <c r="G43" s="56">
        <f>SUMIFS('PR Data'!$V:$V,'PR Data'!$P:$P,$B43,'PR Data'!$AA:$AA,G$39)</f>
        <v>0</v>
      </c>
      <c r="H43" s="57">
        <f>SUMIFS('PR Data'!$V:$V,'PR Data'!$P:$P,$B43,'PR Data'!$AA:$AA,H$39)</f>
        <v>0</v>
      </c>
      <c r="I43" s="51"/>
      <c r="J43" s="58">
        <f t="shared" ref="J43:J56" si="19">SUM(D43:H43)</f>
        <v>285938</v>
      </c>
    </row>
    <row r="44" spans="2:20" x14ac:dyDescent="0.85">
      <c r="B44" s="39" t="s">
        <v>56</v>
      </c>
      <c r="D44" s="55">
        <f>SUMIFS('PR Data'!$V:$V,'PR Data'!$P:$P,$B44,'PR Data'!$AA:$AA,D$39)</f>
        <v>0</v>
      </c>
      <c r="E44" s="56">
        <f>SUMIFS('PR Data'!$V:$V,'PR Data'!$P:$P,$B44,'PR Data'!$AA:$AA,E$39)</f>
        <v>0</v>
      </c>
      <c r="F44" s="56">
        <f>SUMIFS('PR Data'!$V:$V,'PR Data'!$P:$P,$B44,'PR Data'!$AA:$AA,F$39)</f>
        <v>75000</v>
      </c>
      <c r="G44" s="56">
        <f>SUMIFS('PR Data'!$V:$V,'PR Data'!$P:$P,$B44,'PR Data'!$AA:$AA,G$39)</f>
        <v>0</v>
      </c>
      <c r="H44" s="57">
        <f>SUMIFS('PR Data'!$V:$V,'PR Data'!$P:$P,$B44,'PR Data'!$AA:$AA,H$39)</f>
        <v>0</v>
      </c>
      <c r="I44" s="51"/>
      <c r="J44" s="58">
        <f t="shared" si="19"/>
        <v>75000</v>
      </c>
    </row>
    <row r="45" spans="2:20" x14ac:dyDescent="0.85">
      <c r="B45" s="39" t="s">
        <v>57</v>
      </c>
      <c r="D45" s="55">
        <f>SUMIFS('PR Data'!$V:$V,'PR Data'!$P:$P,$B45,'PR Data'!$AA:$AA,D$39)</f>
        <v>1083662</v>
      </c>
      <c r="E45" s="56">
        <f>SUMIFS('PR Data'!$V:$V,'PR Data'!$P:$P,$B45,'PR Data'!$AA:$AA,E$39)</f>
        <v>0</v>
      </c>
      <c r="F45" s="56">
        <f>SUMIFS('PR Data'!$V:$V,'PR Data'!$P:$P,$B45,'PR Data'!$AA:$AA,F$39)</f>
        <v>0</v>
      </c>
      <c r="G45" s="56">
        <f>SUMIFS('PR Data'!$V:$V,'PR Data'!$P:$P,$B45,'PR Data'!$AA:$AA,G$39)</f>
        <v>1916250</v>
      </c>
      <c r="H45" s="57">
        <f>SUMIFS('PR Data'!$V:$V,'PR Data'!$P:$P,$B45,'PR Data'!$AA:$AA,H$39)</f>
        <v>0</v>
      </c>
      <c r="I45" s="51"/>
      <c r="J45" s="58">
        <f t="shared" si="19"/>
        <v>2999912</v>
      </c>
    </row>
    <row r="46" spans="2:20" x14ac:dyDescent="0.85">
      <c r="B46" s="39" t="s">
        <v>58</v>
      </c>
      <c r="D46" s="55">
        <f>SUMIFS('PR Data'!$V:$V,'PR Data'!$P:$P,$B46,'PR Data'!$AA:$AA,D$39)</f>
        <v>0</v>
      </c>
      <c r="E46" s="56">
        <f>SUMIFS('PR Data'!$V:$V,'PR Data'!$P:$P,$B46,'PR Data'!$AA:$AA,E$39)</f>
        <v>0</v>
      </c>
      <c r="F46" s="56">
        <f>SUMIFS('PR Data'!$V:$V,'PR Data'!$P:$P,$B46,'PR Data'!$AA:$AA,F$39)</f>
        <v>3281250</v>
      </c>
      <c r="G46" s="56">
        <f>SUMIFS('PR Data'!$V:$V,'PR Data'!$P:$P,$B46,'PR Data'!$AA:$AA,G$39)</f>
        <v>295125</v>
      </c>
      <c r="H46" s="57">
        <f>SUMIFS('PR Data'!$V:$V,'PR Data'!$P:$P,$B46,'PR Data'!$AA:$AA,H$39)</f>
        <v>0</v>
      </c>
      <c r="I46" s="51"/>
      <c r="J46" s="58">
        <f t="shared" si="19"/>
        <v>3576375</v>
      </c>
    </row>
    <row r="47" spans="2:20" x14ac:dyDescent="0.85">
      <c r="B47" s="39" t="s">
        <v>59</v>
      </c>
      <c r="D47" s="55">
        <f>SUMIFS('PR Data'!$V:$V,'PR Data'!$P:$P,$B47,'PR Data'!$AA:$AA,D$39)</f>
        <v>0</v>
      </c>
      <c r="E47" s="56">
        <f>SUMIFS('PR Data'!$V:$V,'PR Data'!$P:$P,$B47,'PR Data'!$AA:$AA,E$39)</f>
        <v>0</v>
      </c>
      <c r="F47" s="56">
        <f>SUMIFS('PR Data'!$V:$V,'PR Data'!$P:$P,$B47,'PR Data'!$AA:$AA,F$39)</f>
        <v>0</v>
      </c>
      <c r="G47" s="56">
        <f>SUMIFS('PR Data'!$V:$V,'PR Data'!$P:$P,$B47,'PR Data'!$AA:$AA,G$39)</f>
        <v>0</v>
      </c>
      <c r="H47" s="57">
        <f>SUMIFS('PR Data'!$V:$V,'PR Data'!$P:$P,$B47,'PR Data'!$AA:$AA,H$39)</f>
        <v>0</v>
      </c>
      <c r="I47" s="51"/>
      <c r="J47" s="58">
        <f t="shared" si="19"/>
        <v>0</v>
      </c>
    </row>
    <row r="48" spans="2:20" x14ac:dyDescent="0.85">
      <c r="B48" s="39" t="s">
        <v>53</v>
      </c>
      <c r="D48" s="55">
        <f>SUMIFS('PR Data'!$V:$V,'PR Data'!$P:$P,$B48,'PR Data'!$AA:$AA,D$39)</f>
        <v>618112.07129862008</v>
      </c>
      <c r="E48" s="56">
        <f>SUMIFS('PR Data'!$V:$V,'PR Data'!$P:$P,$B48,'PR Data'!$AA:$AA,E$39)</f>
        <v>108900</v>
      </c>
      <c r="F48" s="56">
        <f>SUMIFS('PR Data'!$V:$V,'PR Data'!$P:$P,$B48,'PR Data'!$AA:$AA,F$39)</f>
        <v>0</v>
      </c>
      <c r="G48" s="56">
        <f>SUMIFS('PR Data'!$V:$V,'PR Data'!$P:$P,$B48,'PR Data'!$AA:$AA,G$39)</f>
        <v>0</v>
      </c>
      <c r="H48" s="57">
        <f>SUMIFS('PR Data'!$V:$V,'PR Data'!$P:$P,$B48,'PR Data'!$AA:$AA,H$39)</f>
        <v>0</v>
      </c>
      <c r="I48" s="51"/>
      <c r="J48" s="58">
        <f t="shared" si="19"/>
        <v>727012.07129862008</v>
      </c>
    </row>
    <row r="49" spans="2:20" x14ac:dyDescent="0.85">
      <c r="B49" s="39" t="s">
        <v>71</v>
      </c>
      <c r="D49" s="55">
        <f>SUMIFS('PR Data'!$V:$V,'PR Data'!$P:$P,$B49,'PR Data'!$AA:$AA,D$39)</f>
        <v>245015.82</v>
      </c>
      <c r="E49" s="56">
        <f>SUMIFS('PR Data'!$V:$V,'PR Data'!$P:$P,$B49,'PR Data'!$AA:$AA,E$39)</f>
        <v>6105</v>
      </c>
      <c r="F49" s="56">
        <f>SUMIFS('PR Data'!$V:$V,'PR Data'!$P:$P,$B49,'PR Data'!$AA:$AA,F$39)</f>
        <v>0</v>
      </c>
      <c r="G49" s="56">
        <f>SUMIFS('PR Data'!$V:$V,'PR Data'!$P:$P,$B49,'PR Data'!$AA:$AA,G$39)</f>
        <v>0</v>
      </c>
      <c r="H49" s="57">
        <f>SUMIFS('PR Data'!$V:$V,'PR Data'!$P:$P,$B49,'PR Data'!$AA:$AA,H$39)</f>
        <v>0</v>
      </c>
      <c r="I49" s="51"/>
      <c r="J49" s="58">
        <f t="shared" si="19"/>
        <v>251120.82</v>
      </c>
    </row>
    <row r="50" spans="2:20" hidden="1" x14ac:dyDescent="0.85">
      <c r="B50" s="39" t="s">
        <v>50</v>
      </c>
      <c r="D50" s="55">
        <f>SUMIFS('PR Data'!$V:$V,'PR Data'!$P:$P,$B50,'PR Data'!$AA:$AA,D$39)</f>
        <v>45003001</v>
      </c>
      <c r="E50" s="56">
        <f>SUMIFS('PR Data'!$V:$V,'PR Data'!$P:$P,$B50,'PR Data'!$AA:$AA,E$39)</f>
        <v>0</v>
      </c>
      <c r="F50" s="56">
        <f>SUMIFS('PR Data'!$V:$V,'PR Data'!$P:$P,$B50,'PR Data'!$AA:$AA,F$39)</f>
        <v>0</v>
      </c>
      <c r="G50" s="56">
        <f>SUMIFS('PR Data'!$V:$V,'PR Data'!$P:$P,$B50,'PR Data'!$AA:$AA,G$39)</f>
        <v>0</v>
      </c>
      <c r="H50" s="57">
        <f>SUMIFS('PR Data'!$V:$V,'PR Data'!$P:$P,$B50,'PR Data'!$AA:$AA,H$39)</f>
        <v>0</v>
      </c>
      <c r="I50" s="51"/>
      <c r="J50" s="58">
        <f t="shared" si="19"/>
        <v>45003001</v>
      </c>
    </row>
    <row r="51" spans="2:20" hidden="1" x14ac:dyDescent="0.85">
      <c r="B51" s="39" t="s">
        <v>63</v>
      </c>
      <c r="D51" s="55">
        <f>SUMIFS('PR Data'!$V:$V,'PR Data'!$P:$P,$B51,'PR Data'!$AA:$AA,D$39)</f>
        <v>0</v>
      </c>
      <c r="E51" s="56">
        <f>SUMIFS('PR Data'!$V:$V,'PR Data'!$P:$P,$B51,'PR Data'!$AA:$AA,E$39)</f>
        <v>0</v>
      </c>
      <c r="F51" s="56">
        <f>SUMIFS('PR Data'!$V:$V,'PR Data'!$P:$P,$B51,'PR Data'!$AA:$AA,F$39)</f>
        <v>0</v>
      </c>
      <c r="G51" s="56">
        <f>SUMIFS('PR Data'!$V:$V,'PR Data'!$P:$P,$B51,'PR Data'!$AA:$AA,G$39)</f>
        <v>0</v>
      </c>
      <c r="H51" s="57">
        <f>SUMIFS('PR Data'!$V:$V,'PR Data'!$P:$P,$B51,'PR Data'!$AA:$AA,H$39)</f>
        <v>0</v>
      </c>
      <c r="I51" s="51"/>
      <c r="J51" s="58">
        <f t="shared" si="19"/>
        <v>0</v>
      </c>
    </row>
    <row r="52" spans="2:20" hidden="1" x14ac:dyDescent="0.85">
      <c r="B52" s="39" t="s">
        <v>64</v>
      </c>
      <c r="D52" s="55">
        <f>SUMIFS('PR Data'!$V:$V,'PR Data'!$P:$P,$B52,'PR Data'!$AA:$AA,D$39)</f>
        <v>0</v>
      </c>
      <c r="E52" s="56">
        <f>SUMIFS('PR Data'!$V:$V,'PR Data'!$P:$P,$B52,'PR Data'!$AA:$AA,E$39)</f>
        <v>0</v>
      </c>
      <c r="F52" s="56">
        <f>SUMIFS('PR Data'!$V:$V,'PR Data'!$P:$P,$B52,'PR Data'!$AA:$AA,F$39)</f>
        <v>0</v>
      </c>
      <c r="G52" s="56">
        <f>SUMIFS('PR Data'!$V:$V,'PR Data'!$P:$P,$B52,'PR Data'!$AA:$AA,G$39)</f>
        <v>0</v>
      </c>
      <c r="H52" s="57">
        <f>SUMIFS('PR Data'!$V:$V,'PR Data'!$P:$P,$B52,'PR Data'!$AA:$AA,H$39)</f>
        <v>0</v>
      </c>
      <c r="I52" s="51"/>
      <c r="J52" s="58">
        <f t="shared" si="19"/>
        <v>0</v>
      </c>
    </row>
    <row r="53" spans="2:20" hidden="1" x14ac:dyDescent="0.85">
      <c r="B53" s="39" t="s">
        <v>65</v>
      </c>
      <c r="D53" s="55">
        <f>SUMIFS('PR Data'!$V:$V,'PR Data'!$P:$P,$B53,'PR Data'!$AA:$AA,D$39)</f>
        <v>0</v>
      </c>
      <c r="E53" s="56">
        <f>SUMIFS('PR Data'!$V:$V,'PR Data'!$P:$P,$B53,'PR Data'!$AA:$AA,E$39)</f>
        <v>0</v>
      </c>
      <c r="F53" s="56">
        <f>SUMIFS('PR Data'!$V:$V,'PR Data'!$P:$P,$B53,'PR Data'!$AA:$AA,F$39)</f>
        <v>0</v>
      </c>
      <c r="G53" s="56">
        <f>SUMIFS('PR Data'!$V:$V,'PR Data'!$P:$P,$B53,'PR Data'!$AA:$AA,G$39)</f>
        <v>0</v>
      </c>
      <c r="H53" s="57">
        <f>SUMIFS('PR Data'!$V:$V,'PR Data'!$P:$P,$B53,'PR Data'!$AA:$AA,H$39)</f>
        <v>0</v>
      </c>
      <c r="I53" s="51"/>
      <c r="J53" s="58">
        <f t="shared" si="19"/>
        <v>0</v>
      </c>
    </row>
    <row r="54" spans="2:20" hidden="1" x14ac:dyDescent="0.85">
      <c r="B54" s="39" t="s">
        <v>66</v>
      </c>
      <c r="D54" s="55">
        <f>SUMIFS('PR Data'!$V:$V,'PR Data'!$P:$P,$B54,'PR Data'!$AA:$AA,D$39)</f>
        <v>0</v>
      </c>
      <c r="E54" s="56">
        <f>SUMIFS('PR Data'!$V:$V,'PR Data'!$P:$P,$B54,'PR Data'!$AA:$AA,E$39)</f>
        <v>0</v>
      </c>
      <c r="F54" s="56">
        <f>SUMIFS('PR Data'!$V:$V,'PR Data'!$P:$P,$B54,'PR Data'!$AA:$AA,F$39)</f>
        <v>0</v>
      </c>
      <c r="G54" s="56">
        <f>SUMIFS('PR Data'!$V:$V,'PR Data'!$P:$P,$B54,'PR Data'!$AA:$AA,G$39)</f>
        <v>0</v>
      </c>
      <c r="H54" s="57">
        <f>SUMIFS('PR Data'!$V:$V,'PR Data'!$P:$P,$B54,'PR Data'!$AA:$AA,H$39)</f>
        <v>0</v>
      </c>
      <c r="I54" s="51"/>
      <c r="J54" s="58">
        <f t="shared" si="19"/>
        <v>0</v>
      </c>
    </row>
    <row r="55" spans="2:20" hidden="1" x14ac:dyDescent="0.85">
      <c r="B55" s="39" t="s">
        <v>67</v>
      </c>
      <c r="D55" s="55">
        <f>SUMIFS('PR Data'!$V:$V,'PR Data'!$P:$P,$B55,'PR Data'!$AA:$AA,D$39)</f>
        <v>0</v>
      </c>
      <c r="E55" s="56">
        <f>SUMIFS('PR Data'!$V:$V,'PR Data'!$P:$P,$B55,'PR Data'!$AA:$AA,E$39)</f>
        <v>0</v>
      </c>
      <c r="F55" s="56">
        <f>SUMIFS('PR Data'!$V:$V,'PR Data'!$P:$P,$B55,'PR Data'!$AA:$AA,F$39)</f>
        <v>0</v>
      </c>
      <c r="G55" s="56">
        <f>SUMIFS('PR Data'!$V:$V,'PR Data'!$P:$P,$B55,'PR Data'!$AA:$AA,G$39)</f>
        <v>0</v>
      </c>
      <c r="H55" s="57">
        <f>SUMIFS('PR Data'!$V:$V,'PR Data'!$P:$P,$B55,'PR Data'!$AA:$AA,H$39)</f>
        <v>0</v>
      </c>
      <c r="I55" s="51"/>
      <c r="J55" s="58">
        <f t="shared" si="19"/>
        <v>0</v>
      </c>
    </row>
    <row r="56" spans="2:20" hidden="1" x14ac:dyDescent="0.85">
      <c r="B56" s="39" t="s">
        <v>68</v>
      </c>
      <c r="D56" s="55">
        <f>SUMIFS('PR Data'!$V:$V,'PR Data'!$P:$P,$B56,'PR Data'!$AA:$AA,D$39)</f>
        <v>0</v>
      </c>
      <c r="E56" s="56">
        <f>SUMIFS('PR Data'!$V:$V,'PR Data'!$P:$P,$B56,'PR Data'!$AA:$AA,E$39)</f>
        <v>0</v>
      </c>
      <c r="F56" s="56">
        <f>SUMIFS('PR Data'!$V:$V,'PR Data'!$P:$P,$B56,'PR Data'!$AA:$AA,F$39)</f>
        <v>0</v>
      </c>
      <c r="G56" s="56">
        <f>SUMIFS('PR Data'!$V:$V,'PR Data'!$P:$P,$B56,'PR Data'!$AA:$AA,G$39)</f>
        <v>0</v>
      </c>
      <c r="H56" s="57">
        <f>SUMIFS('PR Data'!$V:$V,'PR Data'!$P:$P,$B56,'PR Data'!$AA:$AA,H$39)</f>
        <v>0</v>
      </c>
      <c r="I56" s="51"/>
      <c r="J56" s="58">
        <f t="shared" si="19"/>
        <v>0</v>
      </c>
    </row>
    <row r="57" spans="2:20" ht="3.5" customHeight="1" x14ac:dyDescent="0.85">
      <c r="B57" s="39"/>
      <c r="D57" s="55"/>
      <c r="E57" s="56"/>
      <c r="F57" s="56"/>
      <c r="G57" s="56"/>
      <c r="H57" s="57"/>
      <c r="I57" s="51"/>
      <c r="J57" s="58"/>
    </row>
    <row r="58" spans="2:20" x14ac:dyDescent="0.85">
      <c r="B58" s="41"/>
      <c r="D58" s="52">
        <f>SUBTOTAL(9,D42:D57)</f>
        <v>48573328.391298622</v>
      </c>
      <c r="E58" s="52">
        <f t="shared" ref="E58:J58" si="20">SUBTOTAL(9,E42:E57)</f>
        <v>2082073</v>
      </c>
      <c r="F58" s="52">
        <f t="shared" si="20"/>
        <v>3356250</v>
      </c>
      <c r="G58" s="52">
        <f t="shared" si="20"/>
        <v>2320845.850000828</v>
      </c>
      <c r="H58" s="52">
        <f t="shared" si="20"/>
        <v>300000</v>
      </c>
      <c r="I58" s="52">
        <f t="shared" si="20"/>
        <v>0</v>
      </c>
      <c r="J58" s="54">
        <f t="shared" si="20"/>
        <v>56632497.24129945</v>
      </c>
      <c r="L58" s="83"/>
    </row>
    <row r="59" spans="2:20" ht="9" customHeight="1" x14ac:dyDescent="0.85"/>
    <row r="60" spans="2:20" ht="24" hidden="1" x14ac:dyDescent="1.05">
      <c r="B60" s="32" t="s">
        <v>46</v>
      </c>
    </row>
    <row r="61" spans="2:20" ht="4.5" hidden="1" customHeight="1" thickBot="1" x14ac:dyDescent="0.9">
      <c r="D61" s="46">
        <v>1</v>
      </c>
      <c r="E61" s="46">
        <v>2</v>
      </c>
      <c r="F61" s="46">
        <v>3</v>
      </c>
      <c r="G61" s="46">
        <v>4</v>
      </c>
      <c r="H61" s="46">
        <v>5</v>
      </c>
      <c r="L61" s="45"/>
      <c r="M61" s="45"/>
      <c r="N61" s="45"/>
      <c r="R61" s="45"/>
      <c r="S61" s="45"/>
      <c r="T61" s="45"/>
    </row>
    <row r="62" spans="2:20" ht="18.75" hidden="1" thickTop="1" x14ac:dyDescent="0.85">
      <c r="B62" s="73"/>
      <c r="C62" s="35"/>
      <c r="D62" s="75" t="s">
        <v>40</v>
      </c>
      <c r="E62" s="76"/>
      <c r="F62" s="76"/>
      <c r="G62" s="76"/>
      <c r="H62" s="77"/>
      <c r="I62" s="36"/>
      <c r="J62" s="81"/>
      <c r="R62" s="44"/>
    </row>
    <row r="63" spans="2:20" hidden="1" x14ac:dyDescent="0.85">
      <c r="B63" s="74" t="s">
        <v>18</v>
      </c>
      <c r="C63" s="37"/>
      <c r="D63" s="78" t="s">
        <v>41</v>
      </c>
      <c r="E63" s="79" t="s">
        <v>42</v>
      </c>
      <c r="F63" s="79" t="s">
        <v>43</v>
      </c>
      <c r="G63" s="79" t="s">
        <v>44</v>
      </c>
      <c r="H63" s="80" t="s">
        <v>45</v>
      </c>
      <c r="J63" s="82" t="s">
        <v>2</v>
      </c>
      <c r="M63" s="70"/>
      <c r="R63" s="44"/>
    </row>
    <row r="64" spans="2:20" hidden="1" x14ac:dyDescent="0.85">
      <c r="B64" s="39" t="s">
        <v>7</v>
      </c>
      <c r="D64" s="55">
        <f>SUMIFS('PR Data'!$V:$V,'PR Data'!$Q:$Q,$B64,'PR Data'!$AA:$AA,D$39)</f>
        <v>26283686.391298622</v>
      </c>
      <c r="E64" s="56">
        <f>SUMIFS('PR Data'!$V:$V,'PR Data'!$Q:$Q,$B64,'PR Data'!$AA:$AA,E$39)</f>
        <v>416543</v>
      </c>
      <c r="F64" s="56">
        <f>SUMIFS('PR Data'!$V:$V,'PR Data'!$Q:$Q,$B64,'PR Data'!$AA:$AA,F$39)</f>
        <v>3356250</v>
      </c>
      <c r="G64" s="56">
        <f>SUMIFS('PR Data'!$V:$V,'PR Data'!$Q:$Q,$B64,'PR Data'!$AA:$AA,G$39)</f>
        <v>2306345.850000828</v>
      </c>
      <c r="H64" s="57">
        <f>SUMIFS('PR Data'!$V:$V,'PR Data'!$Q:$Q,$B64,'PR Data'!$AA:$AA,H$39)</f>
        <v>0</v>
      </c>
      <c r="I64" s="51"/>
      <c r="J64" s="58">
        <f>SUM(D64:H64)</f>
        <v>32362825.24129945</v>
      </c>
    </row>
    <row r="65" spans="2:15" hidden="1" x14ac:dyDescent="0.85">
      <c r="B65" s="39" t="s">
        <v>9</v>
      </c>
      <c r="D65" s="60">
        <f>SUMIFS('PR Data'!$V:$V,'PR Data'!$Q:$Q,$B65,'PR Data'!$AA:$AA,D$39)</f>
        <v>0</v>
      </c>
      <c r="E65" s="61">
        <f>SUMIFS('PR Data'!$V:$V,'PR Data'!$Q:$Q,$B65,'PR Data'!$AA:$AA,E$39)</f>
        <v>0</v>
      </c>
      <c r="F65" s="61">
        <f>SUMIFS('PR Data'!$V:$V,'PR Data'!$Q:$Q,$B65,'PR Data'!$AA:$AA,F$39)</f>
        <v>0</v>
      </c>
      <c r="G65" s="61">
        <f>SUMIFS('PR Data'!$V:$V,'PR Data'!$Q:$Q,$B65,'PR Data'!$AA:$AA,G$39)</f>
        <v>0</v>
      </c>
      <c r="H65" s="62">
        <f>SUMIFS('PR Data'!$V:$V,'PR Data'!$Q:$Q,$B65,'PR Data'!$AA:$AA,H$39)</f>
        <v>0</v>
      </c>
      <c r="I65" s="51"/>
      <c r="J65" s="59">
        <f t="shared" ref="J65:J68" si="21">SUM(D65:H65)</f>
        <v>0</v>
      </c>
    </row>
    <row r="66" spans="2:15" hidden="1" x14ac:dyDescent="0.85">
      <c r="B66" s="39" t="s">
        <v>27</v>
      </c>
      <c r="D66" s="60">
        <f>SUMIFS('PR Data'!$V:$V,'PR Data'!$Q:$Q,$B66,'PR Data'!$AA:$AA,D$39)</f>
        <v>0</v>
      </c>
      <c r="E66" s="61">
        <f>SUMIFS('PR Data'!$V:$V,'PR Data'!$Q:$Q,$B66,'PR Data'!$AA:$AA,E$39)</f>
        <v>7000</v>
      </c>
      <c r="F66" s="61">
        <f>SUMIFS('PR Data'!$V:$V,'PR Data'!$Q:$Q,$B66,'PR Data'!$AA:$AA,F$39)</f>
        <v>0</v>
      </c>
      <c r="G66" s="61">
        <f>SUMIFS('PR Data'!$V:$V,'PR Data'!$Q:$Q,$B66,'PR Data'!$AA:$AA,G$39)</f>
        <v>0</v>
      </c>
      <c r="H66" s="62">
        <f>SUMIFS('PR Data'!$V:$V,'PR Data'!$Q:$Q,$B66,'PR Data'!$AA:$AA,H$39)</f>
        <v>300000</v>
      </c>
      <c r="I66" s="51"/>
      <c r="J66" s="59">
        <f t="shared" si="21"/>
        <v>307000</v>
      </c>
    </row>
    <row r="67" spans="2:15" hidden="1" x14ac:dyDescent="0.85">
      <c r="B67" s="39" t="s">
        <v>28</v>
      </c>
      <c r="D67" s="60">
        <f>SUMIFS('PR Data'!$V:$V,'PR Data'!$Q:$Q,$B67,'PR Data'!$AA:$AA,D$39)</f>
        <v>0</v>
      </c>
      <c r="E67" s="61">
        <f>SUMIFS('PR Data'!$V:$V,'PR Data'!$Q:$Q,$B67,'PR Data'!$AA:$AA,E$39)</f>
        <v>0</v>
      </c>
      <c r="F67" s="61">
        <f>SUMIFS('PR Data'!$V:$V,'PR Data'!$Q:$Q,$B67,'PR Data'!$AA:$AA,F$39)</f>
        <v>0</v>
      </c>
      <c r="G67" s="61">
        <f>SUMIFS('PR Data'!$V:$V,'PR Data'!$Q:$Q,$B67,'PR Data'!$AA:$AA,G$39)</f>
        <v>0</v>
      </c>
      <c r="H67" s="62">
        <f>SUMIFS('PR Data'!$V:$V,'PR Data'!$Q:$Q,$B67,'PR Data'!$AA:$AA,H$39)</f>
        <v>0</v>
      </c>
      <c r="I67" s="51"/>
      <c r="J67" s="59">
        <f t="shared" si="21"/>
        <v>0</v>
      </c>
    </row>
    <row r="68" spans="2:15" s="34" customFormat="1" hidden="1" x14ac:dyDescent="0.85">
      <c r="B68" s="39" t="s">
        <v>8</v>
      </c>
      <c r="C68" s="33"/>
      <c r="D68" s="60">
        <f>SUMIFS('PR Data'!$V:$V,'PR Data'!$Q:$Q,$B68,'PR Data'!$AA:$AA,D$39)</f>
        <v>16167265</v>
      </c>
      <c r="E68" s="61">
        <f>SUMIFS('PR Data'!$V:$V,'PR Data'!$Q:$Q,$B68,'PR Data'!$AA:$AA,E$39)</f>
        <v>1688530</v>
      </c>
      <c r="F68" s="61">
        <f>SUMIFS('PR Data'!$V:$V,'PR Data'!$Q:$Q,$B68,'PR Data'!$AA:$AA,F$39)</f>
        <v>0</v>
      </c>
      <c r="G68" s="61">
        <f>SUMIFS('PR Data'!$V:$V,'PR Data'!$Q:$Q,$B68,'PR Data'!$AA:$AA,G$39)</f>
        <v>14500</v>
      </c>
      <c r="H68" s="62">
        <f>SUMIFS('PR Data'!$V:$V,'PR Data'!$Q:$Q,$B68,'PR Data'!$AA:$AA,H$39)</f>
        <v>0</v>
      </c>
      <c r="I68" s="51"/>
      <c r="J68" s="59">
        <f t="shared" si="21"/>
        <v>17870295</v>
      </c>
      <c r="O68" s="33"/>
    </row>
    <row r="69" spans="2:15" s="34" customFormat="1" hidden="1" x14ac:dyDescent="0.85">
      <c r="B69" s="41"/>
      <c r="C69" s="33"/>
      <c r="D69" s="63">
        <f>SUBTOTAL(9,D64:D68)</f>
        <v>42450951.391298622</v>
      </c>
      <c r="E69" s="64">
        <f t="shared" ref="E69:H69" si="22">SUBTOTAL(9,E64:E68)</f>
        <v>2112073</v>
      </c>
      <c r="F69" s="64">
        <f t="shared" si="22"/>
        <v>3356250</v>
      </c>
      <c r="G69" s="64">
        <f t="shared" si="22"/>
        <v>2320845.850000828</v>
      </c>
      <c r="H69" s="65">
        <f t="shared" si="22"/>
        <v>300000</v>
      </c>
      <c r="I69" s="51"/>
      <c r="J69" s="66">
        <f>SUBTOTAL(9,J64:J68)</f>
        <v>50540120.24129945</v>
      </c>
      <c r="O69" s="33"/>
    </row>
    <row r="70" spans="2:15" hidden="1" x14ac:dyDescent="0.85"/>
    <row r="71" spans="2:15" s="34" customFormat="1" hidden="1" x14ac:dyDescent="0.85">
      <c r="B71" s="33"/>
      <c r="C71" s="33"/>
      <c r="I71" s="33"/>
      <c r="J71" s="47"/>
      <c r="O71" s="33"/>
    </row>
    <row r="72" spans="2:15" hidden="1" x14ac:dyDescent="0.85"/>
    <row r="73" spans="2:15" hidden="1" x14ac:dyDescent="0.85"/>
  </sheetData>
  <sortState xmlns:xlrd2="http://schemas.microsoft.com/office/spreadsheetml/2017/richdata2" ref="A9:T22">
    <sortCondition descending="1" ref="A9:A22"/>
  </sortState>
  <pageMargins left="0.7" right="0.7" top="0.75" bottom="0.75" header="0.3" footer="0.3"/>
  <pageSetup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4613-0098-4933-836E-ED3D001EB062}">
  <sheetPr>
    <tabColor rgb="FFC00000"/>
  </sheetPr>
  <dimension ref="A2:AC117"/>
  <sheetViews>
    <sheetView showGridLines="0" topLeftCell="C1" zoomScale="80" zoomScaleNormal="80" workbookViewId="0">
      <pane ySplit="3" topLeftCell="A48" activePane="bottomLeft" state="frozen"/>
      <selection activeCell="O18" sqref="O18"/>
      <selection pane="bottomLeft" activeCell="O18" sqref="O18"/>
    </sheetView>
  </sheetViews>
  <sheetFormatPr defaultRowHeight="14.25" x14ac:dyDescent="0.45"/>
  <cols>
    <col min="1" max="1" width="3.06640625" customWidth="1"/>
    <col min="2" max="2" width="10.796875" customWidth="1"/>
    <col min="3" max="3" width="25" customWidth="1"/>
    <col min="4" max="5" width="13.73046875" bestFit="1" customWidth="1"/>
    <col min="6" max="7" width="8.73046875" style="1"/>
    <col min="8" max="8" width="12.796875" style="3" customWidth="1"/>
    <col min="9" max="9" width="13" style="3" customWidth="1"/>
    <col min="10" max="10" width="6.73046875" customWidth="1"/>
    <col min="11" max="14" width="12.53125" style="2" bestFit="1" customWidth="1"/>
    <col min="15" max="15" width="8.73046875" style="24"/>
    <col min="16" max="16" width="16" style="2" customWidth="1"/>
    <col min="17" max="17" width="16.265625" customWidth="1"/>
    <col min="18" max="18" width="15.265625" style="2" customWidth="1"/>
    <col min="19" max="20" width="11.06640625" style="2" bestFit="1" customWidth="1"/>
    <col min="21" max="21" width="13.265625" style="2" bestFit="1" customWidth="1"/>
    <col min="22" max="22" width="11.06640625" style="2" bestFit="1" customWidth="1"/>
    <col min="23" max="23" width="11.06640625" style="2" customWidth="1"/>
    <col min="24" max="24" width="11.265625" style="2" customWidth="1"/>
    <col min="25" max="25" width="11.9296875" style="3" bestFit="1" customWidth="1"/>
    <col min="26" max="26" width="8.73046875" style="1"/>
    <col min="27" max="27" width="14.46484375" style="1" customWidth="1"/>
    <col min="29" max="29" width="10.796875" bestFit="1" customWidth="1"/>
  </cols>
  <sheetData>
    <row r="2" spans="3:29" x14ac:dyDescent="0.45">
      <c r="K2" s="2">
        <f>SUBTOTAL(9,K4:K99)</f>
        <v>74017991.657993466</v>
      </c>
      <c r="L2" s="2">
        <f t="shared" ref="L2:N2" si="0">SUBTOTAL(9,L4:L99)</f>
        <v>25842027.307668876</v>
      </c>
      <c r="M2" s="2">
        <f t="shared" si="0"/>
        <v>12952131.019581525</v>
      </c>
      <c r="N2" s="2">
        <f t="shared" si="0"/>
        <v>12153510.185127288</v>
      </c>
      <c r="P2" s="2">
        <f>K2-L2</f>
        <v>48175964.350324586</v>
      </c>
      <c r="Q2" s="72">
        <f>L2-M2</f>
        <v>12889896.288087351</v>
      </c>
      <c r="R2" s="2">
        <f t="shared" ref="R2:X2" si="1">SUBTOTAL(9,R4:R99)</f>
        <v>47098228</v>
      </c>
      <c r="S2" s="2">
        <f t="shared" si="1"/>
        <v>11005119.24129945</v>
      </c>
      <c r="T2" s="2">
        <f t="shared" si="1"/>
        <v>4161244.0881157098</v>
      </c>
      <c r="U2" s="2">
        <f t="shared" si="1"/>
        <v>-557440</v>
      </c>
      <c r="V2" s="2">
        <f t="shared" si="1"/>
        <v>56662497.241299428</v>
      </c>
      <c r="W2" s="2">
        <f t="shared" si="1"/>
        <v>0</v>
      </c>
      <c r="X2" s="2">
        <f t="shared" si="1"/>
        <v>60823741.329415128</v>
      </c>
      <c r="Y2" s="88">
        <f>N2-X2</f>
        <v>-48670231.14428784</v>
      </c>
    </row>
    <row r="3" spans="3:29" ht="42.75" x14ac:dyDescent="0.45">
      <c r="C3" s="4" t="s">
        <v>13</v>
      </c>
      <c r="D3" s="5" t="s">
        <v>0</v>
      </c>
      <c r="E3" s="5" t="s">
        <v>4</v>
      </c>
      <c r="F3" s="5" t="s">
        <v>5</v>
      </c>
      <c r="G3" s="5" t="s">
        <v>6</v>
      </c>
      <c r="H3" s="6" t="s">
        <v>54</v>
      </c>
      <c r="I3" s="6" t="s">
        <v>55</v>
      </c>
      <c r="J3" s="5" t="s">
        <v>14</v>
      </c>
      <c r="K3" s="10" t="s">
        <v>10</v>
      </c>
      <c r="L3" s="10" t="s">
        <v>11</v>
      </c>
      <c r="M3" s="10" t="s">
        <v>12</v>
      </c>
      <c r="N3" s="7" t="s">
        <v>1</v>
      </c>
      <c r="O3" s="22" t="s">
        <v>19</v>
      </c>
      <c r="P3" s="8" t="s">
        <v>52</v>
      </c>
      <c r="Q3" s="9" t="s">
        <v>18</v>
      </c>
      <c r="R3" s="25" t="s">
        <v>20</v>
      </c>
      <c r="S3" s="25" t="s">
        <v>21</v>
      </c>
      <c r="T3" s="25" t="s">
        <v>22</v>
      </c>
      <c r="U3" s="25" t="s">
        <v>23</v>
      </c>
      <c r="V3" s="25" t="s">
        <v>24</v>
      </c>
      <c r="W3" s="25" t="s">
        <v>16</v>
      </c>
      <c r="X3" s="25" t="s">
        <v>25</v>
      </c>
      <c r="Y3" s="29" t="s">
        <v>29</v>
      </c>
      <c r="Z3" s="31" t="s">
        <v>30</v>
      </c>
      <c r="AA3" s="31" t="s">
        <v>31</v>
      </c>
      <c r="AB3" s="28" t="s">
        <v>32</v>
      </c>
      <c r="AC3" s="84" t="s">
        <v>61</v>
      </c>
    </row>
    <row r="4" spans="3:29" x14ac:dyDescent="0.45">
      <c r="C4" s="11" t="str">
        <f t="shared" ref="C4:C65" si="2">D4&amp;"-"&amp;E4&amp;"-"&amp;F4&amp;"-"&amp;G4</f>
        <v>14022157-13011533-1-3</v>
      </c>
      <c r="D4" s="11">
        <v>14022157</v>
      </c>
      <c r="E4" s="11">
        <v>13011533</v>
      </c>
      <c r="F4" s="12">
        <v>1</v>
      </c>
      <c r="G4" s="12">
        <v>3</v>
      </c>
      <c r="H4" s="13">
        <v>44615</v>
      </c>
      <c r="I4" s="13">
        <v>44620.677731481483</v>
      </c>
      <c r="J4" s="71" t="s">
        <v>17</v>
      </c>
      <c r="K4" s="14">
        <v>1635903.1</v>
      </c>
      <c r="L4" s="14">
        <v>1634160</v>
      </c>
      <c r="M4" s="14">
        <v>1563119.25</v>
      </c>
      <c r="N4" s="14">
        <v>71040.75</v>
      </c>
      <c r="O4" s="21" t="s">
        <v>47</v>
      </c>
      <c r="P4" s="26" t="s">
        <v>51</v>
      </c>
      <c r="Q4" s="27" t="s">
        <v>7</v>
      </c>
      <c r="R4" s="14">
        <v>0</v>
      </c>
      <c r="S4" s="14">
        <f>IF(N4&gt;M4,N4-M4,0)</f>
        <v>0</v>
      </c>
      <c r="T4" s="14">
        <f>N4</f>
        <v>71040.75</v>
      </c>
      <c r="U4" s="14">
        <v>0</v>
      </c>
      <c r="V4" s="14" cm="1">
        <f t="array" ref="V4">_xlfn.IFS(J4="Closed",0,J4="Canceled",0,J4="Closed for Receiving",0,TRUE,SUM(R4:S4))+U4</f>
        <v>0</v>
      </c>
      <c r="W4" s="14"/>
      <c r="X4" s="14">
        <f t="shared" ref="X4:X32" si="3">+T4+V4+W4</f>
        <v>71040.75</v>
      </c>
      <c r="Z4" s="30">
        <v>0</v>
      </c>
      <c r="AB4" s="1">
        <f>(COUNTIF($E4:$E$4,$E4)=1)+0</f>
        <v>1</v>
      </c>
      <c r="AC4" s="72">
        <f>N4-M4</f>
        <v>-1492078.5</v>
      </c>
    </row>
    <row r="5" spans="3:29" x14ac:dyDescent="0.45">
      <c r="C5" s="11" t="str">
        <f t="shared" si="2"/>
        <v>14022158-13011533-1-2</v>
      </c>
      <c r="D5" s="11">
        <v>14022158</v>
      </c>
      <c r="E5" s="11">
        <v>13011533</v>
      </c>
      <c r="F5" s="12">
        <v>1</v>
      </c>
      <c r="G5" s="12">
        <v>2</v>
      </c>
      <c r="H5" s="13">
        <v>44615</v>
      </c>
      <c r="I5" s="13">
        <v>44620.677997685183</v>
      </c>
      <c r="J5" s="11" t="s">
        <v>17</v>
      </c>
      <c r="K5" s="14">
        <v>2451362</v>
      </c>
      <c r="L5" s="14">
        <v>2448750</v>
      </c>
      <c r="M5" s="14">
        <v>898290</v>
      </c>
      <c r="N5" s="14">
        <v>1550460</v>
      </c>
      <c r="O5" s="21" t="s">
        <v>47</v>
      </c>
      <c r="P5" s="14" t="s">
        <v>26</v>
      </c>
      <c r="Q5" s="27" t="s">
        <v>7</v>
      </c>
      <c r="R5" s="14">
        <v>0</v>
      </c>
      <c r="S5" s="14">
        <f>IF(N5&gt;M5,N5-M5,0)</f>
        <v>652170</v>
      </c>
      <c r="T5" s="14">
        <f>M5</f>
        <v>898290</v>
      </c>
      <c r="U5" s="14">
        <v>0</v>
      </c>
      <c r="V5" s="14" cm="1">
        <f t="array" ref="V5">_xlfn.IFS(J5="Closed",0,J5="Canceled",0,J5="Closed for Receiving",0,TRUE,SUM(R5:S5))+U5</f>
        <v>0</v>
      </c>
      <c r="W5" s="14"/>
      <c r="X5" s="14">
        <f t="shared" si="3"/>
        <v>898290</v>
      </c>
      <c r="Z5" s="30">
        <v>0</v>
      </c>
      <c r="AB5" s="1">
        <f>(COUNTIF($E$4:$E5,$E5)=1)+0</f>
        <v>0</v>
      </c>
      <c r="AC5" s="72">
        <f>N5-M5</f>
        <v>652170</v>
      </c>
    </row>
    <row r="6" spans="3:29" x14ac:dyDescent="0.45">
      <c r="C6" s="11" t="str">
        <f t="shared" si="2"/>
        <v>14022159-13011533-1-1</v>
      </c>
      <c r="D6" s="11">
        <v>14022159</v>
      </c>
      <c r="E6" s="11">
        <v>13011533</v>
      </c>
      <c r="F6" s="12">
        <v>1</v>
      </c>
      <c r="G6" s="12">
        <v>1</v>
      </c>
      <c r="H6" s="13">
        <v>44615</v>
      </c>
      <c r="I6" s="13">
        <v>44620.677152777775</v>
      </c>
      <c r="J6" s="11" t="s">
        <v>17</v>
      </c>
      <c r="K6" s="14">
        <v>900960</v>
      </c>
      <c r="L6" s="14">
        <v>900000</v>
      </c>
      <c r="M6" s="14">
        <v>337500</v>
      </c>
      <c r="N6" s="14">
        <v>562500</v>
      </c>
      <c r="O6" s="21" t="s">
        <v>47</v>
      </c>
      <c r="P6" s="14" t="s">
        <v>51</v>
      </c>
      <c r="Q6" s="27" t="s">
        <v>7</v>
      </c>
      <c r="R6" s="14">
        <v>0</v>
      </c>
      <c r="S6" s="14">
        <f>IF(N6&gt;M6,N6-M6,0)</f>
        <v>225000</v>
      </c>
      <c r="T6" s="14">
        <f>M6</f>
        <v>337500</v>
      </c>
      <c r="U6" s="14">
        <v>0</v>
      </c>
      <c r="V6" s="14" cm="1">
        <f t="array" ref="V6">_xlfn.IFS(J6="Closed",0,J6="Canceled",0,J6="Closed for Receiving",0,TRUE,SUM(R6:S6))+U6</f>
        <v>0</v>
      </c>
      <c r="W6" s="14"/>
      <c r="X6" s="14">
        <f t="shared" si="3"/>
        <v>337500</v>
      </c>
      <c r="Z6" s="30">
        <v>0</v>
      </c>
      <c r="AB6" s="1">
        <f>(COUNTIF($E$4:$E6,$E6)=1)+0</f>
        <v>0</v>
      </c>
      <c r="AC6" s="72">
        <f>N6-M6</f>
        <v>225000</v>
      </c>
    </row>
    <row r="7" spans="3:29" x14ac:dyDescent="0.45">
      <c r="C7" s="11" t="str">
        <f t="shared" si="2"/>
        <v>14032355-13019561-2-2</v>
      </c>
      <c r="D7" s="11">
        <v>14032355</v>
      </c>
      <c r="E7" s="11">
        <v>13019561</v>
      </c>
      <c r="F7" s="12">
        <v>2</v>
      </c>
      <c r="G7" s="12">
        <v>2</v>
      </c>
      <c r="H7" s="13">
        <v>44860</v>
      </c>
      <c r="I7" s="13">
        <v>44880.540682870371</v>
      </c>
      <c r="J7" s="11" t="s">
        <v>17</v>
      </c>
      <c r="K7" s="14">
        <v>116550</v>
      </c>
      <c r="L7" s="14">
        <v>116550</v>
      </c>
      <c r="M7" s="14">
        <v>115915.34974886999</v>
      </c>
      <c r="N7" s="14">
        <v>634.65025113000593</v>
      </c>
      <c r="O7" s="21" t="s">
        <v>47</v>
      </c>
      <c r="P7" s="14" t="s">
        <v>56</v>
      </c>
      <c r="Q7" s="11" t="s">
        <v>7</v>
      </c>
      <c r="R7" s="14">
        <v>0</v>
      </c>
      <c r="S7" s="14">
        <f>IF(N7&gt;M7,N7-M7,0)</f>
        <v>0</v>
      </c>
      <c r="T7" s="14">
        <f>N7</f>
        <v>634.65025113000593</v>
      </c>
      <c r="U7" s="14">
        <v>0</v>
      </c>
      <c r="V7" s="14" cm="1">
        <f t="array" ref="V7">_xlfn.IFS(J7="Closed",0,J7="Canceled",0,J7="Closed for Receiving",0,TRUE,SUM(R7:S7))+U7</f>
        <v>0</v>
      </c>
      <c r="W7" s="14"/>
      <c r="X7" s="14">
        <f t="shared" si="3"/>
        <v>634.65025113000593</v>
      </c>
      <c r="Z7" s="30">
        <v>0</v>
      </c>
      <c r="AB7" s="1">
        <f>(COUNTIF($E$4:$E7,$E7)=1)+0</f>
        <v>1</v>
      </c>
      <c r="AC7" s="72">
        <f>N7-M7</f>
        <v>-115280.69949773999</v>
      </c>
    </row>
    <row r="8" spans="3:29" x14ac:dyDescent="0.45">
      <c r="C8" s="11" t="str">
        <f t="shared" si="2"/>
        <v>14033775-13019904-1-1</v>
      </c>
      <c r="D8" s="11">
        <v>14033775</v>
      </c>
      <c r="E8" s="11">
        <v>13019904</v>
      </c>
      <c r="F8" s="12">
        <v>1</v>
      </c>
      <c r="G8" s="12">
        <v>1</v>
      </c>
      <c r="H8" s="13">
        <v>44886</v>
      </c>
      <c r="I8" s="13">
        <v>44901.376134259262</v>
      </c>
      <c r="J8" s="11" t="s">
        <v>17</v>
      </c>
      <c r="K8" s="14">
        <v>112498.875</v>
      </c>
      <c r="L8" s="14">
        <v>112498.875</v>
      </c>
      <c r="M8" s="14">
        <v>111586.384125</v>
      </c>
      <c r="N8" s="14">
        <v>912.49087500000314</v>
      </c>
      <c r="O8" s="21" t="s">
        <v>47</v>
      </c>
      <c r="P8" s="14" t="s">
        <v>51</v>
      </c>
      <c r="Q8" s="27" t="s">
        <v>7</v>
      </c>
      <c r="R8" s="14">
        <v>0</v>
      </c>
      <c r="S8" s="14">
        <f>IF(N8&gt;M8,N8-M8,0)</f>
        <v>0</v>
      </c>
      <c r="T8" s="14">
        <f>N8</f>
        <v>912.49087500000314</v>
      </c>
      <c r="U8" s="14">
        <v>0</v>
      </c>
      <c r="V8" s="14" cm="1">
        <f t="array" ref="V8">_xlfn.IFS(J8="Closed",0,J8="Canceled",0,J8="Closed for Receiving",0,TRUE,SUM(R8:S8))+U8</f>
        <v>0</v>
      </c>
      <c r="W8" s="14"/>
      <c r="X8" s="14">
        <f t="shared" si="3"/>
        <v>912.49087500000314</v>
      </c>
      <c r="Z8" s="30">
        <v>0</v>
      </c>
      <c r="AB8" s="1">
        <f>(COUNTIF($E$4:$E8,$E8)=1)+0</f>
        <v>1</v>
      </c>
      <c r="AC8" s="72">
        <f>N8-M8</f>
        <v>-110673.89324999999</v>
      </c>
    </row>
    <row r="9" spans="3:29" x14ac:dyDescent="0.45">
      <c r="C9" s="11" t="str">
        <f t="shared" si="2"/>
        <v>14038250-13022718-9-4</v>
      </c>
      <c r="D9" s="11">
        <v>14038250</v>
      </c>
      <c r="E9" s="11">
        <v>13022718</v>
      </c>
      <c r="F9" s="12">
        <v>9</v>
      </c>
      <c r="G9" s="12">
        <v>4</v>
      </c>
      <c r="H9" s="13">
        <v>44977</v>
      </c>
      <c r="I9" s="13">
        <v>44978.607048611113</v>
      </c>
      <c r="J9" s="11" t="s">
        <v>15</v>
      </c>
      <c r="K9" s="14">
        <v>543750</v>
      </c>
      <c r="L9" s="14">
        <v>543750</v>
      </c>
      <c r="M9" s="14">
        <v>543635.625</v>
      </c>
      <c r="N9" s="14">
        <v>114.375</v>
      </c>
      <c r="O9" s="21" t="s">
        <v>47</v>
      </c>
      <c r="P9" s="14" t="s">
        <v>56</v>
      </c>
      <c r="Q9" s="11" t="s">
        <v>7</v>
      </c>
      <c r="R9" s="14">
        <v>0</v>
      </c>
      <c r="S9" s="14">
        <f>IF(N9&gt;M9,N9-M9,0)</f>
        <v>0</v>
      </c>
      <c r="T9" s="14">
        <f>N9</f>
        <v>114.375</v>
      </c>
      <c r="U9" s="14">
        <v>0</v>
      </c>
      <c r="V9" s="14" cm="1">
        <f t="array" ref="V9">_xlfn.IFS(J9="Closed",0,J9="Canceled",0,J9="Closed for Receiving",0,TRUE,SUM(R9:S9))+U9</f>
        <v>0</v>
      </c>
      <c r="W9" s="14"/>
      <c r="X9" s="14">
        <f t="shared" si="3"/>
        <v>114.375</v>
      </c>
      <c r="Y9" s="3">
        <v>45777</v>
      </c>
      <c r="Z9" s="30">
        <f>IF(I9&gt;0,_xlfn.DAYS(Y9,I9)/30,0)</f>
        <v>26.633333333333333</v>
      </c>
      <c r="AA9" s="1">
        <v>5</v>
      </c>
      <c r="AB9" s="1">
        <f>(COUNTIF($E$4:$E9,$E9)=1)+0</f>
        <v>1</v>
      </c>
      <c r="AC9" s="72">
        <f>N9-M9</f>
        <v>-543521.25</v>
      </c>
    </row>
    <row r="10" spans="3:29" x14ac:dyDescent="0.45">
      <c r="C10" s="11" t="str">
        <f t="shared" si="2"/>
        <v>14038251-13023234-9-1</v>
      </c>
      <c r="D10" s="11">
        <v>14038251</v>
      </c>
      <c r="E10" s="11">
        <v>13023234</v>
      </c>
      <c r="F10" s="12">
        <v>9</v>
      </c>
      <c r="G10" s="12">
        <v>1</v>
      </c>
      <c r="H10" s="13">
        <v>44977</v>
      </c>
      <c r="I10" s="13">
        <v>44992.044976851852</v>
      </c>
      <c r="J10" s="11" t="s">
        <v>15</v>
      </c>
      <c r="K10" s="14">
        <v>1246875</v>
      </c>
      <c r="L10" s="14">
        <v>1246875</v>
      </c>
      <c r="M10" s="14">
        <v>1245631.875</v>
      </c>
      <c r="N10" s="14">
        <v>1243.125</v>
      </c>
      <c r="O10" s="21" t="s">
        <v>47</v>
      </c>
      <c r="P10" s="14" t="s">
        <v>56</v>
      </c>
      <c r="Q10" s="11" t="s">
        <v>7</v>
      </c>
      <c r="R10" s="14">
        <v>0</v>
      </c>
      <c r="S10" s="14">
        <f>IF(N10&gt;M10,N10-M10,0)</f>
        <v>0</v>
      </c>
      <c r="T10" s="14">
        <f>N10</f>
        <v>1243.125</v>
      </c>
      <c r="U10" s="14">
        <v>0</v>
      </c>
      <c r="V10" s="14" cm="1">
        <f t="array" ref="V10">_xlfn.IFS(J10="Closed",0,J10="Canceled",0,J10="Closed for Receiving",0,TRUE,SUM(R10:S10))+U10</f>
        <v>0</v>
      </c>
      <c r="W10" s="14"/>
      <c r="X10" s="14">
        <f t="shared" si="3"/>
        <v>1243.125</v>
      </c>
      <c r="Y10" s="3">
        <v>45777</v>
      </c>
      <c r="Z10" s="30">
        <f>IF(I10&gt;0,_xlfn.DAYS(Y10,I10)/30,0)</f>
        <v>26.166666666666668</v>
      </c>
      <c r="AA10" s="1">
        <v>5</v>
      </c>
      <c r="AB10" s="1">
        <f>(COUNTIF($E$4:$E10,$E10)=1)+0</f>
        <v>1</v>
      </c>
      <c r="AC10" s="72">
        <f>N10-M10</f>
        <v>-1244388.75</v>
      </c>
    </row>
    <row r="11" spans="3:29" x14ac:dyDescent="0.45">
      <c r="C11" s="11" t="str">
        <f t="shared" si="2"/>
        <v>14039056-13022718-1-7</v>
      </c>
      <c r="D11" s="11">
        <v>14039056</v>
      </c>
      <c r="E11" s="11">
        <v>13022718</v>
      </c>
      <c r="F11" s="12">
        <v>1</v>
      </c>
      <c r="G11" s="12">
        <v>7</v>
      </c>
      <c r="H11" s="13">
        <v>44993</v>
      </c>
      <c r="I11" s="13">
        <v>44994.412673611114</v>
      </c>
      <c r="J11" s="71" t="s">
        <v>15</v>
      </c>
      <c r="K11" s="14">
        <v>281250</v>
      </c>
      <c r="L11" s="14">
        <v>281250</v>
      </c>
      <c r="M11" s="14">
        <v>255850.08749999999</v>
      </c>
      <c r="N11" s="14">
        <v>25399.912500000006</v>
      </c>
      <c r="O11" s="21" t="s">
        <v>47</v>
      </c>
      <c r="P11" s="14" t="s">
        <v>56</v>
      </c>
      <c r="Q11" s="11" t="s">
        <v>7</v>
      </c>
      <c r="R11" s="14">
        <v>0</v>
      </c>
      <c r="S11" s="14">
        <f>IF(N11&gt;M11,N11-M11,0)</f>
        <v>0</v>
      </c>
      <c r="T11" s="14">
        <f>N11</f>
        <v>25399.912500000006</v>
      </c>
      <c r="U11" s="14">
        <v>0</v>
      </c>
      <c r="V11" s="14" cm="1">
        <f t="array" ref="V11">_xlfn.IFS(J11="Closed",0,J11="Canceled",0,J11="Closed for Receiving",0,TRUE,SUM(R11:S11))+U11</f>
        <v>0</v>
      </c>
      <c r="W11" s="14"/>
      <c r="X11" s="14">
        <f t="shared" si="3"/>
        <v>25399.912500000006</v>
      </c>
      <c r="Y11" s="3">
        <v>45777</v>
      </c>
      <c r="Z11" s="30">
        <f>IF(I11&gt;0,_xlfn.DAYS(Y11,I11)/30,0)</f>
        <v>26.1</v>
      </c>
      <c r="AA11" s="1">
        <v>5</v>
      </c>
      <c r="AB11" s="1">
        <f>(COUNTIF($E$4:$E11,$E11)=1)+0</f>
        <v>0</v>
      </c>
      <c r="AC11" s="72">
        <f>N11-M11</f>
        <v>-230450.17499999999</v>
      </c>
    </row>
    <row r="12" spans="3:29" x14ac:dyDescent="0.45">
      <c r="C12" s="11" t="str">
        <f t="shared" si="2"/>
        <v>14053646-13036926-2-2</v>
      </c>
      <c r="D12" s="11">
        <v>14053646</v>
      </c>
      <c r="E12" s="11">
        <v>13036926</v>
      </c>
      <c r="F12" s="12">
        <v>2</v>
      </c>
      <c r="G12" s="12">
        <v>2</v>
      </c>
      <c r="H12" s="13">
        <v>45305</v>
      </c>
      <c r="I12" s="13">
        <v>45396.259675925925</v>
      </c>
      <c r="J12" s="11" t="s">
        <v>15</v>
      </c>
      <c r="K12" s="14">
        <v>63750</v>
      </c>
      <c r="L12" s="14">
        <v>63750</v>
      </c>
      <c r="M12" s="14">
        <v>36642.1875</v>
      </c>
      <c r="N12" s="14">
        <v>27107.8125</v>
      </c>
      <c r="O12" s="21" t="s">
        <v>47</v>
      </c>
      <c r="P12" s="14" t="s">
        <v>56</v>
      </c>
      <c r="Q12" s="11" t="s">
        <v>7</v>
      </c>
      <c r="R12" s="14">
        <v>0</v>
      </c>
      <c r="S12" s="14">
        <f>IF(N12&gt;M12,N12-M12,0)</f>
        <v>0</v>
      </c>
      <c r="T12" s="14">
        <f>N12</f>
        <v>27107.8125</v>
      </c>
      <c r="U12" s="14">
        <v>0</v>
      </c>
      <c r="V12" s="14" cm="1">
        <f t="array" ref="V12">_xlfn.IFS(J12="Closed",0,J12="Canceled",0,J12="Closed for Receiving",0,TRUE,SUM(R12:S12))+U12</f>
        <v>0</v>
      </c>
      <c r="W12" s="14"/>
      <c r="X12" s="14">
        <f t="shared" si="3"/>
        <v>27107.8125</v>
      </c>
      <c r="Y12" s="3">
        <v>45777</v>
      </c>
      <c r="Z12" s="30">
        <f>IF(I12&gt;0,_xlfn.DAYS(Y12,I12)/30,0)</f>
        <v>12.7</v>
      </c>
      <c r="AA12" s="1">
        <v>5</v>
      </c>
      <c r="AB12" s="1">
        <f>(COUNTIF($E$4:$E12,$E12)=1)+0</f>
        <v>1</v>
      </c>
      <c r="AC12" s="72">
        <f>N12-M12</f>
        <v>-9534.375</v>
      </c>
    </row>
    <row r="13" spans="3:29" x14ac:dyDescent="0.45">
      <c r="C13" s="11" t="str">
        <f t="shared" si="2"/>
        <v>14056705-13034685-1-1</v>
      </c>
      <c r="D13" s="11">
        <v>14056705</v>
      </c>
      <c r="E13" s="11">
        <v>13034685</v>
      </c>
      <c r="F13" s="12">
        <v>1</v>
      </c>
      <c r="G13" s="12">
        <v>1</v>
      </c>
      <c r="H13" s="13">
        <v>45364</v>
      </c>
      <c r="I13" s="13">
        <v>45371.344583333332</v>
      </c>
      <c r="J13" s="11" t="s">
        <v>15</v>
      </c>
      <c r="K13" s="14">
        <v>761250</v>
      </c>
      <c r="L13" s="14">
        <v>761250</v>
      </c>
      <c r="M13" s="14">
        <v>738313.98739875003</v>
      </c>
      <c r="N13" s="14">
        <v>22936.012601249968</v>
      </c>
      <c r="O13" s="21" t="s">
        <v>47</v>
      </c>
      <c r="P13" s="14" t="s">
        <v>56</v>
      </c>
      <c r="Q13" s="11" t="s">
        <v>7</v>
      </c>
      <c r="R13" s="14">
        <v>0</v>
      </c>
      <c r="S13" s="14">
        <f>IF(N13&gt;M13,N13-M13,0)</f>
        <v>0</v>
      </c>
      <c r="T13" s="14">
        <f>N13</f>
        <v>22936.012601249968</v>
      </c>
      <c r="U13" s="14">
        <v>0</v>
      </c>
      <c r="V13" s="14" cm="1">
        <f t="array" ref="V13">_xlfn.IFS(J13="Closed",0,J13="Canceled",0,J13="Closed for Receiving",0,TRUE,SUM(R13:S13))+U13</f>
        <v>0</v>
      </c>
      <c r="W13" s="14"/>
      <c r="X13" s="14">
        <f t="shared" si="3"/>
        <v>22936.012601249968</v>
      </c>
      <c r="Y13" s="3">
        <v>45777</v>
      </c>
      <c r="Z13" s="30">
        <f>IF(I13&gt;0,_xlfn.DAYS(Y13,I13)/30,0)</f>
        <v>13.533333333333333</v>
      </c>
      <c r="AA13" s="1">
        <v>5</v>
      </c>
      <c r="AB13" s="1">
        <f>(COUNTIF($E$4:$E13,$E13)=1)+0</f>
        <v>1</v>
      </c>
      <c r="AC13" s="72">
        <f>N13-M13</f>
        <v>-715377.97479750006</v>
      </c>
    </row>
    <row r="14" spans="3:29" x14ac:dyDescent="0.45">
      <c r="C14" s="11" t="str">
        <f t="shared" si="2"/>
        <v>14056907-13035845-1-1</v>
      </c>
      <c r="D14" s="11">
        <v>14056907</v>
      </c>
      <c r="E14" s="11">
        <v>13035845</v>
      </c>
      <c r="F14" s="12">
        <v>1</v>
      </c>
      <c r="G14" s="12">
        <v>1</v>
      </c>
      <c r="H14" s="13">
        <v>45370</v>
      </c>
      <c r="I14" s="13">
        <v>45371.412488425929</v>
      </c>
      <c r="J14" s="11" t="s">
        <v>15</v>
      </c>
      <c r="K14" s="14">
        <v>30080</v>
      </c>
      <c r="L14" s="14">
        <v>28098</v>
      </c>
      <c r="M14" s="14">
        <v>25307.999997487201</v>
      </c>
      <c r="N14" s="14">
        <v>2790.0000025127993</v>
      </c>
      <c r="O14" s="21" t="s">
        <v>47</v>
      </c>
      <c r="P14" s="14" t="s">
        <v>51</v>
      </c>
      <c r="Q14" s="11" t="s">
        <v>7</v>
      </c>
      <c r="R14" s="14">
        <v>0</v>
      </c>
      <c r="S14" s="14">
        <f>IF(N14&gt;M14,N14-M14,0)</f>
        <v>0</v>
      </c>
      <c r="T14" s="14">
        <f>N14</f>
        <v>2790.0000025127993</v>
      </c>
      <c r="U14" s="14">
        <v>0</v>
      </c>
      <c r="V14" s="14" cm="1">
        <f t="array" ref="V14">_xlfn.IFS(J14="Closed",0,J14="Canceled",0,J14="Closed for Receiving",0,TRUE,SUM(R14:S14))+U14</f>
        <v>0</v>
      </c>
      <c r="W14" s="14"/>
      <c r="X14" s="14">
        <f t="shared" si="3"/>
        <v>2790.0000025127993</v>
      </c>
      <c r="Y14" s="3">
        <v>45777</v>
      </c>
      <c r="Z14" s="30">
        <f>IF(I14&gt;0,_xlfn.DAYS(Y14,I14)/30,0)</f>
        <v>13.533333333333333</v>
      </c>
      <c r="AA14" s="1">
        <v>5</v>
      </c>
      <c r="AB14" s="1">
        <f>(COUNTIF($E$4:$E14,$E14)=1)+0</f>
        <v>1</v>
      </c>
      <c r="AC14" s="72">
        <f>N14-M14</f>
        <v>-22517.999994974401</v>
      </c>
    </row>
    <row r="15" spans="3:29" x14ac:dyDescent="0.45">
      <c r="C15" s="11" t="str">
        <f t="shared" si="2"/>
        <v>14057082-13037619-2-1</v>
      </c>
      <c r="D15" s="11">
        <v>14057082</v>
      </c>
      <c r="E15" s="11">
        <v>13037619</v>
      </c>
      <c r="F15" s="12">
        <v>2</v>
      </c>
      <c r="G15" s="12">
        <v>1</v>
      </c>
      <c r="H15" s="13">
        <v>45375</v>
      </c>
      <c r="I15" s="13">
        <v>45375.403356481482</v>
      </c>
      <c r="J15" s="11" t="s">
        <v>15</v>
      </c>
      <c r="K15" s="14">
        <v>300000</v>
      </c>
      <c r="L15" s="14">
        <v>300000</v>
      </c>
      <c r="M15" s="14">
        <v>0</v>
      </c>
      <c r="N15" s="14">
        <v>300000</v>
      </c>
      <c r="O15" s="21" t="s">
        <v>47</v>
      </c>
      <c r="P15" s="14" t="s">
        <v>51</v>
      </c>
      <c r="Q15" s="11" t="s">
        <v>27</v>
      </c>
      <c r="R15" s="14">
        <v>0</v>
      </c>
      <c r="S15" s="14">
        <f>IF(N15&gt;M15,N15-M15,0)</f>
        <v>300000</v>
      </c>
      <c r="T15" s="14">
        <f>M15</f>
        <v>0</v>
      </c>
      <c r="U15" s="14">
        <v>0</v>
      </c>
      <c r="V15" s="14" cm="1">
        <f t="array" ref="V15">_xlfn.IFS(J15="Closed",0,J15="Canceled",0,J15="Closed for Receiving",0,TRUE,SUM(R15:S15))+U15</f>
        <v>300000</v>
      </c>
      <c r="W15" s="14"/>
      <c r="X15" s="14">
        <f t="shared" si="3"/>
        <v>300000</v>
      </c>
      <c r="Y15" s="3">
        <v>45777</v>
      </c>
      <c r="Z15" s="30">
        <f>IF(I15&gt;0,_xlfn.DAYS(Y15,I15)/30,0)</f>
        <v>13.4</v>
      </c>
      <c r="AA15" s="1">
        <v>5</v>
      </c>
      <c r="AB15" s="1">
        <f>(COUNTIF($E$4:$E15,$E15)=1)+0</f>
        <v>1</v>
      </c>
      <c r="AC15" s="72">
        <f>N15-M15</f>
        <v>300000</v>
      </c>
    </row>
    <row r="16" spans="3:29" x14ac:dyDescent="0.45">
      <c r="C16" s="11" t="str">
        <f t="shared" si="2"/>
        <v>14057104-13039072-1-1</v>
      </c>
      <c r="D16" s="11">
        <v>14057104</v>
      </c>
      <c r="E16" s="11">
        <v>13039072</v>
      </c>
      <c r="F16" s="12">
        <v>1</v>
      </c>
      <c r="G16" s="12">
        <v>1</v>
      </c>
      <c r="H16" s="13">
        <v>45375</v>
      </c>
      <c r="I16" s="13">
        <v>45426.569374999999</v>
      </c>
      <c r="J16" s="11" t="s">
        <v>15</v>
      </c>
      <c r="K16" s="14">
        <v>562500</v>
      </c>
      <c r="L16" s="14">
        <v>375000</v>
      </c>
      <c r="M16" s="14">
        <v>243750</v>
      </c>
      <c r="N16" s="14">
        <v>63750</v>
      </c>
      <c r="O16" s="21" t="s">
        <v>47</v>
      </c>
      <c r="P16" s="14" t="s">
        <v>57</v>
      </c>
      <c r="Q16" s="11" t="s">
        <v>7</v>
      </c>
      <c r="R16" s="14">
        <v>0</v>
      </c>
      <c r="S16" s="14">
        <f>IF(N16&gt;M16,N16-M16,0)</f>
        <v>0</v>
      </c>
      <c r="T16" s="14">
        <f>N16</f>
        <v>63750</v>
      </c>
      <c r="U16" s="14">
        <v>0</v>
      </c>
      <c r="V16" s="14" cm="1">
        <f t="array" ref="V16">_xlfn.IFS(J16="Closed",0,J16="Canceled",0,J16="Closed for Receiving",0,TRUE,SUM(R16:S16))+U16</f>
        <v>0</v>
      </c>
      <c r="W16" s="14"/>
      <c r="X16" s="14">
        <f t="shared" si="3"/>
        <v>63750</v>
      </c>
      <c r="Y16" s="3">
        <v>45777</v>
      </c>
      <c r="Z16" s="30">
        <f>IF(I16&gt;0,_xlfn.DAYS(Y16,I16)/30,0)</f>
        <v>11.7</v>
      </c>
      <c r="AA16" s="1">
        <v>4</v>
      </c>
      <c r="AB16" s="1">
        <f>(COUNTIF($E$4:$E16,$E16)=1)+0</f>
        <v>1</v>
      </c>
      <c r="AC16" s="72">
        <f>N16-M16</f>
        <v>-180000</v>
      </c>
    </row>
    <row r="17" spans="3:29" x14ac:dyDescent="0.45">
      <c r="C17" s="11" t="str">
        <f t="shared" si="2"/>
        <v>14057104-13039072-2-2</v>
      </c>
      <c r="D17" s="11">
        <v>14057104</v>
      </c>
      <c r="E17" s="11">
        <v>13039072</v>
      </c>
      <c r="F17" s="12">
        <v>2</v>
      </c>
      <c r="G17" s="12">
        <v>2</v>
      </c>
      <c r="H17" s="13">
        <v>45375</v>
      </c>
      <c r="I17" s="13">
        <v>45426.569374999999</v>
      </c>
      <c r="J17" s="11" t="s">
        <v>15</v>
      </c>
      <c r="K17" s="14">
        <v>131250</v>
      </c>
      <c r="L17" s="14">
        <v>93750</v>
      </c>
      <c r="M17" s="14">
        <v>0</v>
      </c>
      <c r="N17" s="14">
        <v>93750</v>
      </c>
      <c r="O17" s="21" t="s">
        <v>47</v>
      </c>
      <c r="P17" s="14" t="s">
        <v>57</v>
      </c>
      <c r="Q17" s="11" t="s">
        <v>7</v>
      </c>
      <c r="R17" s="14">
        <v>0</v>
      </c>
      <c r="S17" s="14">
        <f>IF(N17&gt;M17,N17-M17,0)</f>
        <v>93750</v>
      </c>
      <c r="T17" s="14">
        <f>M17</f>
        <v>0</v>
      </c>
      <c r="U17" s="14">
        <v>0</v>
      </c>
      <c r="V17" s="14" cm="1">
        <f t="array" ref="V17">_xlfn.IFS(J17="Closed",0,J17="Canceled",0,J17="Closed for Receiving",0,TRUE,SUM(R17:S17))+U17</f>
        <v>93750</v>
      </c>
      <c r="W17" s="14"/>
      <c r="X17" s="14">
        <f t="shared" si="3"/>
        <v>93750</v>
      </c>
      <c r="Y17" s="3">
        <v>45777</v>
      </c>
      <c r="Z17" s="30">
        <f>IF(I17&gt;0,_xlfn.DAYS(Y17,I17)/30,0)</f>
        <v>11.7</v>
      </c>
      <c r="AA17" s="1">
        <v>4</v>
      </c>
      <c r="AB17" s="1">
        <f>(COUNTIF($E$4:$E17,$E17)=1)+0</f>
        <v>0</v>
      </c>
      <c r="AC17" s="72">
        <f>N17-M17</f>
        <v>93750</v>
      </c>
    </row>
    <row r="18" spans="3:29" x14ac:dyDescent="0.45">
      <c r="C18" s="11" t="str">
        <f t="shared" si="2"/>
        <v>14057104-13039072-3-3</v>
      </c>
      <c r="D18" s="11">
        <v>14057104</v>
      </c>
      <c r="E18" s="11">
        <v>13039072</v>
      </c>
      <c r="F18" s="12">
        <v>3</v>
      </c>
      <c r="G18" s="12">
        <v>3</v>
      </c>
      <c r="H18" s="13">
        <v>45375</v>
      </c>
      <c r="I18" s="13">
        <v>45426.569374999999</v>
      </c>
      <c r="J18" s="11" t="s">
        <v>15</v>
      </c>
      <c r="K18" s="14">
        <v>187500</v>
      </c>
      <c r="L18" s="14">
        <v>150000</v>
      </c>
      <c r="M18" s="14">
        <v>0</v>
      </c>
      <c r="N18" s="14">
        <v>150000</v>
      </c>
      <c r="O18" s="21" t="s">
        <v>47</v>
      </c>
      <c r="P18" s="14" t="s">
        <v>57</v>
      </c>
      <c r="Q18" s="11" t="s">
        <v>7</v>
      </c>
      <c r="R18" s="14">
        <v>0</v>
      </c>
      <c r="S18" s="14">
        <f>IF(N18&gt;M18,N18-M18,0)</f>
        <v>150000</v>
      </c>
      <c r="T18" s="14">
        <f>M18</f>
        <v>0</v>
      </c>
      <c r="U18" s="14">
        <v>0</v>
      </c>
      <c r="V18" s="14" cm="1">
        <f t="array" ref="V18">_xlfn.IFS(J18="Closed",0,J18="Canceled",0,J18="Closed for Receiving",0,TRUE,SUM(R18:S18))+U18</f>
        <v>150000</v>
      </c>
      <c r="W18" s="14"/>
      <c r="X18" s="14">
        <f t="shared" si="3"/>
        <v>150000</v>
      </c>
      <c r="Y18" s="3">
        <v>45777</v>
      </c>
      <c r="Z18" s="30">
        <f>IF(I18&gt;0,_xlfn.DAYS(Y18,I18)/30,0)</f>
        <v>11.7</v>
      </c>
      <c r="AA18" s="1">
        <v>4</v>
      </c>
      <c r="AB18" s="1">
        <f>(COUNTIF($E$4:$E18,$E18)=1)+0</f>
        <v>0</v>
      </c>
      <c r="AC18" s="72">
        <f>N18-M18</f>
        <v>150000</v>
      </c>
    </row>
    <row r="19" spans="3:29" x14ac:dyDescent="0.45">
      <c r="C19" s="11" t="str">
        <f t="shared" si="2"/>
        <v>14057104-13039072-4-4</v>
      </c>
      <c r="D19" s="11">
        <v>14057104</v>
      </c>
      <c r="E19" s="11">
        <v>13039072</v>
      </c>
      <c r="F19" s="12">
        <v>4</v>
      </c>
      <c r="G19" s="12">
        <v>4</v>
      </c>
      <c r="H19" s="13">
        <v>45375</v>
      </c>
      <c r="I19" s="13">
        <v>45426.569374999999</v>
      </c>
      <c r="J19" s="11" t="s">
        <v>15</v>
      </c>
      <c r="K19" s="14">
        <v>281250</v>
      </c>
      <c r="L19" s="14">
        <v>206250</v>
      </c>
      <c r="M19" s="14">
        <v>0</v>
      </c>
      <c r="N19" s="14">
        <v>206250</v>
      </c>
      <c r="O19" s="21" t="s">
        <v>47</v>
      </c>
      <c r="P19" s="14" t="s">
        <v>57</v>
      </c>
      <c r="Q19" s="11" t="s">
        <v>7</v>
      </c>
      <c r="R19" s="14">
        <v>0</v>
      </c>
      <c r="S19" s="14">
        <f>IF(N19&gt;M19,N19-M19,0)</f>
        <v>206250</v>
      </c>
      <c r="T19" s="14">
        <f>M19</f>
        <v>0</v>
      </c>
      <c r="U19" s="14">
        <v>0</v>
      </c>
      <c r="V19" s="14" cm="1">
        <f t="array" ref="V19">_xlfn.IFS(J19="Closed",0,J19="Canceled",0,J19="Closed for Receiving",0,TRUE,SUM(R19:S19))+U19</f>
        <v>206250</v>
      </c>
      <c r="W19" s="14"/>
      <c r="X19" s="14">
        <f t="shared" si="3"/>
        <v>206250</v>
      </c>
      <c r="Y19" s="3">
        <v>45777</v>
      </c>
      <c r="Z19" s="30">
        <f>IF(I19&gt;0,_xlfn.DAYS(Y19,I19)/30,0)</f>
        <v>11.7</v>
      </c>
      <c r="AA19" s="1">
        <v>4</v>
      </c>
      <c r="AB19" s="1">
        <f>(COUNTIF($E$4:$E19,$E19)=1)+0</f>
        <v>0</v>
      </c>
      <c r="AC19" s="72">
        <f>N19-M19</f>
        <v>206250</v>
      </c>
    </row>
    <row r="20" spans="3:29" x14ac:dyDescent="0.45">
      <c r="C20" s="11" t="str">
        <f t="shared" si="2"/>
        <v>14057104-13039072-5-5</v>
      </c>
      <c r="D20" s="11">
        <v>14057104</v>
      </c>
      <c r="E20" s="11">
        <v>13039072</v>
      </c>
      <c r="F20" s="12">
        <v>5</v>
      </c>
      <c r="G20" s="12">
        <v>5</v>
      </c>
      <c r="H20" s="13">
        <v>45375</v>
      </c>
      <c r="I20" s="13">
        <v>45426.569374999999</v>
      </c>
      <c r="J20" s="11" t="s">
        <v>15</v>
      </c>
      <c r="K20" s="14">
        <v>468750</v>
      </c>
      <c r="L20" s="14">
        <v>450000</v>
      </c>
      <c r="M20" s="14">
        <v>67500</v>
      </c>
      <c r="N20" s="14">
        <v>450000</v>
      </c>
      <c r="O20" s="21" t="s">
        <v>47</v>
      </c>
      <c r="P20" s="14" t="s">
        <v>57</v>
      </c>
      <c r="Q20" s="11" t="s">
        <v>7</v>
      </c>
      <c r="R20" s="14">
        <v>0</v>
      </c>
      <c r="S20" s="14">
        <f>IF(N20&gt;M20,N20-M20,0)</f>
        <v>382500</v>
      </c>
      <c r="T20" s="14">
        <f>M20</f>
        <v>67500</v>
      </c>
      <c r="U20" s="14">
        <v>0</v>
      </c>
      <c r="V20" s="14" cm="1">
        <f t="array" ref="V20">_xlfn.IFS(J20="Closed",0,J20="Canceled",0,J20="Closed for Receiving",0,TRUE,SUM(R20:S20))+U20</f>
        <v>382500</v>
      </c>
      <c r="W20" s="14"/>
      <c r="X20" s="14">
        <f t="shared" si="3"/>
        <v>450000</v>
      </c>
      <c r="Y20" s="3">
        <v>45777</v>
      </c>
      <c r="Z20" s="30">
        <f>IF(I20&gt;0,_xlfn.DAYS(Y20,I20)/30,0)</f>
        <v>11.7</v>
      </c>
      <c r="AA20" s="1">
        <v>4</v>
      </c>
      <c r="AB20" s="1">
        <f>(COUNTIF($E$4:$E20,$E20)=1)+0</f>
        <v>0</v>
      </c>
      <c r="AC20" s="72">
        <f>N20-M20</f>
        <v>382500</v>
      </c>
    </row>
    <row r="21" spans="3:29" x14ac:dyDescent="0.45">
      <c r="C21" s="11" t="str">
        <f t="shared" si="2"/>
        <v>14057104-13039072-6-6</v>
      </c>
      <c r="D21" s="11">
        <v>14057104</v>
      </c>
      <c r="E21" s="11">
        <v>13039072</v>
      </c>
      <c r="F21" s="12">
        <v>6</v>
      </c>
      <c r="G21" s="12">
        <v>6</v>
      </c>
      <c r="H21" s="13">
        <v>45375</v>
      </c>
      <c r="I21" s="13">
        <v>45426.569374999999</v>
      </c>
      <c r="J21" s="11" t="s">
        <v>15</v>
      </c>
      <c r="K21" s="14">
        <v>450000</v>
      </c>
      <c r="L21" s="14">
        <v>450000</v>
      </c>
      <c r="M21" s="14">
        <v>0</v>
      </c>
      <c r="N21" s="14">
        <v>450000</v>
      </c>
      <c r="O21" s="21" t="s">
        <v>47</v>
      </c>
      <c r="P21" s="14" t="s">
        <v>57</v>
      </c>
      <c r="Q21" s="11" t="s">
        <v>7</v>
      </c>
      <c r="R21" s="14">
        <v>0</v>
      </c>
      <c r="S21" s="14">
        <f>IF(N21&gt;M21,N21-M21,0)</f>
        <v>450000</v>
      </c>
      <c r="T21" s="14">
        <f>M21</f>
        <v>0</v>
      </c>
      <c r="U21" s="14">
        <v>0</v>
      </c>
      <c r="V21" s="14" cm="1">
        <f t="array" ref="V21">_xlfn.IFS(J21="Closed",0,J21="Canceled",0,J21="Closed for Receiving",0,TRUE,SUM(R21:S21))+U21</f>
        <v>450000</v>
      </c>
      <c r="W21" s="14"/>
      <c r="X21" s="14">
        <f t="shared" si="3"/>
        <v>450000</v>
      </c>
      <c r="Y21" s="3">
        <v>45777</v>
      </c>
      <c r="Z21" s="30">
        <f>IF(I21&gt;0,_xlfn.DAYS(Y21,I21)/30,0)</f>
        <v>11.7</v>
      </c>
      <c r="AA21" s="1">
        <v>4</v>
      </c>
      <c r="AB21" s="1">
        <f>(COUNTIF($E$4:$E21,$E21)=1)+0</f>
        <v>0</v>
      </c>
      <c r="AC21" s="72">
        <f>N21-M21</f>
        <v>450000</v>
      </c>
    </row>
    <row r="22" spans="3:29" x14ac:dyDescent="0.45">
      <c r="C22" s="11" t="str">
        <f t="shared" si="2"/>
        <v>14057104-13039072-7-7</v>
      </c>
      <c r="D22" s="11">
        <v>14057104</v>
      </c>
      <c r="E22" s="11">
        <v>13039072</v>
      </c>
      <c r="F22" s="12">
        <v>7</v>
      </c>
      <c r="G22" s="12">
        <v>7</v>
      </c>
      <c r="H22" s="13">
        <v>45375</v>
      </c>
      <c r="I22" s="13">
        <v>45426.569374999999</v>
      </c>
      <c r="J22" s="11" t="s">
        <v>15</v>
      </c>
      <c r="K22" s="14">
        <v>337500</v>
      </c>
      <c r="L22" s="14">
        <v>337500</v>
      </c>
      <c r="M22" s="14">
        <v>0</v>
      </c>
      <c r="N22" s="14">
        <v>337500</v>
      </c>
      <c r="O22" s="21" t="s">
        <v>47</v>
      </c>
      <c r="P22" s="14" t="s">
        <v>57</v>
      </c>
      <c r="Q22" s="11" t="s">
        <v>7</v>
      </c>
      <c r="R22" s="14">
        <v>0</v>
      </c>
      <c r="S22" s="14">
        <f>IF(N22&gt;M22,N22-M22,0)</f>
        <v>337500</v>
      </c>
      <c r="T22" s="14">
        <f>M22</f>
        <v>0</v>
      </c>
      <c r="U22" s="14">
        <v>0</v>
      </c>
      <c r="V22" s="14" cm="1">
        <f t="array" ref="V22">_xlfn.IFS(J22="Closed",0,J22="Canceled",0,J22="Closed for Receiving",0,TRUE,SUM(R22:S22))+U22</f>
        <v>337500</v>
      </c>
      <c r="W22" s="14"/>
      <c r="X22" s="14">
        <f t="shared" si="3"/>
        <v>337500</v>
      </c>
      <c r="Y22" s="3">
        <v>45777</v>
      </c>
      <c r="Z22" s="30">
        <f>IF(I22&gt;0,_xlfn.DAYS(Y22,I22)/30,0)</f>
        <v>11.7</v>
      </c>
      <c r="AA22" s="1">
        <v>4</v>
      </c>
      <c r="AB22" s="1">
        <f>(COUNTIF($E$4:$E22,$E22)=1)+0</f>
        <v>0</v>
      </c>
      <c r="AC22" s="72">
        <f>N22-M22</f>
        <v>337500</v>
      </c>
    </row>
    <row r="23" spans="3:29" x14ac:dyDescent="0.45">
      <c r="C23" s="11" t="str">
        <f t="shared" si="2"/>
        <v>14057104-13039072-8-8</v>
      </c>
      <c r="D23" s="11">
        <v>14057104</v>
      </c>
      <c r="E23" s="11">
        <v>13039072</v>
      </c>
      <c r="F23" s="12">
        <v>8</v>
      </c>
      <c r="G23" s="12">
        <v>8</v>
      </c>
      <c r="H23" s="13">
        <v>45375</v>
      </c>
      <c r="I23" s="13">
        <v>45426.569374999999</v>
      </c>
      <c r="J23" s="11" t="s">
        <v>15</v>
      </c>
      <c r="K23" s="14">
        <v>296250</v>
      </c>
      <c r="L23" s="14">
        <v>296250</v>
      </c>
      <c r="M23" s="14">
        <v>0</v>
      </c>
      <c r="N23" s="14">
        <v>296250</v>
      </c>
      <c r="O23" s="21" t="s">
        <v>47</v>
      </c>
      <c r="P23" s="14" t="s">
        <v>57</v>
      </c>
      <c r="Q23" s="11" t="s">
        <v>7</v>
      </c>
      <c r="R23" s="14">
        <v>0</v>
      </c>
      <c r="S23" s="14">
        <f>IF(N23&gt;M23,N23-M23,0)</f>
        <v>296250</v>
      </c>
      <c r="T23" s="14">
        <f>M23</f>
        <v>0</v>
      </c>
      <c r="U23" s="14">
        <v>0</v>
      </c>
      <c r="V23" s="14" cm="1">
        <f t="array" ref="V23">_xlfn.IFS(J23="Closed",0,J23="Canceled",0,J23="Closed for Receiving",0,TRUE,SUM(R23:S23))+U23</f>
        <v>296250</v>
      </c>
      <c r="W23" s="14"/>
      <c r="X23" s="14">
        <f t="shared" si="3"/>
        <v>296250</v>
      </c>
      <c r="Y23" s="3">
        <v>45777</v>
      </c>
      <c r="Z23" s="30">
        <f>IF(I23&gt;0,_xlfn.DAYS(Y23,I23)/30,0)</f>
        <v>11.7</v>
      </c>
      <c r="AA23" s="1">
        <v>4</v>
      </c>
      <c r="AB23" s="1">
        <f>(COUNTIF($E$4:$E23,$E23)=1)+0</f>
        <v>0</v>
      </c>
      <c r="AC23" s="72">
        <f>N23-M23</f>
        <v>296250</v>
      </c>
    </row>
    <row r="24" spans="3:29" x14ac:dyDescent="0.45">
      <c r="C24" s="11" t="str">
        <f t="shared" si="2"/>
        <v>14057104-13039072-9-9</v>
      </c>
      <c r="D24" s="11">
        <v>14057104</v>
      </c>
      <c r="E24" s="11">
        <v>13039072</v>
      </c>
      <c r="F24" s="12">
        <v>9</v>
      </c>
      <c r="G24" s="12">
        <v>9</v>
      </c>
      <c r="H24" s="13">
        <v>45375</v>
      </c>
      <c r="I24" s="13">
        <v>45426.569374999999</v>
      </c>
      <c r="J24" s="11" t="s">
        <v>15</v>
      </c>
      <c r="K24" s="14">
        <v>243750</v>
      </c>
      <c r="L24" s="14">
        <v>56250</v>
      </c>
      <c r="M24" s="14">
        <v>56250</v>
      </c>
      <c r="N24" s="14">
        <v>56250</v>
      </c>
      <c r="O24" s="21" t="s">
        <v>47</v>
      </c>
      <c r="P24" s="14" t="s">
        <v>57</v>
      </c>
      <c r="Q24" s="11" t="s">
        <v>7</v>
      </c>
      <c r="R24" s="14">
        <v>0</v>
      </c>
      <c r="S24" s="14">
        <f>IF(N24&gt;M24,N24-M24,0)</f>
        <v>0</v>
      </c>
      <c r="T24" s="14">
        <f>M24</f>
        <v>56250</v>
      </c>
      <c r="U24" s="14">
        <v>0</v>
      </c>
      <c r="V24" s="14" cm="1">
        <f t="array" ref="V24">_xlfn.IFS(J24="Closed",0,J24="Canceled",0,J24="Closed for Receiving",0,TRUE,SUM(R24:S24))+U24</f>
        <v>0</v>
      </c>
      <c r="W24" s="14"/>
      <c r="X24" s="14">
        <f t="shared" si="3"/>
        <v>56250</v>
      </c>
      <c r="Y24" s="3">
        <v>45777</v>
      </c>
      <c r="Z24" s="30">
        <f>IF(I24&gt;0,_xlfn.DAYS(Y24,I24)/30,0)</f>
        <v>11.7</v>
      </c>
      <c r="AA24" s="1">
        <v>4</v>
      </c>
      <c r="AB24" s="1">
        <f>(COUNTIF($E$4:$E24,$E24)=1)+0</f>
        <v>0</v>
      </c>
      <c r="AC24" s="72">
        <f>N24-M24</f>
        <v>0</v>
      </c>
    </row>
    <row r="25" spans="3:29" x14ac:dyDescent="0.45">
      <c r="C25" s="11" t="str">
        <f t="shared" si="2"/>
        <v>14057104-13039072-10-10</v>
      </c>
      <c r="D25" s="11">
        <v>14057104</v>
      </c>
      <c r="E25" s="11">
        <v>13039072</v>
      </c>
      <c r="F25" s="12">
        <v>10</v>
      </c>
      <c r="G25" s="12">
        <v>10</v>
      </c>
      <c r="H25" s="13">
        <v>45375</v>
      </c>
      <c r="I25" s="13">
        <v>45426.569374999999</v>
      </c>
      <c r="J25" s="11" t="s">
        <v>15</v>
      </c>
      <c r="K25" s="14">
        <v>93750</v>
      </c>
      <c r="L25" s="14">
        <v>93750</v>
      </c>
      <c r="M25" s="14">
        <v>93750</v>
      </c>
      <c r="N25" s="14">
        <v>93750</v>
      </c>
      <c r="O25" s="21" t="s">
        <v>47</v>
      </c>
      <c r="P25" s="14" t="s">
        <v>57</v>
      </c>
      <c r="Q25" s="11" t="s">
        <v>7</v>
      </c>
      <c r="R25" s="14">
        <v>0</v>
      </c>
      <c r="S25" s="14">
        <f>IF(N25&gt;M25,N25-M25,0)</f>
        <v>0</v>
      </c>
      <c r="T25" s="14">
        <f>M25</f>
        <v>93750</v>
      </c>
      <c r="U25" s="14">
        <v>0</v>
      </c>
      <c r="V25" s="14" cm="1">
        <f t="array" ref="V25">_xlfn.IFS(J25="Closed",0,J25="Canceled",0,J25="Closed for Receiving",0,TRUE,SUM(R25:S25))+U25</f>
        <v>0</v>
      </c>
      <c r="W25" s="14"/>
      <c r="X25" s="14">
        <f t="shared" si="3"/>
        <v>93750</v>
      </c>
      <c r="Y25" s="3">
        <v>45777</v>
      </c>
      <c r="Z25" s="30">
        <f>IF(I25&gt;0,_xlfn.DAYS(Y25,I25)/30,0)</f>
        <v>11.7</v>
      </c>
      <c r="AA25" s="1">
        <v>4</v>
      </c>
      <c r="AB25" s="1">
        <f>(COUNTIF($E$4:$E25,$E25)=1)+0</f>
        <v>0</v>
      </c>
      <c r="AC25" s="72">
        <f>N25-M25</f>
        <v>0</v>
      </c>
    </row>
    <row r="26" spans="3:29" x14ac:dyDescent="0.45">
      <c r="C26" s="11" t="str">
        <f t="shared" si="2"/>
        <v>14058538-13038193-1-1</v>
      </c>
      <c r="D26" s="11">
        <v>14058538</v>
      </c>
      <c r="E26" s="11">
        <v>13038193</v>
      </c>
      <c r="F26" s="12">
        <v>1</v>
      </c>
      <c r="G26" s="12">
        <v>1</v>
      </c>
      <c r="H26" s="13">
        <v>45414</v>
      </c>
      <c r="I26" s="13">
        <v>45418.228750000002</v>
      </c>
      <c r="J26" s="11" t="s">
        <v>15</v>
      </c>
      <c r="K26" s="14">
        <v>423750</v>
      </c>
      <c r="L26" s="14">
        <v>295125</v>
      </c>
      <c r="M26" s="14">
        <v>0</v>
      </c>
      <c r="N26" s="14">
        <v>295125</v>
      </c>
      <c r="O26" s="21" t="s">
        <v>47</v>
      </c>
      <c r="P26" s="14" t="s">
        <v>58</v>
      </c>
      <c r="Q26" s="11" t="s">
        <v>7</v>
      </c>
      <c r="R26" s="14">
        <v>0</v>
      </c>
      <c r="S26" s="14">
        <f>IF(N26&gt;M26,N26-M26,0)</f>
        <v>295125</v>
      </c>
      <c r="T26" s="14">
        <f>M26</f>
        <v>0</v>
      </c>
      <c r="U26" s="14">
        <v>0</v>
      </c>
      <c r="V26" s="14" cm="1">
        <f t="array" ref="V26">_xlfn.IFS(J26="Closed",0,J26="Canceled",0,J26="Closed for Receiving",0,TRUE,SUM(R26:S26))+U26</f>
        <v>295125</v>
      </c>
      <c r="W26" s="14"/>
      <c r="X26" s="14">
        <f t="shared" si="3"/>
        <v>295125</v>
      </c>
      <c r="Y26" s="3">
        <v>45777</v>
      </c>
      <c r="Z26" s="30">
        <f>IF(I26&gt;0,_xlfn.DAYS(Y26,I26)/30,0)</f>
        <v>11.966666666666667</v>
      </c>
      <c r="AA26" s="1">
        <v>4</v>
      </c>
      <c r="AB26" s="1">
        <f>(COUNTIF($E$4:$E26,$E26)=1)+0</f>
        <v>1</v>
      </c>
      <c r="AC26" s="72">
        <f>N26-M26</f>
        <v>295125</v>
      </c>
    </row>
    <row r="27" spans="3:29" x14ac:dyDescent="0.45">
      <c r="C27" s="11" t="str">
        <f t="shared" si="2"/>
        <v>14058706-13037212-2-1</v>
      </c>
      <c r="D27" s="11">
        <v>14058706</v>
      </c>
      <c r="E27" s="11">
        <v>13037212</v>
      </c>
      <c r="F27" s="12">
        <v>2</v>
      </c>
      <c r="G27" s="12">
        <v>1</v>
      </c>
      <c r="H27" s="13">
        <v>45418</v>
      </c>
      <c r="I27" s="13">
        <v>45420.432384259257</v>
      </c>
      <c r="J27" s="11" t="s">
        <v>15</v>
      </c>
      <c r="K27" s="14">
        <v>104700</v>
      </c>
      <c r="L27" s="14">
        <v>104700</v>
      </c>
      <c r="M27" s="14">
        <v>4864.5749995859996</v>
      </c>
      <c r="N27" s="14">
        <v>99835.425000414005</v>
      </c>
      <c r="O27" s="21" t="s">
        <v>47</v>
      </c>
      <c r="P27" s="14" t="s">
        <v>51</v>
      </c>
      <c r="Q27" s="11" t="s">
        <v>7</v>
      </c>
      <c r="R27" s="14">
        <v>0</v>
      </c>
      <c r="S27" s="14">
        <f>IF(N27&gt;M27,N27-M27,0)</f>
        <v>94970.85000082801</v>
      </c>
      <c r="T27" s="14">
        <f>M27</f>
        <v>4864.5749995859996</v>
      </c>
      <c r="U27" s="14">
        <v>0</v>
      </c>
      <c r="V27" s="14" cm="1">
        <f t="array" ref="V27">_xlfn.IFS(J27="Closed",0,J27="Canceled",0,J27="Closed for Receiving",0,TRUE,SUM(R27:S27))+U27</f>
        <v>94970.85000082801</v>
      </c>
      <c r="W27" s="14"/>
      <c r="X27" s="14">
        <f t="shared" si="3"/>
        <v>99835.425000414005</v>
      </c>
      <c r="Y27" s="3">
        <v>45777</v>
      </c>
      <c r="Z27" s="30">
        <f>IF(I27&gt;0,_xlfn.DAYS(Y27,I27)/30,0)</f>
        <v>11.9</v>
      </c>
      <c r="AA27" s="1">
        <v>4</v>
      </c>
      <c r="AB27" s="1">
        <f>(COUNTIF($E$4:$E27,$E27)=1)+0</f>
        <v>1</v>
      </c>
      <c r="AC27" s="72">
        <f>N27-M27</f>
        <v>94970.85000082801</v>
      </c>
    </row>
    <row r="28" spans="3:29" x14ac:dyDescent="0.45">
      <c r="C28" s="11" t="str">
        <f t="shared" si="2"/>
        <v>14060672-13038489-1-1</v>
      </c>
      <c r="D28" s="11">
        <v>14060672</v>
      </c>
      <c r="E28" s="11">
        <v>13038489</v>
      </c>
      <c r="F28" s="12">
        <v>1</v>
      </c>
      <c r="G28" s="12">
        <v>1</v>
      </c>
      <c r="H28" s="13">
        <v>45449</v>
      </c>
      <c r="I28" s="13">
        <v>45453.541354166664</v>
      </c>
      <c r="J28" s="11" t="s">
        <v>15</v>
      </c>
      <c r="K28" s="14">
        <v>14500</v>
      </c>
      <c r="L28" s="14">
        <v>14500</v>
      </c>
      <c r="M28" s="14">
        <v>0</v>
      </c>
      <c r="N28" s="14">
        <v>14500</v>
      </c>
      <c r="O28" s="21" t="s">
        <v>47</v>
      </c>
      <c r="P28" s="14" t="s">
        <v>51</v>
      </c>
      <c r="Q28" s="11" t="s">
        <v>8</v>
      </c>
      <c r="R28" s="14">
        <v>0</v>
      </c>
      <c r="S28" s="14">
        <f>IF(N28&gt;M28,N28-M28,0)</f>
        <v>14500</v>
      </c>
      <c r="T28" s="14">
        <f>M28</f>
        <v>0</v>
      </c>
      <c r="U28" s="14">
        <v>0</v>
      </c>
      <c r="V28" s="14" cm="1">
        <f t="array" ref="V28">_xlfn.IFS(J28="Closed",0,J28="Canceled",0,J28="Closed for Receiving",0,TRUE,SUM(R28:S28))+U28</f>
        <v>14500</v>
      </c>
      <c r="W28" s="14"/>
      <c r="X28" s="14">
        <f t="shared" si="3"/>
        <v>14500</v>
      </c>
      <c r="Y28" s="3">
        <v>45777</v>
      </c>
      <c r="Z28" s="30">
        <f>IF(I28&gt;0,_xlfn.DAYS(Y28,I28)/30,0)</f>
        <v>10.8</v>
      </c>
      <c r="AA28" s="1">
        <v>4</v>
      </c>
      <c r="AB28" s="1">
        <f>(COUNTIF($E$4:$E28,$E28)=1)+0</f>
        <v>1</v>
      </c>
      <c r="AC28" s="72">
        <f>N28-M28</f>
        <v>14500</v>
      </c>
    </row>
    <row r="29" spans="3:29" x14ac:dyDescent="0.45">
      <c r="C29" s="11" t="str">
        <f t="shared" si="2"/>
        <v>14061844-13039275-1-1</v>
      </c>
      <c r="D29" s="11">
        <v>14061844</v>
      </c>
      <c r="E29" s="11">
        <v>13039275</v>
      </c>
      <c r="F29" s="12">
        <v>1</v>
      </c>
      <c r="G29" s="12">
        <v>1</v>
      </c>
      <c r="H29" s="13">
        <v>45474</v>
      </c>
      <c r="I29" s="13">
        <v>45482.363738425927</v>
      </c>
      <c r="J29" s="11" t="s">
        <v>17</v>
      </c>
      <c r="K29" s="14">
        <v>22987.113912000001</v>
      </c>
      <c r="L29" s="14">
        <v>23181.396000000001</v>
      </c>
      <c r="M29" s="14">
        <v>23181.396000000001</v>
      </c>
      <c r="N29" s="14">
        <v>23181.396000000001</v>
      </c>
      <c r="O29" s="21" t="s">
        <v>47</v>
      </c>
      <c r="P29" s="14" t="s">
        <v>59</v>
      </c>
      <c r="Q29" s="11" t="s">
        <v>7</v>
      </c>
      <c r="R29" s="14">
        <v>0</v>
      </c>
      <c r="S29" s="14">
        <f>IF(N29&gt;M29,N29-M29,0)</f>
        <v>0</v>
      </c>
      <c r="T29" s="14">
        <f>M29</f>
        <v>23181.396000000001</v>
      </c>
      <c r="U29" s="14">
        <v>0</v>
      </c>
      <c r="V29" s="14" cm="1">
        <f t="array" ref="V29">_xlfn.IFS(J29="Closed",0,J29="Canceled",0,J29="Closed for Receiving",0,TRUE,SUM(R29:S29))+U29</f>
        <v>0</v>
      </c>
      <c r="W29" s="14"/>
      <c r="X29" s="14">
        <f t="shared" si="3"/>
        <v>23181.396000000001</v>
      </c>
      <c r="Z29" s="30">
        <v>0</v>
      </c>
      <c r="AB29" s="1">
        <f>(COUNTIF($E$4:$E29,$E29)=1)+0</f>
        <v>1</v>
      </c>
      <c r="AC29" s="72">
        <f>N29-M29</f>
        <v>0</v>
      </c>
    </row>
    <row r="30" spans="3:29" x14ac:dyDescent="0.45">
      <c r="C30" s="11" t="str">
        <f t="shared" si="2"/>
        <v>14062076-13039561-1-1</v>
      </c>
      <c r="D30" s="11">
        <v>14062076</v>
      </c>
      <c r="E30" s="11">
        <v>13039561</v>
      </c>
      <c r="F30" s="12">
        <v>1</v>
      </c>
      <c r="G30" s="12">
        <v>1</v>
      </c>
      <c r="H30" s="13">
        <v>45476</v>
      </c>
      <c r="I30" s="13">
        <v>45488.531909722224</v>
      </c>
      <c r="J30" s="11" t="s">
        <v>15</v>
      </c>
      <c r="K30" s="14">
        <v>937500</v>
      </c>
      <c r="L30" s="14">
        <v>937500</v>
      </c>
      <c r="M30" s="14">
        <v>750000</v>
      </c>
      <c r="N30" s="14">
        <v>187500</v>
      </c>
      <c r="O30" s="21" t="s">
        <v>47</v>
      </c>
      <c r="P30" s="14" t="s">
        <v>51</v>
      </c>
      <c r="Q30" s="11" t="s">
        <v>8</v>
      </c>
      <c r="R30" s="14">
        <v>0</v>
      </c>
      <c r="S30" s="14">
        <f>IF(N30&gt;M30,N30-M30,0)</f>
        <v>0</v>
      </c>
      <c r="T30" s="14">
        <f>N30</f>
        <v>187500</v>
      </c>
      <c r="U30" s="14">
        <v>0</v>
      </c>
      <c r="V30" s="14" cm="1">
        <f t="array" ref="V30">_xlfn.IFS(J30="Closed",0,J30="Canceled",0,J30="Closed for Receiving",0,TRUE,SUM(R30:S30))+U30</f>
        <v>0</v>
      </c>
      <c r="W30" s="14"/>
      <c r="X30" s="14">
        <f t="shared" si="3"/>
        <v>187500</v>
      </c>
      <c r="Y30" s="3">
        <v>45777</v>
      </c>
      <c r="Z30" s="30">
        <f>IF(I30&gt;0,_xlfn.DAYS(Y30,I30)/30,0)</f>
        <v>9.6333333333333329</v>
      </c>
      <c r="AA30" s="1">
        <v>4</v>
      </c>
      <c r="AB30" s="1">
        <f>(COUNTIF($E$4:$E30,$E30)=1)+0</f>
        <v>1</v>
      </c>
      <c r="AC30" s="72">
        <f>N30-M30</f>
        <v>-562500</v>
      </c>
    </row>
    <row r="31" spans="3:29" x14ac:dyDescent="0.45">
      <c r="C31" s="11" t="str">
        <f t="shared" si="2"/>
        <v>14064794-13041140-1-1</v>
      </c>
      <c r="D31" s="11">
        <v>14064794</v>
      </c>
      <c r="E31" s="11">
        <v>13041140</v>
      </c>
      <c r="F31" s="12">
        <v>1</v>
      </c>
      <c r="G31" s="12">
        <v>1</v>
      </c>
      <c r="H31" s="13">
        <v>45532</v>
      </c>
      <c r="I31" s="13">
        <v>45543.249548611115</v>
      </c>
      <c r="J31" s="11" t="s">
        <v>17</v>
      </c>
      <c r="K31" s="14">
        <v>52772.618619000001</v>
      </c>
      <c r="L31" s="14">
        <v>52749.252380999998</v>
      </c>
      <c r="M31" s="14">
        <v>52749.252380999998</v>
      </c>
      <c r="N31" s="14">
        <v>52749.252380999998</v>
      </c>
      <c r="O31" s="21" t="s">
        <v>47</v>
      </c>
      <c r="P31" s="14" t="s">
        <v>59</v>
      </c>
      <c r="Q31" s="11" t="s">
        <v>7</v>
      </c>
      <c r="R31" s="14">
        <v>0</v>
      </c>
      <c r="S31" s="14">
        <f>IF(N31&gt;M31,N31-M31,0)</f>
        <v>0</v>
      </c>
      <c r="T31" s="14">
        <f>M31</f>
        <v>52749.252380999998</v>
      </c>
      <c r="U31" s="14">
        <v>0</v>
      </c>
      <c r="V31" s="14" cm="1">
        <f t="array" ref="V31">_xlfn.IFS(J31="Closed",0,J31="Canceled",0,J31="Closed for Receiving",0,TRUE,SUM(R31:S31))+U31</f>
        <v>0</v>
      </c>
      <c r="W31" s="14"/>
      <c r="X31" s="14">
        <f t="shared" si="3"/>
        <v>52749.252380999998</v>
      </c>
      <c r="Z31" s="30">
        <v>0</v>
      </c>
      <c r="AB31" s="1">
        <f>(COUNTIF($E$4:$E31,$E31)=1)+0</f>
        <v>1</v>
      </c>
      <c r="AC31" s="72">
        <f>N31-M31</f>
        <v>0</v>
      </c>
    </row>
    <row r="32" spans="3:29" x14ac:dyDescent="0.45">
      <c r="C32" s="11" t="str">
        <f t="shared" si="2"/>
        <v>14064958-13044082-1-1</v>
      </c>
      <c r="D32" s="11">
        <v>14064958</v>
      </c>
      <c r="E32" s="11">
        <v>13044082</v>
      </c>
      <c r="F32" s="12">
        <v>1</v>
      </c>
      <c r="G32" s="12">
        <v>1</v>
      </c>
      <c r="H32" s="13">
        <v>45536</v>
      </c>
      <c r="I32" s="13">
        <v>45552.446863425925</v>
      </c>
      <c r="J32" s="11" t="s">
        <v>15</v>
      </c>
      <c r="K32" s="15">
        <v>3675000</v>
      </c>
      <c r="L32" s="15">
        <v>3281250</v>
      </c>
      <c r="M32" s="15">
        <v>0</v>
      </c>
      <c r="N32" s="15">
        <v>3281250</v>
      </c>
      <c r="O32" s="21" t="s">
        <v>47</v>
      </c>
      <c r="P32" s="14" t="s">
        <v>58</v>
      </c>
      <c r="Q32" s="11" t="s">
        <v>7</v>
      </c>
      <c r="R32" s="14">
        <v>0</v>
      </c>
      <c r="S32" s="14">
        <f>IF(N32&gt;M32,N32-M32,0)</f>
        <v>3281250</v>
      </c>
      <c r="T32" s="14">
        <f>M32</f>
        <v>0</v>
      </c>
      <c r="U32" s="14">
        <v>0</v>
      </c>
      <c r="V32" s="14" cm="1">
        <f t="array" ref="V32">_xlfn.IFS(J32="Closed",0,J32="Canceled",0,J32="Closed for Receiving",0,TRUE,SUM(R32:S32))+U32</f>
        <v>3281250</v>
      </c>
      <c r="W32" s="14"/>
      <c r="X32" s="14">
        <f t="shared" si="3"/>
        <v>3281250</v>
      </c>
      <c r="Y32" s="3">
        <v>45777</v>
      </c>
      <c r="Z32" s="30">
        <f>IF(I32&gt;0,_xlfn.DAYS(Y32,I32)/30,0)</f>
        <v>7.5</v>
      </c>
      <c r="AA32" s="1">
        <v>3</v>
      </c>
      <c r="AB32" s="1">
        <f>(COUNTIF($E$4:$E32,$E32)=1)+0</f>
        <v>1</v>
      </c>
      <c r="AC32" s="72">
        <f>N32-M32</f>
        <v>3281250</v>
      </c>
    </row>
    <row r="33" spans="3:29" x14ac:dyDescent="0.45">
      <c r="C33" s="11" t="str">
        <f t="shared" si="2"/>
        <v>14065292-13041891-1-1</v>
      </c>
      <c r="D33" s="11">
        <v>14065292</v>
      </c>
      <c r="E33" s="11">
        <v>13041891</v>
      </c>
      <c r="F33" s="12">
        <v>1</v>
      </c>
      <c r="G33" s="12">
        <v>1</v>
      </c>
      <c r="H33" s="13">
        <v>45540</v>
      </c>
      <c r="I33" s="13">
        <v>45540.53802083333</v>
      </c>
      <c r="J33" s="11" t="s">
        <v>15</v>
      </c>
      <c r="K33" s="15">
        <v>75000</v>
      </c>
      <c r="L33" s="15">
        <v>75000</v>
      </c>
      <c r="M33" s="15">
        <v>0</v>
      </c>
      <c r="N33" s="15">
        <v>75000</v>
      </c>
      <c r="O33" s="21" t="s">
        <v>47</v>
      </c>
      <c r="P33" s="14" t="s">
        <v>56</v>
      </c>
      <c r="Q33" s="11" t="s">
        <v>7</v>
      </c>
      <c r="R33" s="14">
        <v>0</v>
      </c>
      <c r="S33" s="14">
        <f>IF(N33&gt;M33,N33-M33,0)</f>
        <v>75000</v>
      </c>
      <c r="T33" s="14">
        <f>M33</f>
        <v>0</v>
      </c>
      <c r="U33" s="14">
        <v>0</v>
      </c>
      <c r="V33" s="14" cm="1">
        <f t="array" ref="V33">_xlfn.IFS(J33="Closed",0,J33="Canceled",0,J33="Closed for Receiving",0,TRUE,SUM(R33:S33))+U33</f>
        <v>75000</v>
      </c>
      <c r="W33" s="14">
        <v>0</v>
      </c>
      <c r="X33" s="14">
        <f>+T33+V33+W33</f>
        <v>75000</v>
      </c>
      <c r="Y33" s="3">
        <v>45777</v>
      </c>
      <c r="Z33" s="30">
        <f>IF(I33&gt;0,_xlfn.DAYS(Y33,I33)/30,0)</f>
        <v>7.9</v>
      </c>
      <c r="AA33" s="1">
        <v>3</v>
      </c>
      <c r="AB33" s="1">
        <f>(COUNTIF($E$4:$E33,$E33)=1)+0</f>
        <v>1</v>
      </c>
      <c r="AC33" s="72">
        <f>N33-M33</f>
        <v>75000</v>
      </c>
    </row>
    <row r="34" spans="3:29" x14ac:dyDescent="0.45">
      <c r="C34" s="11" t="str">
        <f t="shared" si="2"/>
        <v>14066609-13042318-1-1</v>
      </c>
      <c r="D34" s="11">
        <v>14066609</v>
      </c>
      <c r="E34" s="11">
        <v>13042318</v>
      </c>
      <c r="F34" s="12">
        <v>1</v>
      </c>
      <c r="G34" s="12">
        <v>1</v>
      </c>
      <c r="H34" s="13">
        <v>45565</v>
      </c>
      <c r="I34" s="13">
        <v>45571.343148148146</v>
      </c>
      <c r="J34" s="11" t="s">
        <v>17</v>
      </c>
      <c r="K34" s="15">
        <v>393750</v>
      </c>
      <c r="L34" s="15">
        <v>393750</v>
      </c>
      <c r="M34" s="15">
        <v>393750</v>
      </c>
      <c r="N34" s="15">
        <v>393750</v>
      </c>
      <c r="O34" s="21" t="s">
        <v>47</v>
      </c>
      <c r="P34" s="14" t="s">
        <v>51</v>
      </c>
      <c r="Q34" s="11" t="s">
        <v>7</v>
      </c>
      <c r="R34" s="14">
        <v>0</v>
      </c>
      <c r="S34" s="14">
        <f>IF(N34&gt;M34,N34-M34,0)</f>
        <v>0</v>
      </c>
      <c r="T34" s="14">
        <f>M34</f>
        <v>393750</v>
      </c>
      <c r="U34" s="14">
        <v>0</v>
      </c>
      <c r="V34" s="14" cm="1">
        <f t="array" ref="V34">_xlfn.IFS(J34="Closed",0,J34="Canceled",0,J34="Closed for Receiving",0,TRUE,SUM(R34:S34))+U34</f>
        <v>0</v>
      </c>
      <c r="W34" s="14">
        <v>0</v>
      </c>
      <c r="X34" s="14">
        <f t="shared" ref="X34:X60" si="4">+T34+V34+W34</f>
        <v>393750</v>
      </c>
      <c r="Z34" s="30">
        <v>0</v>
      </c>
      <c r="AB34" s="1">
        <f>(COUNTIF($E$4:$E34,$E34)=1)+0</f>
        <v>1</v>
      </c>
      <c r="AC34" s="72">
        <f>N34-M34</f>
        <v>0</v>
      </c>
    </row>
    <row r="35" spans="3:29" x14ac:dyDescent="0.45">
      <c r="C35" s="11" t="str">
        <f t="shared" si="2"/>
        <v>14070394-13044892-1-1</v>
      </c>
      <c r="D35" s="11">
        <v>14070394</v>
      </c>
      <c r="E35" s="11">
        <v>13044892</v>
      </c>
      <c r="F35" s="12">
        <v>1</v>
      </c>
      <c r="G35" s="12">
        <v>1</v>
      </c>
      <c r="H35" s="13">
        <v>45627</v>
      </c>
      <c r="I35" s="13">
        <v>45628.49391203704</v>
      </c>
      <c r="J35" s="11" t="s">
        <v>15</v>
      </c>
      <c r="K35" s="15">
        <v>19500</v>
      </c>
      <c r="L35" s="15">
        <v>19500</v>
      </c>
      <c r="M35" s="15">
        <v>9750</v>
      </c>
      <c r="N35" s="15">
        <v>9750</v>
      </c>
      <c r="O35" s="21" t="s">
        <v>47</v>
      </c>
      <c r="P35" s="26" t="s">
        <v>51</v>
      </c>
      <c r="Q35" s="11" t="s">
        <v>7</v>
      </c>
      <c r="R35" s="14">
        <v>0</v>
      </c>
      <c r="S35" s="14">
        <v>0</v>
      </c>
      <c r="T35" s="14">
        <f>M35</f>
        <v>9750</v>
      </c>
      <c r="U35" s="14">
        <v>0</v>
      </c>
      <c r="V35" s="14" cm="1">
        <f t="array" ref="V35">_xlfn.IFS(J35="Closed",0,J35="Canceled",0,J35="Closed for Receiving",0,TRUE,SUM(R35:S35))+U35</f>
        <v>0</v>
      </c>
      <c r="W35" s="14">
        <v>0</v>
      </c>
      <c r="X35" s="14">
        <f t="shared" si="4"/>
        <v>9750</v>
      </c>
      <c r="Y35" s="3">
        <v>45777</v>
      </c>
      <c r="Z35" s="30">
        <f>IF(I35&gt;0,_xlfn.DAYS(Y35,I35)/30,0)</f>
        <v>4.9666666666666668</v>
      </c>
      <c r="AA35" s="1">
        <v>2</v>
      </c>
      <c r="AB35" s="1">
        <f>(COUNTIF($E$4:$E35,$E35)=1)+0</f>
        <v>1</v>
      </c>
      <c r="AC35" s="72">
        <f>N35-M35</f>
        <v>0</v>
      </c>
    </row>
    <row r="36" spans="3:29" x14ac:dyDescent="0.45">
      <c r="C36" s="11" t="str">
        <f t="shared" si="2"/>
        <v>14071195-13046536-1-1</v>
      </c>
      <c r="D36" s="11">
        <v>14071195</v>
      </c>
      <c r="E36" s="11">
        <v>13046536</v>
      </c>
      <c r="F36" s="12">
        <v>1</v>
      </c>
      <c r="G36" s="12">
        <v>1</v>
      </c>
      <c r="H36" s="13">
        <v>45641</v>
      </c>
      <c r="I36" s="13">
        <v>45641.616840277777</v>
      </c>
      <c r="J36" s="11" t="s">
        <v>15</v>
      </c>
      <c r="K36" s="14">
        <v>108900</v>
      </c>
      <c r="L36" s="14">
        <v>107250</v>
      </c>
      <c r="M36" s="14">
        <v>0</v>
      </c>
      <c r="N36" s="14">
        <v>108900</v>
      </c>
      <c r="O36" s="21" t="s">
        <v>47</v>
      </c>
      <c r="P36" s="14" t="s">
        <v>53</v>
      </c>
      <c r="Q36" s="11" t="s">
        <v>8</v>
      </c>
      <c r="R36" s="14">
        <v>0</v>
      </c>
      <c r="S36" s="14">
        <f>IF(N36&gt;M36,N36-M36,0)</f>
        <v>108900</v>
      </c>
      <c r="T36" s="14">
        <f>M36</f>
        <v>0</v>
      </c>
      <c r="U36" s="14">
        <v>0</v>
      </c>
      <c r="V36" s="14" cm="1">
        <f t="array" ref="V36">_xlfn.IFS(J36="Closed",0,J36="Canceled",0,J36="Closed for Receiving",0,TRUE,SUM(R36:S36))+U36</f>
        <v>108900</v>
      </c>
      <c r="W36" s="14"/>
      <c r="X36" s="14">
        <f t="shared" si="4"/>
        <v>108900</v>
      </c>
      <c r="Y36" s="3">
        <v>45777</v>
      </c>
      <c r="Z36" s="30">
        <f>IF(I36&gt;0,_xlfn.DAYS(Y36,I36)/30,0)</f>
        <v>4.5333333333333332</v>
      </c>
      <c r="AA36" s="1">
        <v>2</v>
      </c>
      <c r="AB36" s="1">
        <f>(COUNTIF($E$4:$E36,$E36)=1)+0</f>
        <v>1</v>
      </c>
      <c r="AC36" s="72">
        <f>N36-M36</f>
        <v>108900</v>
      </c>
    </row>
    <row r="37" spans="3:29" x14ac:dyDescent="0.45">
      <c r="C37" s="11" t="str">
        <f t="shared" si="2"/>
        <v>14071200-13045776-1-1</v>
      </c>
      <c r="D37" s="11">
        <v>14071200</v>
      </c>
      <c r="E37" s="11">
        <v>13045776</v>
      </c>
      <c r="F37" s="12">
        <v>1</v>
      </c>
      <c r="G37" s="12">
        <v>1</v>
      </c>
      <c r="H37" s="13">
        <v>45641</v>
      </c>
      <c r="I37" s="13">
        <v>45641.616932870369</v>
      </c>
      <c r="J37" s="11" t="s">
        <v>17</v>
      </c>
      <c r="K37" s="14">
        <v>23100</v>
      </c>
      <c r="L37" s="14">
        <v>17820</v>
      </c>
      <c r="M37" s="14">
        <v>17820</v>
      </c>
      <c r="N37" s="14">
        <v>17820</v>
      </c>
      <c r="O37" s="21" t="s">
        <v>47</v>
      </c>
      <c r="P37" s="14" t="s">
        <v>53</v>
      </c>
      <c r="Q37" s="11" t="s">
        <v>8</v>
      </c>
      <c r="R37" s="14">
        <v>0</v>
      </c>
      <c r="S37" s="14">
        <f>IF(N37&gt;M37,N37-M37,0)</f>
        <v>0</v>
      </c>
      <c r="T37" s="14">
        <f>M37</f>
        <v>17820</v>
      </c>
      <c r="U37" s="14">
        <v>0</v>
      </c>
      <c r="V37" s="14" cm="1">
        <f t="array" ref="V37">_xlfn.IFS(J37="Closed",0,J37="Canceled",0,J37="Closed for Receiving",0,TRUE,SUM(R37:S37))+U37</f>
        <v>0</v>
      </c>
      <c r="W37" s="14"/>
      <c r="X37" s="14">
        <f t="shared" si="4"/>
        <v>17820</v>
      </c>
      <c r="Z37" s="30">
        <v>0</v>
      </c>
      <c r="AB37" s="1">
        <f>(COUNTIF($E$4:$E37,$E37)=1)+0</f>
        <v>1</v>
      </c>
      <c r="AC37" s="72">
        <f>N37-M37</f>
        <v>0</v>
      </c>
    </row>
    <row r="38" spans="3:29" x14ac:dyDescent="0.45">
      <c r="C38" s="11" t="str">
        <f t="shared" si="2"/>
        <v>14071220-13047214-1-1</v>
      </c>
      <c r="D38" s="11">
        <v>14071220</v>
      </c>
      <c r="E38" s="11">
        <v>13047214</v>
      </c>
      <c r="F38" s="12">
        <v>1</v>
      </c>
      <c r="G38" s="12">
        <v>1</v>
      </c>
      <c r="H38" s="13">
        <v>45641</v>
      </c>
      <c r="I38" s="13">
        <v>45648.267175925925</v>
      </c>
      <c r="J38" s="11" t="s">
        <v>15</v>
      </c>
      <c r="K38" s="14">
        <v>69930</v>
      </c>
      <c r="L38" s="14">
        <v>69930</v>
      </c>
      <c r="M38" s="15">
        <v>63825</v>
      </c>
      <c r="N38" s="14">
        <v>69930</v>
      </c>
      <c r="O38" s="21" t="s">
        <v>47</v>
      </c>
      <c r="P38" s="14" t="s">
        <v>71</v>
      </c>
      <c r="Q38" s="11" t="s">
        <v>7</v>
      </c>
      <c r="R38" s="14">
        <v>0</v>
      </c>
      <c r="S38" s="14">
        <f>IF(N38&gt;M38,N38-M38,0)</f>
        <v>6105</v>
      </c>
      <c r="T38" s="14">
        <f>M38</f>
        <v>63825</v>
      </c>
      <c r="U38" s="14">
        <v>0</v>
      </c>
      <c r="V38" s="14" cm="1">
        <f t="array" ref="V38">_xlfn.IFS(J38="Closed",0,J38="Canceled",0,J38="Closed for Receiving",0,TRUE,SUM(R38:S38))+U38</f>
        <v>6105</v>
      </c>
      <c r="W38" s="14"/>
      <c r="X38" s="14">
        <f t="shared" si="4"/>
        <v>69930</v>
      </c>
      <c r="Y38" s="3">
        <v>45777</v>
      </c>
      <c r="Z38" s="30">
        <f>IF(I38&gt;0,_xlfn.DAYS(Y38,I38)/30,0)</f>
        <v>4.3</v>
      </c>
      <c r="AA38" s="1">
        <v>2</v>
      </c>
      <c r="AB38" s="1">
        <f>(COUNTIF($E$4:$E38,$E38)=1)+0</f>
        <v>1</v>
      </c>
      <c r="AC38" s="72">
        <f>N38-M38</f>
        <v>6105</v>
      </c>
    </row>
    <row r="39" spans="3:29" x14ac:dyDescent="0.45">
      <c r="C39" s="11" t="str">
        <f t="shared" si="2"/>
        <v>14071220-13047214-2-2</v>
      </c>
      <c r="D39" s="11">
        <v>14071220</v>
      </c>
      <c r="E39" s="11">
        <v>13047214</v>
      </c>
      <c r="F39" s="12">
        <v>2</v>
      </c>
      <c r="G39" s="12">
        <v>2</v>
      </c>
      <c r="H39" s="13">
        <v>45641</v>
      </c>
      <c r="I39" s="13">
        <v>45648.267175925925</v>
      </c>
      <c r="J39" s="11" t="s">
        <v>15</v>
      </c>
      <c r="K39" s="14">
        <v>62370</v>
      </c>
      <c r="L39" s="14">
        <v>62370</v>
      </c>
      <c r="M39" s="15">
        <v>62370</v>
      </c>
      <c r="N39" s="14">
        <v>62370</v>
      </c>
      <c r="O39" s="21" t="s">
        <v>47</v>
      </c>
      <c r="P39" s="14" t="s">
        <v>71</v>
      </c>
      <c r="Q39" s="11" t="s">
        <v>7</v>
      </c>
      <c r="R39" s="14">
        <v>0</v>
      </c>
      <c r="S39" s="14">
        <f>IF(N39&gt;M39,N39-M39,0)</f>
        <v>0</v>
      </c>
      <c r="T39" s="14">
        <f>M39</f>
        <v>62370</v>
      </c>
      <c r="U39" s="14">
        <v>0</v>
      </c>
      <c r="V39" s="14" cm="1">
        <f t="array" ref="V39">_xlfn.IFS(J39="Closed",0,J39="Canceled",0,J39="Closed for Receiving",0,TRUE,SUM(R39:S39))+U39</f>
        <v>0</v>
      </c>
      <c r="W39" s="14"/>
      <c r="X39" s="14">
        <f t="shared" si="4"/>
        <v>62370</v>
      </c>
      <c r="Y39" s="3">
        <v>45777</v>
      </c>
      <c r="Z39" s="30">
        <f>IF(I39&gt;0,_xlfn.DAYS(Y39,I39)/30,0)</f>
        <v>4.3</v>
      </c>
      <c r="AA39" s="1">
        <v>2</v>
      </c>
      <c r="AB39" s="1">
        <f>(COUNTIF($E$4:$E39,$E39)=1)+0</f>
        <v>0</v>
      </c>
      <c r="AC39" s="72">
        <f>N39-M39</f>
        <v>0</v>
      </c>
    </row>
    <row r="40" spans="3:29" x14ac:dyDescent="0.45">
      <c r="C40" s="11" t="str">
        <f t="shared" si="2"/>
        <v>14071231-13046311-1-1</v>
      </c>
      <c r="D40" s="11">
        <v>14071231</v>
      </c>
      <c r="E40" s="11">
        <v>13046311</v>
      </c>
      <c r="F40" s="12">
        <v>1</v>
      </c>
      <c r="G40" s="12">
        <v>1</v>
      </c>
      <c r="H40" s="13">
        <v>45641</v>
      </c>
      <c r="I40" s="13">
        <v>45652.494652777779</v>
      </c>
      <c r="J40" s="11" t="s">
        <v>15</v>
      </c>
      <c r="K40" s="14">
        <v>1176000</v>
      </c>
      <c r="L40" s="14">
        <v>1176000</v>
      </c>
      <c r="M40" s="14">
        <v>0</v>
      </c>
      <c r="N40" s="14">
        <v>1176000</v>
      </c>
      <c r="O40" s="21" t="s">
        <v>47</v>
      </c>
      <c r="P40" s="14" t="s">
        <v>51</v>
      </c>
      <c r="Q40" s="11" t="s">
        <v>8</v>
      </c>
      <c r="R40" s="14">
        <v>0</v>
      </c>
      <c r="S40" s="14">
        <f>IF(N40&gt;M40,N40-M40,0)</f>
        <v>1176000</v>
      </c>
      <c r="T40" s="14">
        <f>M40</f>
        <v>0</v>
      </c>
      <c r="U40" s="14">
        <v>0</v>
      </c>
      <c r="V40" s="14" cm="1">
        <f t="array" ref="V40">_xlfn.IFS(J40="Closed",0,J40="Canceled",0,J40="Closed for Receiving",0,TRUE,SUM(R40:S40))+U40</f>
        <v>1176000</v>
      </c>
      <c r="W40" s="14"/>
      <c r="X40" s="14">
        <f t="shared" si="4"/>
        <v>1176000</v>
      </c>
      <c r="Y40" s="3">
        <v>45777</v>
      </c>
      <c r="Z40" s="30">
        <f>IF(I40&gt;0,_xlfn.DAYS(Y40,I40)/30,0)</f>
        <v>4.166666666666667</v>
      </c>
      <c r="AA40" s="1">
        <v>2</v>
      </c>
      <c r="AB40" s="1">
        <f>(COUNTIF($E$4:$E40,$E40)=1)+0</f>
        <v>1</v>
      </c>
      <c r="AC40" s="72">
        <f>N40-M40</f>
        <v>1176000</v>
      </c>
    </row>
    <row r="41" spans="3:29" x14ac:dyDescent="0.45">
      <c r="C41" s="11" t="str">
        <f t="shared" si="2"/>
        <v>14071231-13046311-2-2</v>
      </c>
      <c r="D41" s="11">
        <v>14071231</v>
      </c>
      <c r="E41" s="11">
        <v>13046311</v>
      </c>
      <c r="F41" s="12">
        <v>2</v>
      </c>
      <c r="G41" s="12">
        <v>2</v>
      </c>
      <c r="H41" s="13">
        <v>45641</v>
      </c>
      <c r="I41" s="13">
        <v>45652.494652777779</v>
      </c>
      <c r="J41" s="11" t="s">
        <v>15</v>
      </c>
      <c r="K41" s="14">
        <v>18600</v>
      </c>
      <c r="L41" s="14">
        <v>18600</v>
      </c>
      <c r="M41" s="14">
        <v>0</v>
      </c>
      <c r="N41" s="14">
        <v>18600</v>
      </c>
      <c r="O41" s="21" t="s">
        <v>47</v>
      </c>
      <c r="P41" s="14" t="s">
        <v>51</v>
      </c>
      <c r="Q41" s="11" t="s">
        <v>8</v>
      </c>
      <c r="R41" s="14">
        <v>0</v>
      </c>
      <c r="S41" s="14">
        <f>IF(N41&gt;M41,N41-M41,0)</f>
        <v>18600</v>
      </c>
      <c r="T41" s="14">
        <f>M41</f>
        <v>0</v>
      </c>
      <c r="U41" s="14">
        <v>0</v>
      </c>
      <c r="V41" s="14" cm="1">
        <f t="array" ref="V41">_xlfn.IFS(J41="Closed",0,J41="Canceled",0,J41="Closed for Receiving",0,TRUE,SUM(R41:S41))+U41</f>
        <v>18600</v>
      </c>
      <c r="W41" s="14"/>
      <c r="X41" s="14">
        <f t="shared" si="4"/>
        <v>18600</v>
      </c>
      <c r="Y41" s="3">
        <v>45777</v>
      </c>
      <c r="Z41" s="30">
        <f>IF(I41&gt;0,_xlfn.DAYS(Y41,I41)/30,0)</f>
        <v>4.166666666666667</v>
      </c>
      <c r="AA41" s="1">
        <v>2</v>
      </c>
      <c r="AB41" s="1">
        <f>(COUNTIF($E$4:$E41,$E41)=1)+0</f>
        <v>0</v>
      </c>
      <c r="AC41" s="72">
        <f>N41-M41</f>
        <v>18600</v>
      </c>
    </row>
    <row r="42" spans="3:29" x14ac:dyDescent="0.45">
      <c r="C42" s="11" t="str">
        <f t="shared" si="2"/>
        <v>14071231-13046311-3-3</v>
      </c>
      <c r="D42" s="11">
        <v>14071231</v>
      </c>
      <c r="E42" s="11">
        <v>13046311</v>
      </c>
      <c r="F42" s="12">
        <v>3</v>
      </c>
      <c r="G42" s="12">
        <v>3</v>
      </c>
      <c r="H42" s="13">
        <v>45641</v>
      </c>
      <c r="I42" s="13">
        <v>45652.494652777779</v>
      </c>
      <c r="J42" s="11" t="s">
        <v>15</v>
      </c>
      <c r="K42" s="14">
        <v>12800</v>
      </c>
      <c r="L42" s="14">
        <v>12800</v>
      </c>
      <c r="M42" s="14">
        <v>0</v>
      </c>
      <c r="N42" s="14">
        <v>12800</v>
      </c>
      <c r="O42" s="21" t="s">
        <v>47</v>
      </c>
      <c r="P42" s="14" t="s">
        <v>51</v>
      </c>
      <c r="Q42" s="11" t="s">
        <v>8</v>
      </c>
      <c r="R42" s="14">
        <v>0</v>
      </c>
      <c r="S42" s="14">
        <f>IF(N42&gt;M42,N42-M42,0)</f>
        <v>12800</v>
      </c>
      <c r="T42" s="14">
        <f>M42</f>
        <v>0</v>
      </c>
      <c r="U42" s="14">
        <v>0</v>
      </c>
      <c r="V42" s="14" cm="1">
        <f t="array" ref="V42">_xlfn.IFS(J42="Closed",0,J42="Canceled",0,J42="Closed for Receiving",0,TRUE,SUM(R42:S42))+U42</f>
        <v>12800</v>
      </c>
      <c r="W42" s="14"/>
      <c r="X42" s="14">
        <f t="shared" si="4"/>
        <v>12800</v>
      </c>
      <c r="Y42" s="3">
        <v>45777</v>
      </c>
      <c r="Z42" s="30">
        <f>IF(I42&gt;0,_xlfn.DAYS(Y42,I42)/30,0)</f>
        <v>4.166666666666667</v>
      </c>
      <c r="AA42" s="1">
        <v>2</v>
      </c>
      <c r="AB42" s="1">
        <f>(COUNTIF($E$4:$E42,$E42)=1)+0</f>
        <v>0</v>
      </c>
      <c r="AC42" s="72">
        <f>N42-M42</f>
        <v>12800</v>
      </c>
    </row>
    <row r="43" spans="3:29" x14ac:dyDescent="0.45">
      <c r="C43" s="11" t="str">
        <f t="shared" si="2"/>
        <v>14071231-13046311-4-4</v>
      </c>
      <c r="D43" s="11">
        <v>14071231</v>
      </c>
      <c r="E43" s="11">
        <v>13046311</v>
      </c>
      <c r="F43" s="12">
        <v>4</v>
      </c>
      <c r="G43" s="12">
        <v>4</v>
      </c>
      <c r="H43" s="13">
        <v>45641</v>
      </c>
      <c r="I43" s="13">
        <v>45652.494652777779</v>
      </c>
      <c r="J43" s="11" t="s">
        <v>15</v>
      </c>
      <c r="K43" s="14">
        <v>91200</v>
      </c>
      <c r="L43" s="14">
        <v>91200</v>
      </c>
      <c r="M43" s="14">
        <v>0</v>
      </c>
      <c r="N43" s="14">
        <v>91200</v>
      </c>
      <c r="O43" s="21" t="s">
        <v>47</v>
      </c>
      <c r="P43" s="14" t="s">
        <v>51</v>
      </c>
      <c r="Q43" s="11" t="s">
        <v>8</v>
      </c>
      <c r="R43" s="14">
        <v>0</v>
      </c>
      <c r="S43" s="14">
        <f>IF(N43&gt;M43,N43-M43,0)</f>
        <v>91200</v>
      </c>
      <c r="T43" s="14">
        <f>M43</f>
        <v>0</v>
      </c>
      <c r="U43" s="14">
        <v>0</v>
      </c>
      <c r="V43" s="14" cm="1">
        <f t="array" ref="V43">_xlfn.IFS(J43="Closed",0,J43="Canceled",0,J43="Closed for Receiving",0,TRUE,SUM(R43:S43))+U43</f>
        <v>91200</v>
      </c>
      <c r="W43" s="14"/>
      <c r="X43" s="14">
        <f t="shared" si="4"/>
        <v>91200</v>
      </c>
      <c r="Y43" s="3">
        <v>45777</v>
      </c>
      <c r="Z43" s="30">
        <f>IF(I43&gt;0,_xlfn.DAYS(Y43,I43)/30,0)</f>
        <v>4.166666666666667</v>
      </c>
      <c r="AA43" s="1">
        <v>2</v>
      </c>
      <c r="AB43" s="1">
        <f>(COUNTIF($E$4:$E43,$E43)=1)+0</f>
        <v>0</v>
      </c>
      <c r="AC43" s="72">
        <f>N43-M43</f>
        <v>91200</v>
      </c>
    </row>
    <row r="44" spans="3:29" x14ac:dyDescent="0.45">
      <c r="C44" s="11" t="str">
        <f t="shared" si="2"/>
        <v>14071231-13046311-5-5</v>
      </c>
      <c r="D44" s="11">
        <v>14071231</v>
      </c>
      <c r="E44" s="11">
        <v>13046311</v>
      </c>
      <c r="F44" s="12">
        <v>5</v>
      </c>
      <c r="G44" s="12">
        <v>5</v>
      </c>
      <c r="H44" s="13">
        <v>45641</v>
      </c>
      <c r="I44" s="13">
        <v>45652.494652777779</v>
      </c>
      <c r="J44" s="11" t="s">
        <v>15</v>
      </c>
      <c r="K44" s="14">
        <v>3570</v>
      </c>
      <c r="L44" s="14">
        <v>3570</v>
      </c>
      <c r="M44" s="14">
        <v>0</v>
      </c>
      <c r="N44" s="14">
        <v>3570</v>
      </c>
      <c r="O44" s="21" t="s">
        <v>47</v>
      </c>
      <c r="P44" s="14" t="s">
        <v>51</v>
      </c>
      <c r="Q44" s="11" t="s">
        <v>8</v>
      </c>
      <c r="R44" s="14">
        <v>0</v>
      </c>
      <c r="S44" s="14">
        <f>IF(N44&gt;M44,N44-M44,0)</f>
        <v>3570</v>
      </c>
      <c r="T44" s="14">
        <f>M44</f>
        <v>0</v>
      </c>
      <c r="U44" s="14">
        <v>0</v>
      </c>
      <c r="V44" s="14" cm="1">
        <f t="array" ref="V44">_xlfn.IFS(J44="Closed",0,J44="Canceled",0,J44="Closed for Receiving",0,TRUE,SUM(R44:S44))+U44</f>
        <v>3570</v>
      </c>
      <c r="W44" s="14"/>
      <c r="X44" s="14">
        <f t="shared" si="4"/>
        <v>3570</v>
      </c>
      <c r="Y44" s="3">
        <v>45777</v>
      </c>
      <c r="Z44" s="30">
        <f>IF(I44&gt;0,_xlfn.DAYS(Y44,I44)/30,0)</f>
        <v>4.166666666666667</v>
      </c>
      <c r="AA44" s="1">
        <v>2</v>
      </c>
      <c r="AB44" s="1">
        <f>(COUNTIF($E$4:$E44,$E44)=1)+0</f>
        <v>0</v>
      </c>
      <c r="AC44" s="72">
        <f>N44-M44</f>
        <v>3570</v>
      </c>
    </row>
    <row r="45" spans="3:29" x14ac:dyDescent="0.45">
      <c r="C45" s="11" t="str">
        <f t="shared" si="2"/>
        <v>14071231-13046311-6-6</v>
      </c>
      <c r="D45" s="11">
        <v>14071231</v>
      </c>
      <c r="E45" s="11">
        <v>13046311</v>
      </c>
      <c r="F45" s="12">
        <v>6</v>
      </c>
      <c r="G45" s="12">
        <v>6</v>
      </c>
      <c r="H45" s="13">
        <v>45641</v>
      </c>
      <c r="I45" s="13">
        <v>45652.494652777779</v>
      </c>
      <c r="J45" s="11" t="s">
        <v>15</v>
      </c>
      <c r="K45" s="14">
        <v>244960</v>
      </c>
      <c r="L45" s="14">
        <v>244960</v>
      </c>
      <c r="M45" s="14">
        <v>0</v>
      </c>
      <c r="N45" s="14">
        <v>244960</v>
      </c>
      <c r="O45" s="21" t="s">
        <v>47</v>
      </c>
      <c r="P45" s="14" t="s">
        <v>51</v>
      </c>
      <c r="Q45" s="11" t="s">
        <v>8</v>
      </c>
      <c r="R45" s="14">
        <v>0</v>
      </c>
      <c r="S45" s="14">
        <f>IF(N45&gt;M45,N45-M45,0)</f>
        <v>244960</v>
      </c>
      <c r="T45" s="14">
        <f>M45</f>
        <v>0</v>
      </c>
      <c r="U45" s="14">
        <v>0</v>
      </c>
      <c r="V45" s="14" cm="1">
        <f t="array" ref="V45">_xlfn.IFS(J45="Closed",0,J45="Canceled",0,J45="Closed for Receiving",0,TRUE,SUM(R45:S45))+U45</f>
        <v>244960</v>
      </c>
      <c r="W45" s="14"/>
      <c r="X45" s="14">
        <f t="shared" si="4"/>
        <v>244960</v>
      </c>
      <c r="Y45" s="3">
        <v>45777</v>
      </c>
      <c r="Z45" s="30">
        <f>IF(I45&gt;0,_xlfn.DAYS(Y45,I45)/30,0)</f>
        <v>4.166666666666667</v>
      </c>
      <c r="AA45" s="1">
        <v>2</v>
      </c>
      <c r="AB45" s="1">
        <f>(COUNTIF($E$4:$E45,$E45)=1)+0</f>
        <v>0</v>
      </c>
      <c r="AC45" s="72">
        <f>N45-M45</f>
        <v>244960</v>
      </c>
    </row>
    <row r="46" spans="3:29" x14ac:dyDescent="0.45">
      <c r="C46" s="11" t="str">
        <f t="shared" si="2"/>
        <v>14071303-13046150-1-1</v>
      </c>
      <c r="D46" s="11">
        <v>14071303</v>
      </c>
      <c r="E46" s="11">
        <v>13046150</v>
      </c>
      <c r="F46" s="12">
        <v>1</v>
      </c>
      <c r="G46" s="12">
        <v>1</v>
      </c>
      <c r="H46" s="13">
        <v>45643</v>
      </c>
      <c r="I46" s="13">
        <v>45645.290196759262</v>
      </c>
      <c r="J46" s="11" t="s">
        <v>17</v>
      </c>
      <c r="K46" s="14">
        <v>376514.14</v>
      </c>
      <c r="L46" s="14">
        <v>371102.85588971101</v>
      </c>
      <c r="M46" s="14">
        <v>371102.85588971101</v>
      </c>
      <c r="N46" s="14">
        <v>376514.14</v>
      </c>
      <c r="O46" s="21" t="s">
        <v>47</v>
      </c>
      <c r="P46" s="14" t="s">
        <v>53</v>
      </c>
      <c r="Q46" s="11" t="s">
        <v>7</v>
      </c>
      <c r="R46" s="14">
        <v>0</v>
      </c>
      <c r="S46" s="14">
        <f>IF(N46&gt;M46,L46-M46,0)</f>
        <v>0</v>
      </c>
      <c r="T46" s="14">
        <f>M46</f>
        <v>371102.85588971101</v>
      </c>
      <c r="U46" s="14">
        <v>0</v>
      </c>
      <c r="V46" s="14" cm="1">
        <f t="array" ref="V46">_xlfn.IFS(J46="Closed",0,J46="Canceled",0,J46="Closed for Receiving",0,TRUE,SUM(R46:S46))+U46</f>
        <v>0</v>
      </c>
      <c r="W46" s="14"/>
      <c r="X46" s="14">
        <f t="shared" si="4"/>
        <v>371102.85588971101</v>
      </c>
      <c r="Z46" s="30">
        <v>0</v>
      </c>
      <c r="AB46" s="1">
        <f>(COUNTIF($E$4:$E46,$E46)=1)+0</f>
        <v>1</v>
      </c>
      <c r="AC46" s="72">
        <f>N46-M46</f>
        <v>5411.2841102890088</v>
      </c>
    </row>
    <row r="47" spans="3:29" x14ac:dyDescent="0.45">
      <c r="C47" s="11" t="str">
        <f t="shared" si="2"/>
        <v>14071672-13047183-1-1</v>
      </c>
      <c r="D47" s="11">
        <v>14071672</v>
      </c>
      <c r="E47" s="11">
        <v>13047183</v>
      </c>
      <c r="F47" s="12">
        <v>1</v>
      </c>
      <c r="G47" s="12">
        <v>1</v>
      </c>
      <c r="H47" s="13">
        <v>45650</v>
      </c>
      <c r="I47" s="13">
        <v>45657.138773148145</v>
      </c>
      <c r="J47" s="11" t="s">
        <v>17</v>
      </c>
      <c r="K47" s="14">
        <v>200</v>
      </c>
      <c r="L47" s="14">
        <v>200</v>
      </c>
      <c r="M47" s="15">
        <v>200</v>
      </c>
      <c r="N47" s="14">
        <v>200</v>
      </c>
      <c r="O47" s="21" t="s">
        <v>47</v>
      </c>
      <c r="P47" s="14" t="s">
        <v>51</v>
      </c>
      <c r="Q47" s="11" t="s">
        <v>8</v>
      </c>
      <c r="R47" s="14">
        <v>0</v>
      </c>
      <c r="S47" s="14">
        <f>IF(N47&gt;M47,N47-M47,0)</f>
        <v>0</v>
      </c>
      <c r="T47" s="14">
        <f>M47</f>
        <v>200</v>
      </c>
      <c r="U47" s="14">
        <v>0</v>
      </c>
      <c r="V47" s="14" cm="1">
        <f t="array" ref="V47">_xlfn.IFS(J47="Closed",0,J47="Canceled",0,J47="Closed for Receiving",0,TRUE,SUM(R47:S47))+U47</f>
        <v>0</v>
      </c>
      <c r="W47" s="14"/>
      <c r="X47" s="14">
        <f t="shared" si="4"/>
        <v>200</v>
      </c>
      <c r="Z47" s="30">
        <v>0</v>
      </c>
      <c r="AB47" s="1">
        <f>(COUNTIF($E$4:$E47,$E47)=1)+0</f>
        <v>1</v>
      </c>
      <c r="AC47" s="72">
        <f>N47-M47</f>
        <v>0</v>
      </c>
    </row>
    <row r="48" spans="3:29" x14ac:dyDescent="0.45">
      <c r="C48" s="11" t="str">
        <f t="shared" si="2"/>
        <v>14071677-13048206-1-1</v>
      </c>
      <c r="D48" s="11">
        <v>14071677</v>
      </c>
      <c r="E48" s="11">
        <v>13048206</v>
      </c>
      <c r="F48" s="12">
        <v>1</v>
      </c>
      <c r="G48" s="12">
        <v>1</v>
      </c>
      <c r="H48" s="13">
        <v>45650</v>
      </c>
      <c r="I48" s="13">
        <v>45655.332280092596</v>
      </c>
      <c r="J48" s="11" t="s">
        <v>17</v>
      </c>
      <c r="K48" s="14">
        <v>87750</v>
      </c>
      <c r="L48" s="14">
        <v>87750</v>
      </c>
      <c r="M48" s="14">
        <v>87750</v>
      </c>
      <c r="N48" s="14">
        <v>87750</v>
      </c>
      <c r="O48" s="21" t="s">
        <v>47</v>
      </c>
      <c r="P48" s="14" t="s">
        <v>51</v>
      </c>
      <c r="Q48" s="11" t="s">
        <v>7</v>
      </c>
      <c r="R48" s="14">
        <v>0</v>
      </c>
      <c r="S48" s="14">
        <f>IF(N48&gt;M48,N48-M48,0)</f>
        <v>0</v>
      </c>
      <c r="T48" s="14">
        <f>M48</f>
        <v>87750</v>
      </c>
      <c r="U48" s="14">
        <v>0</v>
      </c>
      <c r="V48" s="14" cm="1">
        <f t="array" ref="V48">_xlfn.IFS(J48="Closed",0,J48="Canceled",0,J48="Closed for Receiving",0,TRUE,SUM(R48:S48))+U48</f>
        <v>0</v>
      </c>
      <c r="W48" s="14"/>
      <c r="X48" s="14">
        <f t="shared" si="4"/>
        <v>87750</v>
      </c>
      <c r="Z48" s="30">
        <v>0</v>
      </c>
      <c r="AB48" s="1">
        <f>(COUNTIF($E$4:$E48,$E48)=1)+0</f>
        <v>1</v>
      </c>
      <c r="AC48" s="72">
        <f>N48-M48</f>
        <v>0</v>
      </c>
    </row>
    <row r="49" spans="3:29" x14ac:dyDescent="0.45">
      <c r="C49" s="11" t="str">
        <f t="shared" si="2"/>
        <v>14071678-13046026-1-1</v>
      </c>
      <c r="D49" s="11">
        <v>14071678</v>
      </c>
      <c r="E49" s="11">
        <v>13046026</v>
      </c>
      <c r="F49" s="12">
        <v>1</v>
      </c>
      <c r="G49" s="12">
        <v>1</v>
      </c>
      <c r="H49" s="13">
        <v>45650</v>
      </c>
      <c r="I49" s="13">
        <v>45652.481863425928</v>
      </c>
      <c r="J49" s="11" t="s">
        <v>15</v>
      </c>
      <c r="K49" s="14">
        <v>30000</v>
      </c>
      <c r="L49" s="14">
        <v>30000</v>
      </c>
      <c r="M49" s="14">
        <v>0</v>
      </c>
      <c r="N49" s="14">
        <v>30000</v>
      </c>
      <c r="O49" s="21" t="s">
        <v>47</v>
      </c>
      <c r="P49" s="14" t="s">
        <v>60</v>
      </c>
      <c r="Q49" s="11" t="s">
        <v>7</v>
      </c>
      <c r="R49" s="14">
        <v>0</v>
      </c>
      <c r="S49" s="14">
        <f>IF(N49&gt;M49,N49-M49,0)</f>
        <v>30000</v>
      </c>
      <c r="T49" s="14">
        <f>M49</f>
        <v>0</v>
      </c>
      <c r="U49" s="14">
        <v>0</v>
      </c>
      <c r="V49" s="14" cm="1">
        <f t="array" ref="V49">_xlfn.IFS(J49="Closed",0,J49="Canceled",0,J49="Closed for Receiving",0,TRUE,SUM(R49:S49))+U49</f>
        <v>30000</v>
      </c>
      <c r="W49" s="14"/>
      <c r="X49" s="14">
        <f t="shared" si="4"/>
        <v>30000</v>
      </c>
      <c r="Y49" s="3">
        <v>45777</v>
      </c>
      <c r="Z49" s="30">
        <f>IF(I49&gt;0,_xlfn.DAYS(Y49,I49)/30,0)</f>
        <v>4.166666666666667</v>
      </c>
      <c r="AA49" s="1">
        <v>2</v>
      </c>
      <c r="AB49" s="1">
        <f>(COUNTIF($E$4:$E49,$E49)=1)+0</f>
        <v>1</v>
      </c>
      <c r="AC49" s="72">
        <f>N49-M49</f>
        <v>30000</v>
      </c>
    </row>
    <row r="50" spans="3:29" x14ac:dyDescent="0.45">
      <c r="C50" s="11" t="str">
        <f t="shared" si="2"/>
        <v>14071747-13047271-1-1</v>
      </c>
      <c r="D50" s="11">
        <v>14071747</v>
      </c>
      <c r="E50" s="11">
        <v>13047271</v>
      </c>
      <c r="F50" s="12">
        <v>1</v>
      </c>
      <c r="G50" s="12">
        <v>1</v>
      </c>
      <c r="H50" s="13">
        <v>45651</v>
      </c>
      <c r="I50" s="13">
        <v>45656.599918981483</v>
      </c>
      <c r="J50" s="11" t="s">
        <v>17</v>
      </c>
      <c r="K50" s="14">
        <v>93600</v>
      </c>
      <c r="L50" s="14">
        <v>87360</v>
      </c>
      <c r="M50" s="14">
        <v>87360</v>
      </c>
      <c r="N50" s="14">
        <v>93600</v>
      </c>
      <c r="O50" s="21" t="s">
        <v>47</v>
      </c>
      <c r="P50" s="14" t="s">
        <v>51</v>
      </c>
      <c r="Q50" s="11" t="s">
        <v>8</v>
      </c>
      <c r="R50" s="14">
        <v>0</v>
      </c>
      <c r="S50" s="14">
        <f>IF(N50&gt;M50,N50-M50,0)</f>
        <v>6240</v>
      </c>
      <c r="T50" s="14">
        <f>M50</f>
        <v>87360</v>
      </c>
      <c r="U50" s="14" cm="1">
        <f t="array" ref="U50">-_xlfn.IFS(J50="Closed",0,J51="Canceled",0,E50&gt;0,R50,E50=0,0)</f>
        <v>0</v>
      </c>
      <c r="V50" s="14" cm="1">
        <f t="array" ref="V50">_xlfn.IFS(J50="Closed",0,J50="Canceled",0,J50="Closed for Receiving",0,TRUE,SUM(R50:S50))+U50</f>
        <v>0</v>
      </c>
      <c r="W50" s="14"/>
      <c r="X50" s="14">
        <f t="shared" si="4"/>
        <v>87360</v>
      </c>
      <c r="Z50" s="30">
        <v>0</v>
      </c>
      <c r="AB50" s="1">
        <f>(COUNTIF($E$4:$E50,$E50)=1)+0</f>
        <v>1</v>
      </c>
      <c r="AC50" s="72">
        <f>N50-M50</f>
        <v>6240</v>
      </c>
    </row>
    <row r="51" spans="3:29" x14ac:dyDescent="0.45">
      <c r="C51" s="11" t="str">
        <f t="shared" si="2"/>
        <v>14071747-13047271-2-2</v>
      </c>
      <c r="D51" s="11">
        <v>14071747</v>
      </c>
      <c r="E51" s="11">
        <v>13047271</v>
      </c>
      <c r="F51" s="12">
        <v>2</v>
      </c>
      <c r="G51" s="12">
        <v>2</v>
      </c>
      <c r="H51" s="13">
        <v>45651</v>
      </c>
      <c r="I51" s="13">
        <v>45656.599918981483</v>
      </c>
      <c r="J51" s="11" t="s">
        <v>17</v>
      </c>
      <c r="K51" s="14">
        <v>25200</v>
      </c>
      <c r="L51" s="14">
        <v>25200</v>
      </c>
      <c r="M51" s="14">
        <v>25200</v>
      </c>
      <c r="N51" s="14">
        <v>25200</v>
      </c>
      <c r="O51" s="21" t="s">
        <v>47</v>
      </c>
      <c r="P51" s="14" t="s">
        <v>51</v>
      </c>
      <c r="Q51" s="11" t="s">
        <v>8</v>
      </c>
      <c r="R51" s="14">
        <v>0</v>
      </c>
      <c r="S51" s="14">
        <f>IF(N51&gt;M51,N51-M51,0)</f>
        <v>0</v>
      </c>
      <c r="T51" s="14">
        <f>M51</f>
        <v>25200</v>
      </c>
      <c r="U51" s="14" cm="1">
        <f t="array" ref="U51">-_xlfn.IFS(J51="Closed",0,J52="Canceled",0,E51&gt;0,R51,E51=0,0)</f>
        <v>0</v>
      </c>
      <c r="V51" s="14" cm="1">
        <f t="array" ref="V51">_xlfn.IFS(J51="Closed",0,J51="Canceled",0,J51="Closed for Receiving",0,TRUE,SUM(R51:S51))+U51</f>
        <v>0</v>
      </c>
      <c r="W51" s="14"/>
      <c r="X51" s="14">
        <f t="shared" si="4"/>
        <v>25200</v>
      </c>
      <c r="Z51" s="30">
        <v>0</v>
      </c>
      <c r="AB51" s="1">
        <f>(COUNTIF($E$4:$E51,$E51)=1)+0</f>
        <v>0</v>
      </c>
      <c r="AC51" s="72">
        <f>N51-M51</f>
        <v>0</v>
      </c>
    </row>
    <row r="52" spans="3:29" x14ac:dyDescent="0.45">
      <c r="C52" s="11" t="str">
        <f t="shared" si="2"/>
        <v>14071747-13047271-3-3</v>
      </c>
      <c r="D52" s="11">
        <v>14071747</v>
      </c>
      <c r="E52" s="11">
        <v>13047271</v>
      </c>
      <c r="F52" s="12">
        <v>3</v>
      </c>
      <c r="G52" s="12">
        <v>3</v>
      </c>
      <c r="H52" s="13">
        <v>45651</v>
      </c>
      <c r="I52" s="13">
        <v>45656.599918981483</v>
      </c>
      <c r="J52" s="11" t="s">
        <v>17</v>
      </c>
      <c r="K52" s="14">
        <v>3750</v>
      </c>
      <c r="L52" s="14">
        <v>3750</v>
      </c>
      <c r="M52" s="14">
        <v>3750</v>
      </c>
      <c r="N52" s="14">
        <v>3750</v>
      </c>
      <c r="O52" s="21" t="s">
        <v>47</v>
      </c>
      <c r="P52" s="14" t="s">
        <v>51</v>
      </c>
      <c r="Q52" s="11" t="s">
        <v>27</v>
      </c>
      <c r="R52" s="14">
        <v>0</v>
      </c>
      <c r="S52" s="14">
        <f>IF(N52&gt;M52,N52-M52,0)</f>
        <v>0</v>
      </c>
      <c r="T52" s="14">
        <f>M52</f>
        <v>3750</v>
      </c>
      <c r="U52" s="14" cm="1">
        <f t="array" ref="U52">-_xlfn.IFS(J52="Closed",0,J53="Canceled",0,E52&gt;0,R52,E52=0,0)</f>
        <v>0</v>
      </c>
      <c r="V52" s="14" cm="1">
        <f t="array" ref="V52">_xlfn.IFS(J52="Closed",0,J52="Canceled",0,J52="Closed for Receiving",0,TRUE,SUM(R52:S52))+U52</f>
        <v>0</v>
      </c>
      <c r="W52" s="14"/>
      <c r="X52" s="14">
        <f t="shared" si="4"/>
        <v>3750</v>
      </c>
      <c r="Z52" s="30">
        <v>0</v>
      </c>
      <c r="AB52" s="1">
        <f>(COUNTIF($E$4:$E52,$E52)=1)+0</f>
        <v>0</v>
      </c>
      <c r="AC52" s="72">
        <f>N52-M52</f>
        <v>0</v>
      </c>
    </row>
    <row r="53" spans="3:29" x14ac:dyDescent="0.45">
      <c r="C53" s="11" t="str">
        <f t="shared" si="2"/>
        <v>14071747-13047271-4-4</v>
      </c>
      <c r="D53" s="11">
        <v>14071747</v>
      </c>
      <c r="E53" s="11">
        <v>13047271</v>
      </c>
      <c r="F53" s="12">
        <v>4</v>
      </c>
      <c r="G53" s="12">
        <v>4</v>
      </c>
      <c r="H53" s="13">
        <v>45651</v>
      </c>
      <c r="I53" s="13">
        <v>45656.599918981483</v>
      </c>
      <c r="J53" s="11" t="s">
        <v>17</v>
      </c>
      <c r="K53" s="14">
        <v>1360</v>
      </c>
      <c r="L53" s="14">
        <v>1360</v>
      </c>
      <c r="M53" s="14">
        <v>1360</v>
      </c>
      <c r="N53" s="14">
        <v>1360</v>
      </c>
      <c r="O53" s="21" t="s">
        <v>47</v>
      </c>
      <c r="P53" s="14" t="s">
        <v>51</v>
      </c>
      <c r="Q53" s="11" t="s">
        <v>8</v>
      </c>
      <c r="R53" s="14">
        <v>0</v>
      </c>
      <c r="S53" s="14">
        <f>IF(N53&gt;M53,N53-M53,0)</f>
        <v>0</v>
      </c>
      <c r="T53" s="14">
        <f>M53</f>
        <v>1360</v>
      </c>
      <c r="U53" s="14" cm="1">
        <f t="array" ref="U53">-_xlfn.IFS(J53="Closed",0,J54="Canceled",0,E53&gt;0,R53,E53=0,0)</f>
        <v>0</v>
      </c>
      <c r="V53" s="14" cm="1">
        <f t="array" ref="V53">_xlfn.IFS(J53="Closed",0,J53="Canceled",0,J53="Closed for Receiving",0,TRUE,SUM(R53:S53))+U53</f>
        <v>0</v>
      </c>
      <c r="W53" s="14"/>
      <c r="X53" s="14">
        <f t="shared" si="4"/>
        <v>1360</v>
      </c>
      <c r="Z53" s="30">
        <v>0</v>
      </c>
      <c r="AB53" s="1">
        <f>(COUNTIF($E$4:$E53,$E53)=1)+0</f>
        <v>0</v>
      </c>
      <c r="AC53" s="72">
        <f>N53-M53</f>
        <v>0</v>
      </c>
    </row>
    <row r="54" spans="3:29" x14ac:dyDescent="0.45">
      <c r="C54" s="11" t="str">
        <f t="shared" si="2"/>
        <v>14071747-13047271-5-5</v>
      </c>
      <c r="D54" s="11">
        <v>14071747</v>
      </c>
      <c r="E54" s="11">
        <v>13047271</v>
      </c>
      <c r="F54" s="12">
        <v>5</v>
      </c>
      <c r="G54" s="12">
        <v>5</v>
      </c>
      <c r="H54" s="13">
        <v>45651</v>
      </c>
      <c r="I54" s="13">
        <v>45656.599918981483</v>
      </c>
      <c r="J54" s="11" t="s">
        <v>17</v>
      </c>
      <c r="K54" s="14">
        <v>40560</v>
      </c>
      <c r="L54" s="14">
        <v>40560</v>
      </c>
      <c r="M54" s="14">
        <v>40560</v>
      </c>
      <c r="N54" s="14">
        <v>40560</v>
      </c>
      <c r="O54" s="21" t="s">
        <v>47</v>
      </c>
      <c r="P54" s="14" t="s">
        <v>51</v>
      </c>
      <c r="Q54" s="11" t="s">
        <v>8</v>
      </c>
      <c r="R54" s="14">
        <v>0</v>
      </c>
      <c r="S54" s="14">
        <f>IF(N54&gt;M54,N54-M54,0)</f>
        <v>0</v>
      </c>
      <c r="T54" s="14">
        <f>M54</f>
        <v>40560</v>
      </c>
      <c r="U54" s="14" cm="1">
        <f t="array" ref="U54">-_xlfn.IFS(J54="Closed",0,J55="Canceled",0,E54&gt;0,R54,E54=0,0)</f>
        <v>0</v>
      </c>
      <c r="V54" s="14" cm="1">
        <f t="array" ref="V54">_xlfn.IFS(J54="Closed",0,J54="Canceled",0,J54="Closed for Receiving",0,TRUE,SUM(R54:S54))+U54</f>
        <v>0</v>
      </c>
      <c r="W54" s="14"/>
      <c r="X54" s="14">
        <f t="shared" ref="X54" si="5">+T54+V54+W54</f>
        <v>40560</v>
      </c>
      <c r="Z54" s="30">
        <v>0</v>
      </c>
      <c r="AB54" s="1">
        <f>(COUNTIF($E$4:$E54,$E54)=1)+0</f>
        <v>0</v>
      </c>
      <c r="AC54" s="72">
        <f>N54-M54</f>
        <v>0</v>
      </c>
    </row>
    <row r="55" spans="3:29" x14ac:dyDescent="0.45">
      <c r="C55" s="11" t="str">
        <f t="shared" si="2"/>
        <v>14071747-13047271-6-6</v>
      </c>
      <c r="D55" s="11">
        <v>14071747</v>
      </c>
      <c r="E55" s="11">
        <v>13047271</v>
      </c>
      <c r="F55" s="12">
        <v>6</v>
      </c>
      <c r="G55" s="12">
        <v>6</v>
      </c>
      <c r="H55" s="13">
        <v>45651</v>
      </c>
      <c r="I55" s="13">
        <v>45656.599918981483</v>
      </c>
      <c r="J55" s="11" t="s">
        <v>17</v>
      </c>
      <c r="K55" s="15">
        <v>575</v>
      </c>
      <c r="L55" s="15">
        <v>575</v>
      </c>
      <c r="M55" s="15">
        <v>575</v>
      </c>
      <c r="N55" s="15">
        <v>575</v>
      </c>
      <c r="O55" s="21" t="s">
        <v>47</v>
      </c>
      <c r="P55" s="14" t="s">
        <v>51</v>
      </c>
      <c r="Q55" s="11" t="s">
        <v>8</v>
      </c>
      <c r="R55" s="14">
        <v>0</v>
      </c>
      <c r="S55" s="14">
        <f>IF(N55&gt;M55,N55-M55,0)</f>
        <v>0</v>
      </c>
      <c r="T55" s="14">
        <f>M55</f>
        <v>575</v>
      </c>
      <c r="U55" s="14" cm="1">
        <f t="array" ref="U55">-_xlfn.IFS(J55="Closed",0,J56="Canceled",0,E55&gt;0,R55,E55=0,0)</f>
        <v>0</v>
      </c>
      <c r="V55" s="14" cm="1">
        <f t="array" ref="V55">_xlfn.IFS(J55="Closed",0,J55="Canceled",0,J55="Closed for Receiving",0,TRUE,SUM(R55:S55))+U55</f>
        <v>0</v>
      </c>
      <c r="W55" s="14"/>
      <c r="X55" s="14">
        <f t="shared" si="4"/>
        <v>575</v>
      </c>
      <c r="Z55" s="30">
        <v>0</v>
      </c>
      <c r="AB55" s="1">
        <f>(COUNTIF($E$4:$E55,$E55)=1)+0</f>
        <v>0</v>
      </c>
      <c r="AC55" s="72">
        <f>N55-M55</f>
        <v>0</v>
      </c>
    </row>
    <row r="56" spans="3:29" x14ac:dyDescent="0.45">
      <c r="C56" s="11" t="str">
        <f t="shared" si="2"/>
        <v>14071749-13047889-1-1</v>
      </c>
      <c r="D56" s="11">
        <v>14071749</v>
      </c>
      <c r="E56" s="11">
        <v>13047889</v>
      </c>
      <c r="F56" s="12">
        <v>1</v>
      </c>
      <c r="G56" s="12">
        <v>1</v>
      </c>
      <c r="H56" s="13">
        <v>45651</v>
      </c>
      <c r="I56" s="13">
        <v>45655.452615740738</v>
      </c>
      <c r="J56" s="11" t="s">
        <v>15</v>
      </c>
      <c r="K56" s="15">
        <v>7000</v>
      </c>
      <c r="L56" s="15">
        <v>7000</v>
      </c>
      <c r="M56" s="15">
        <v>0</v>
      </c>
      <c r="N56" s="15">
        <v>7000</v>
      </c>
      <c r="O56" s="21" t="s">
        <v>47</v>
      </c>
      <c r="P56" s="14" t="s">
        <v>51</v>
      </c>
      <c r="Q56" s="11" t="s">
        <v>27</v>
      </c>
      <c r="R56" s="14">
        <v>0</v>
      </c>
      <c r="S56" s="14">
        <f>IF(N56&gt;M56,N56-M56,0)</f>
        <v>7000</v>
      </c>
      <c r="T56" s="14">
        <f>M56</f>
        <v>0</v>
      </c>
      <c r="U56" s="14" cm="1">
        <f t="array" ref="U56">-_xlfn.IFS(J56="Closed",0,J57="Canceled",0,E56&gt;0,R56,E56=0,0)</f>
        <v>0</v>
      </c>
      <c r="V56" s="14" cm="1">
        <f t="array" ref="V56">_xlfn.IFS(J56="Closed",0,J56="Canceled",0,J56="Closed for Receiving",0,TRUE,SUM(R56:S56))+U56</f>
        <v>7000</v>
      </c>
      <c r="W56" s="14"/>
      <c r="X56" s="14">
        <f t="shared" si="4"/>
        <v>7000</v>
      </c>
      <c r="Y56" s="3">
        <v>45777</v>
      </c>
      <c r="Z56" s="30">
        <f>IF(I56&gt;0,_xlfn.DAYS(Y56,I56)/30,0)</f>
        <v>4.0666666666666664</v>
      </c>
      <c r="AA56" s="1">
        <v>2</v>
      </c>
      <c r="AB56" s="1">
        <f>(COUNTIF($E$4:$E56,$E56)=1)+0</f>
        <v>1</v>
      </c>
      <c r="AC56" s="72">
        <f>N56-M56</f>
        <v>7000</v>
      </c>
    </row>
    <row r="57" spans="3:29" x14ac:dyDescent="0.45">
      <c r="C57" s="11" t="str">
        <f t="shared" si="2"/>
        <v>14071749-13047889-2-2</v>
      </c>
      <c r="D57" s="11">
        <v>14071749</v>
      </c>
      <c r="E57" s="11">
        <v>13047889</v>
      </c>
      <c r="F57" s="12">
        <v>2</v>
      </c>
      <c r="G57" s="12">
        <v>2</v>
      </c>
      <c r="H57" s="13">
        <v>45651</v>
      </c>
      <c r="I57" s="13">
        <v>45655.452615740738</v>
      </c>
      <c r="J57" s="11" t="s">
        <v>15</v>
      </c>
      <c r="K57" s="15">
        <v>32500</v>
      </c>
      <c r="L57" s="15">
        <v>32500</v>
      </c>
      <c r="M57" s="15">
        <v>0</v>
      </c>
      <c r="N57" s="15">
        <v>32500</v>
      </c>
      <c r="O57" s="21" t="s">
        <v>47</v>
      </c>
      <c r="P57" s="14" t="s">
        <v>51</v>
      </c>
      <c r="Q57" s="11" t="s">
        <v>8</v>
      </c>
      <c r="R57" s="14">
        <v>0</v>
      </c>
      <c r="S57" s="14">
        <f>IF(N57&gt;M57,N57-M57,0)</f>
        <v>32500</v>
      </c>
      <c r="T57" s="14">
        <f>M57</f>
        <v>0</v>
      </c>
      <c r="U57" s="14" cm="1">
        <f t="array" ref="U57">-_xlfn.IFS(J57="Closed",0,J59="Canceled",0,E57&gt;0,R57,E57=0,0)</f>
        <v>0</v>
      </c>
      <c r="V57" s="14" cm="1">
        <f t="array" ref="V57">_xlfn.IFS(J57="Closed",0,J57="Canceled",0,J57="Closed for Receiving",0,TRUE,SUM(R57:S57))+U57</f>
        <v>32500</v>
      </c>
      <c r="W57" s="14"/>
      <c r="X57" s="14">
        <f t="shared" si="4"/>
        <v>32500</v>
      </c>
      <c r="Y57" s="3">
        <v>45777</v>
      </c>
      <c r="Z57" s="30">
        <f>IF(I57&gt;0,_xlfn.DAYS(Y57,I57)/30,0)</f>
        <v>4.0666666666666664</v>
      </c>
      <c r="AA57" s="1">
        <v>2</v>
      </c>
      <c r="AB57" s="1">
        <f>(COUNTIF($E$4:$E57,$E57)=1)+0</f>
        <v>0</v>
      </c>
      <c r="AC57" s="72">
        <f>N57-M57</f>
        <v>32500</v>
      </c>
    </row>
    <row r="58" spans="3:29" x14ac:dyDescent="0.45">
      <c r="C58" s="11" t="str">
        <f t="shared" si="2"/>
        <v>14044370-13026867-2-3</v>
      </c>
      <c r="D58" s="11">
        <v>14044370</v>
      </c>
      <c r="E58" s="11">
        <v>13026867</v>
      </c>
      <c r="F58" s="12">
        <v>2</v>
      </c>
      <c r="G58" s="12">
        <v>3</v>
      </c>
      <c r="H58" s="13">
        <v>45125</v>
      </c>
      <c r="I58" s="13">
        <v>45131.311550925922</v>
      </c>
      <c r="J58" s="11" t="s">
        <v>15</v>
      </c>
      <c r="K58" s="15">
        <v>4200000</v>
      </c>
      <c r="L58" s="15">
        <v>4188967.5</v>
      </c>
      <c r="M58" s="15">
        <v>4017634.1569415801</v>
      </c>
      <c r="N58" s="15">
        <v>453070.84301597998</v>
      </c>
      <c r="O58" s="21" t="s">
        <v>47</v>
      </c>
      <c r="P58" s="14" t="s">
        <v>51</v>
      </c>
      <c r="Q58" s="11" t="s">
        <v>7</v>
      </c>
      <c r="R58" s="14">
        <v>0</v>
      </c>
      <c r="S58" s="14">
        <f>IF(N58&gt;M58,N58-M58,0)</f>
        <v>0</v>
      </c>
      <c r="T58" s="14">
        <f>N58</f>
        <v>453070.84301597998</v>
      </c>
      <c r="U58" s="14" cm="1">
        <f t="array" ref="U58">-_xlfn.IFS(J58="Closed",0,J60="Canceled",0,E58&gt;0,R58,E58=0,0)</f>
        <v>0</v>
      </c>
      <c r="V58" s="14" cm="1">
        <f t="array" ref="V58">_xlfn.IFS(J58="Closed",0,J58="Canceled",0,J58="Closed for Receiving",0,TRUE,SUM(R58:S58))+U58</f>
        <v>0</v>
      </c>
      <c r="W58" s="14"/>
      <c r="X58" s="14">
        <f t="shared" ref="X58" si="6">+T58+V58+W58</f>
        <v>453070.84301597998</v>
      </c>
      <c r="Y58" s="3">
        <v>45777</v>
      </c>
      <c r="Z58" s="30">
        <f>IF(I58&gt;0,_xlfn.DAYS(Y58,I58)/30,0)</f>
        <v>21.533333333333335</v>
      </c>
      <c r="AA58" s="1">
        <v>5</v>
      </c>
      <c r="AB58" s="1">
        <f>(COUNTIF($E$4:$E58,$E58)=1)+0</f>
        <v>1</v>
      </c>
      <c r="AC58" s="72">
        <f>N58-M58</f>
        <v>-3564563.3139256001</v>
      </c>
    </row>
    <row r="59" spans="3:29" x14ac:dyDescent="0.45">
      <c r="C59" s="16" t="str">
        <f t="shared" si="2"/>
        <v>14069092-13048270-1-1</v>
      </c>
      <c r="D59" s="16">
        <v>14069092</v>
      </c>
      <c r="E59" s="16">
        <v>13048270</v>
      </c>
      <c r="F59" s="17">
        <v>1</v>
      </c>
      <c r="G59" s="17">
        <v>1</v>
      </c>
      <c r="H59" s="18">
        <v>45658</v>
      </c>
      <c r="I59" s="18">
        <v>45621.248425925929</v>
      </c>
      <c r="J59" s="16" t="s">
        <v>15</v>
      </c>
      <c r="K59" s="85">
        <v>375000</v>
      </c>
      <c r="L59" s="85">
        <v>94500</v>
      </c>
      <c r="M59" s="85">
        <v>0</v>
      </c>
      <c r="N59" s="85"/>
      <c r="O59" s="86" t="s">
        <v>62</v>
      </c>
      <c r="P59" s="87" t="s">
        <v>51</v>
      </c>
      <c r="Q59" s="16" t="s">
        <v>7</v>
      </c>
      <c r="R59" s="87">
        <f>IF(K59&gt;L59,K59-L59,0)</f>
        <v>280500</v>
      </c>
      <c r="S59" s="87">
        <f>IF(L59&gt;M59,L59-M59,0)</f>
        <v>94500</v>
      </c>
      <c r="T59" s="87">
        <f>+M59</f>
        <v>0</v>
      </c>
      <c r="U59" s="87" cm="1">
        <f t="array" ref="U59">-_xlfn.IFS(J59="Closed",0,J60="Canceled",0,E59&gt;0,R59,E59=0,0)</f>
        <v>-280500</v>
      </c>
      <c r="V59" s="87" cm="1">
        <f t="array" ref="V59">_xlfn.IFS(J59="Closed",0,J59="Canceled",0,J59="Closed for Receiving",0,TRUE,SUM(R59:S59))+U59</f>
        <v>94500</v>
      </c>
      <c r="W59" s="87"/>
      <c r="X59" s="87">
        <f t="shared" si="4"/>
        <v>94500</v>
      </c>
      <c r="Y59" s="3">
        <v>45777</v>
      </c>
      <c r="Z59" s="30">
        <f>IF(I59&gt;0,_xlfn.DAYS(Y59,I59)/30,0)</f>
        <v>5.2</v>
      </c>
      <c r="AA59" s="1">
        <v>2</v>
      </c>
      <c r="AB59" s="1">
        <f>(COUNTIF($E$4:$E59,$E59)=1)+0</f>
        <v>1</v>
      </c>
    </row>
    <row r="60" spans="3:29" x14ac:dyDescent="0.45">
      <c r="C60" s="16" t="str">
        <f t="shared" si="2"/>
        <v>14070284-13048025-1-1</v>
      </c>
      <c r="D60" s="16">
        <v>14070284</v>
      </c>
      <c r="E60" s="16">
        <v>13048025</v>
      </c>
      <c r="F60" s="17">
        <v>1</v>
      </c>
      <c r="G60" s="17">
        <v>1</v>
      </c>
      <c r="H60" s="18">
        <v>45658</v>
      </c>
      <c r="I60" s="18">
        <v>45630.453622685185</v>
      </c>
      <c r="J60" s="16" t="s">
        <v>15</v>
      </c>
      <c r="K60" s="19">
        <v>900000</v>
      </c>
      <c r="L60" s="19">
        <v>623700</v>
      </c>
      <c r="M60" s="19">
        <v>337762</v>
      </c>
      <c r="N60" s="19"/>
      <c r="O60" s="23" t="s">
        <v>62</v>
      </c>
      <c r="P60" s="20" t="s">
        <v>26</v>
      </c>
      <c r="Q60" s="16" t="s">
        <v>7</v>
      </c>
      <c r="R60" s="20">
        <f>IF(K60&gt;L60,K60-L60,0)</f>
        <v>276300</v>
      </c>
      <c r="S60" s="20">
        <f>IF(L60&gt;M60,L60-M60,0)</f>
        <v>285938</v>
      </c>
      <c r="T60" s="20">
        <f>+M60</f>
        <v>337762</v>
      </c>
      <c r="U60" s="20" cm="1">
        <f t="array" ref="U60">-_xlfn.IFS(J60="Closed",0,J61="Canceled",0,E60&gt;0,R60,E60=0,0)</f>
        <v>-276300</v>
      </c>
      <c r="V60" s="20" cm="1">
        <f t="array" ref="V60">_xlfn.IFS(J60="Closed",0,J60="Canceled",0,J60="Closed for Receiving",0,TRUE,SUM(R60:S60))+U60</f>
        <v>285938</v>
      </c>
      <c r="W60" s="20"/>
      <c r="X60" s="20">
        <f t="shared" si="4"/>
        <v>623700</v>
      </c>
      <c r="Y60" s="3">
        <v>45777</v>
      </c>
      <c r="Z60" s="30">
        <f>IF(I60&gt;0,_xlfn.DAYS(Y60,I60)/30,0)</f>
        <v>4.9000000000000004</v>
      </c>
      <c r="AA60" s="1">
        <v>2</v>
      </c>
      <c r="AB60" s="1">
        <f>(COUNTIF($E$4:$E60,$E60)=1)+0</f>
        <v>1</v>
      </c>
    </row>
    <row r="61" spans="3:29" x14ac:dyDescent="0.45">
      <c r="C61" s="16" t="str">
        <f t="shared" si="2"/>
        <v>14071414-13045675-2-2</v>
      </c>
      <c r="D61" s="16">
        <v>14071414</v>
      </c>
      <c r="E61" s="16">
        <v>13045675</v>
      </c>
      <c r="F61" s="17">
        <v>2</v>
      </c>
      <c r="G61" s="17">
        <v>2</v>
      </c>
      <c r="H61" s="18">
        <v>45658</v>
      </c>
      <c r="I61" s="18">
        <v>45645.697384259256</v>
      </c>
      <c r="J61" s="16" t="s">
        <v>17</v>
      </c>
      <c r="K61" s="19">
        <v>58125</v>
      </c>
      <c r="L61" s="19">
        <v>58125</v>
      </c>
      <c r="M61" s="19">
        <v>58125</v>
      </c>
      <c r="N61" s="19"/>
      <c r="O61" s="23" t="s">
        <v>62</v>
      </c>
      <c r="P61" s="20" t="s">
        <v>56</v>
      </c>
      <c r="Q61" s="16" t="s">
        <v>7</v>
      </c>
      <c r="R61" s="20">
        <f>IF(K61&gt;L61,K61-L61,0)</f>
        <v>0</v>
      </c>
      <c r="S61" s="20">
        <f>IF(L61&gt;M61,L61-M61,0)</f>
        <v>0</v>
      </c>
      <c r="T61" s="20">
        <f>+M61</f>
        <v>58125</v>
      </c>
      <c r="U61" s="20" cm="1">
        <f t="array" ref="U61">-_xlfn.IFS(J61="Closed",0,J62="Canceled",0,E61&gt;0,R61,E61=0,0)</f>
        <v>0</v>
      </c>
      <c r="V61" s="20" cm="1">
        <f t="array" ref="V61">_xlfn.IFS(J61="Closed",0,J61="Canceled",0,J61="Closed for Receiving",0,TRUE,SUM(R61:S61))+U61</f>
        <v>0</v>
      </c>
      <c r="W61" s="20"/>
      <c r="X61" s="20">
        <f t="shared" ref="X61" si="7">+T61+V61+W61</f>
        <v>58125</v>
      </c>
      <c r="Z61" s="30">
        <v>0</v>
      </c>
      <c r="AB61" s="1">
        <f>(COUNTIF($E$4:$E61,$E61)=1)+0</f>
        <v>1</v>
      </c>
    </row>
    <row r="62" spans="3:29" x14ac:dyDescent="0.45">
      <c r="C62" s="16" t="str">
        <f t="shared" si="2"/>
        <v>14072826-13047998-1-1</v>
      </c>
      <c r="D62" s="16">
        <v>14072826</v>
      </c>
      <c r="E62" s="16">
        <v>13047998</v>
      </c>
      <c r="F62" s="17">
        <v>1</v>
      </c>
      <c r="G62" s="17">
        <v>1</v>
      </c>
      <c r="H62" s="18">
        <v>45673</v>
      </c>
      <c r="I62" s="18">
        <v>45676.514884259261</v>
      </c>
      <c r="J62" s="16" t="s">
        <v>15</v>
      </c>
      <c r="K62" s="19">
        <v>1995</v>
      </c>
      <c r="L62" s="19">
        <v>1995</v>
      </c>
      <c r="M62" s="19">
        <v>0</v>
      </c>
      <c r="N62" s="19"/>
      <c r="O62" s="23" t="s">
        <v>62</v>
      </c>
      <c r="P62" s="20" t="s">
        <v>51</v>
      </c>
      <c r="Q62" s="16" t="s">
        <v>7</v>
      </c>
      <c r="R62" s="20">
        <f>IF(K62&gt;L62,K62-L62,0)</f>
        <v>0</v>
      </c>
      <c r="S62" s="20">
        <f>IF(L62&gt;M62,L62-M62,0)</f>
        <v>1995</v>
      </c>
      <c r="T62" s="20">
        <f>+M62</f>
        <v>0</v>
      </c>
      <c r="U62" s="20" cm="1">
        <f t="array" ref="U62">-_xlfn.IFS(J62="Closed",0,J63="Canceled",0,E62&gt;0,R62,E62=0,0)</f>
        <v>0</v>
      </c>
      <c r="V62" s="20" cm="1">
        <f t="array" ref="V62">_xlfn.IFS(J62="Closed",0,J62="Canceled",0,J62="Closed for Receiving",0,TRUE,SUM(R62:S62))+U62</f>
        <v>1995</v>
      </c>
      <c r="W62" s="20"/>
      <c r="X62" s="20">
        <f t="shared" ref="X62:X82" si="8">+T62+V62+W62</f>
        <v>1995</v>
      </c>
      <c r="Y62" s="3">
        <v>45777</v>
      </c>
      <c r="Z62" s="30">
        <f>IF(I62&gt;0,_xlfn.DAYS(Y62,I62)/30,0)</f>
        <v>3.3666666666666667</v>
      </c>
      <c r="AA62" s="1">
        <v>1</v>
      </c>
      <c r="AB62" s="1">
        <f>(COUNTIF($E$4:$E62,$E62)=1)+0</f>
        <v>1</v>
      </c>
    </row>
    <row r="63" spans="3:29" x14ac:dyDescent="0.45">
      <c r="C63" s="16" t="str">
        <f t="shared" si="2"/>
        <v>14073374-13048008-1-1</v>
      </c>
      <c r="D63" s="16">
        <v>14073374</v>
      </c>
      <c r="E63" s="16">
        <v>13048008</v>
      </c>
      <c r="F63" s="17">
        <v>1</v>
      </c>
      <c r="G63" s="17">
        <v>1</v>
      </c>
      <c r="H63" s="18">
        <v>45680</v>
      </c>
      <c r="I63" s="18">
        <v>45694.341481481482</v>
      </c>
      <c r="J63" s="16" t="s">
        <v>15</v>
      </c>
      <c r="K63" s="19">
        <v>50400</v>
      </c>
      <c r="L63" s="19">
        <v>50400</v>
      </c>
      <c r="M63" s="19">
        <v>3361.68</v>
      </c>
      <c r="N63" s="19"/>
      <c r="O63" s="23" t="s">
        <v>62</v>
      </c>
      <c r="P63" s="20" t="s">
        <v>71</v>
      </c>
      <c r="Q63" s="16" t="s">
        <v>7</v>
      </c>
      <c r="R63" s="20">
        <f>IF(K63&gt;L63,K63-L63,0)</f>
        <v>0</v>
      </c>
      <c r="S63" s="20">
        <f>IF(L63&gt;M63,L63-M63,0)</f>
        <v>47038.32</v>
      </c>
      <c r="T63" s="20">
        <f>+M63</f>
        <v>3361.68</v>
      </c>
      <c r="U63" s="20" cm="1">
        <f t="array" ref="U63">-_xlfn.IFS(J63="Closed",0,J64="Canceled",0,E63&gt;0,R63,E63=0,0)</f>
        <v>0</v>
      </c>
      <c r="V63" s="20" cm="1">
        <f t="array" ref="V63">_xlfn.IFS(J63="Closed",0,J63="Canceled",0,J63="Closed for Receiving",0,TRUE,SUM(R63:S63))+U63</f>
        <v>47038.32</v>
      </c>
      <c r="W63" s="20"/>
      <c r="X63" s="20">
        <f t="shared" si="8"/>
        <v>50400</v>
      </c>
      <c r="Y63" s="3">
        <v>45777</v>
      </c>
      <c r="Z63" s="30">
        <f>IF(I63&gt;0,_xlfn.DAYS(Y63,I63)/30,0)</f>
        <v>2.7666666666666666</v>
      </c>
      <c r="AA63" s="1">
        <v>1</v>
      </c>
      <c r="AB63" s="1">
        <f>(COUNTIF($E$4:$E63,$E63)=1)+0</f>
        <v>1</v>
      </c>
    </row>
    <row r="64" spans="3:29" x14ac:dyDescent="0.45">
      <c r="C64" s="16" t="str">
        <f t="shared" si="2"/>
        <v>14073486-0-11-0</v>
      </c>
      <c r="D64" s="16">
        <v>14073486</v>
      </c>
      <c r="E64" s="16">
        <v>0</v>
      </c>
      <c r="F64" s="17">
        <v>11</v>
      </c>
      <c r="G64" s="17">
        <v>0</v>
      </c>
      <c r="H64" s="18">
        <v>45691</v>
      </c>
      <c r="I64" s="18">
        <v>45699.467372685183</v>
      </c>
      <c r="J64" s="16"/>
      <c r="K64" s="19">
        <v>4872216</v>
      </c>
      <c r="L64" s="19">
        <v>0</v>
      </c>
      <c r="M64" s="19">
        <v>0</v>
      </c>
      <c r="N64" s="19"/>
      <c r="O64" s="23" t="s">
        <v>62</v>
      </c>
      <c r="P64" s="20" t="s">
        <v>50</v>
      </c>
      <c r="Q64" s="16" t="s">
        <v>69</v>
      </c>
      <c r="R64" s="20">
        <f>IF(K64&gt;L64,K64-L64,0)</f>
        <v>4872216</v>
      </c>
      <c r="S64" s="20">
        <f>IF(L64&gt;M64,L64-M64,0)</f>
        <v>0</v>
      </c>
      <c r="T64" s="20">
        <f>+M64</f>
        <v>0</v>
      </c>
      <c r="U64" s="20" cm="1">
        <f t="array" ref="U64">-_xlfn.IFS(J64="Closed",0,J65="Canceled",0,E64&gt;0,R64,E64=0,0)</f>
        <v>0</v>
      </c>
      <c r="V64" s="20" cm="1">
        <f t="array" ref="V64">_xlfn.IFS(J64="Closed",0,J64="Canceled",0,J64="Closed for Receiving",0,TRUE,SUM(R64:S64))+U64</f>
        <v>4872216</v>
      </c>
      <c r="W64" s="20"/>
      <c r="X64" s="20">
        <f t="shared" si="8"/>
        <v>4872216</v>
      </c>
      <c r="Y64" s="3">
        <v>45777</v>
      </c>
      <c r="Z64" s="30">
        <f>IF(I64&gt;0,_xlfn.DAYS(Y64,I64)/30,0)</f>
        <v>2.6</v>
      </c>
      <c r="AA64" s="1">
        <v>1</v>
      </c>
      <c r="AB64" s="1">
        <f>(COUNTIF($E$4:$E64,$E64)=1)+0</f>
        <v>1</v>
      </c>
    </row>
    <row r="65" spans="3:28" x14ac:dyDescent="0.45">
      <c r="C65" s="16" t="str">
        <f t="shared" si="2"/>
        <v>14073486-0-12-0</v>
      </c>
      <c r="D65" s="16">
        <v>14073486</v>
      </c>
      <c r="E65" s="16">
        <v>0</v>
      </c>
      <c r="F65" s="17">
        <v>12</v>
      </c>
      <c r="G65" s="17">
        <v>0</v>
      </c>
      <c r="H65" s="18">
        <v>45691</v>
      </c>
      <c r="I65" s="18">
        <v>45699.467372685183</v>
      </c>
      <c r="J65" s="16"/>
      <c r="K65" s="19">
        <v>810661</v>
      </c>
      <c r="L65" s="19">
        <v>0</v>
      </c>
      <c r="M65" s="19">
        <v>0</v>
      </c>
      <c r="N65" s="19"/>
      <c r="O65" s="23" t="s">
        <v>62</v>
      </c>
      <c r="P65" s="20" t="s">
        <v>50</v>
      </c>
      <c r="Q65" s="16" t="s">
        <v>69</v>
      </c>
      <c r="R65" s="20">
        <f>IF(K65&gt;L65,K65-L65,0)</f>
        <v>810661</v>
      </c>
      <c r="S65" s="20">
        <f>IF(L65&gt;M65,L65-M65,0)</f>
        <v>0</v>
      </c>
      <c r="T65" s="20">
        <f>+M65</f>
        <v>0</v>
      </c>
      <c r="U65" s="20" cm="1">
        <f t="array" ref="U65">-_xlfn.IFS(J65="Closed",0,J66="Canceled",0,E65&gt;0,R65,E65=0,0)</f>
        <v>0</v>
      </c>
      <c r="V65" s="20" cm="1">
        <f t="array" ref="V65">_xlfn.IFS(J65="Closed",0,J65="Canceled",0,J65="Closed for Receiving",0,TRUE,SUM(R65:S65))+U65</f>
        <v>810661</v>
      </c>
      <c r="W65" s="20"/>
      <c r="X65" s="20">
        <f t="shared" si="8"/>
        <v>810661</v>
      </c>
      <c r="Y65" s="3">
        <v>45777</v>
      </c>
      <c r="Z65" s="30">
        <f>IF(I65&gt;0,_xlfn.DAYS(Y65,I65)/30,0)</f>
        <v>2.6</v>
      </c>
      <c r="AA65" s="1">
        <v>1</v>
      </c>
      <c r="AB65" s="1">
        <f>(COUNTIF($E$4:$E65,$E65)=1)+0</f>
        <v>0</v>
      </c>
    </row>
    <row r="66" spans="3:28" x14ac:dyDescent="0.45">
      <c r="C66" s="16" t="str">
        <f t="shared" ref="C66:C82" si="9">D66&amp;"-"&amp;E66&amp;"-"&amp;F66&amp;"-"&amp;G66</f>
        <v>14073486-0-13-0</v>
      </c>
      <c r="D66" s="16">
        <v>14073486</v>
      </c>
      <c r="E66" s="16">
        <v>0</v>
      </c>
      <c r="F66" s="17">
        <v>13</v>
      </c>
      <c r="G66" s="17">
        <v>0</v>
      </c>
      <c r="H66" s="18">
        <v>45691</v>
      </c>
      <c r="I66" s="18">
        <v>45699.467372685183</v>
      </c>
      <c r="J66" s="16"/>
      <c r="K66" s="19">
        <v>1898346</v>
      </c>
      <c r="L66" s="19">
        <v>0</v>
      </c>
      <c r="M66" s="19">
        <v>0</v>
      </c>
      <c r="N66" s="19"/>
      <c r="O66" s="23" t="s">
        <v>62</v>
      </c>
      <c r="P66" s="20" t="s">
        <v>50</v>
      </c>
      <c r="Q66" s="16" t="s">
        <v>7</v>
      </c>
      <c r="R66" s="20">
        <f>IF(K66&gt;L66,K66-L66,0)</f>
        <v>1898346</v>
      </c>
      <c r="S66" s="20">
        <f>IF(L66&gt;M66,L66-M66,0)</f>
        <v>0</v>
      </c>
      <c r="T66" s="20">
        <f>+M66</f>
        <v>0</v>
      </c>
      <c r="U66" s="20" cm="1">
        <f t="array" ref="U66">-_xlfn.IFS(J66="Closed",0,J67="Canceled",0,E66&gt;0,R66,E66=0,0)</f>
        <v>0</v>
      </c>
      <c r="V66" s="20" cm="1">
        <f t="array" ref="V66">_xlfn.IFS(J66="Closed",0,J66="Canceled",0,J66="Closed for Receiving",0,TRUE,SUM(R66:S66))+U66</f>
        <v>1898346</v>
      </c>
      <c r="W66" s="20"/>
      <c r="X66" s="20">
        <f t="shared" si="8"/>
        <v>1898346</v>
      </c>
      <c r="Y66" s="3">
        <v>45777</v>
      </c>
      <c r="Z66" s="30">
        <f>IF(I66&gt;0,_xlfn.DAYS(Y66,I66)/30,0)</f>
        <v>2.6</v>
      </c>
      <c r="AA66" s="1">
        <v>1</v>
      </c>
      <c r="AB66" s="1">
        <f>(COUNTIF($E$4:$E66,$E66)=1)+0</f>
        <v>0</v>
      </c>
    </row>
    <row r="67" spans="3:28" x14ac:dyDescent="0.45">
      <c r="C67" s="16" t="str">
        <f t="shared" si="9"/>
        <v>14073486-0-14-0</v>
      </c>
      <c r="D67" s="16">
        <v>14073486</v>
      </c>
      <c r="E67" s="16">
        <v>0</v>
      </c>
      <c r="F67" s="17">
        <v>14</v>
      </c>
      <c r="G67" s="17">
        <v>0</v>
      </c>
      <c r="H67" s="18">
        <v>45691</v>
      </c>
      <c r="I67" s="18">
        <v>45699.467372685183</v>
      </c>
      <c r="J67" s="16"/>
      <c r="K67" s="19">
        <v>4200000</v>
      </c>
      <c r="L67" s="19">
        <v>0</v>
      </c>
      <c r="M67" s="19">
        <v>0</v>
      </c>
      <c r="N67" s="19"/>
      <c r="O67" s="23" t="s">
        <v>62</v>
      </c>
      <c r="P67" s="20" t="s">
        <v>50</v>
      </c>
      <c r="Q67" s="16" t="s">
        <v>7</v>
      </c>
      <c r="R67" s="20">
        <f>IF(K67&gt;L67,K67-L67,0)</f>
        <v>4200000</v>
      </c>
      <c r="S67" s="20">
        <f>IF(L67&gt;M67,L67-M67,0)</f>
        <v>0</v>
      </c>
      <c r="T67" s="20">
        <f>+M67</f>
        <v>0</v>
      </c>
      <c r="U67" s="20" cm="1">
        <f t="array" ref="U67">-_xlfn.IFS(J67="Closed",0,J68="Canceled",0,E67&gt;0,R67,E67=0,0)</f>
        <v>0</v>
      </c>
      <c r="V67" s="20" cm="1">
        <f t="array" ref="V67">_xlfn.IFS(J67="Closed",0,J67="Canceled",0,J67="Closed for Receiving",0,TRUE,SUM(R67:S67))+U67</f>
        <v>4200000</v>
      </c>
      <c r="W67" s="20"/>
      <c r="X67" s="20">
        <f t="shared" si="8"/>
        <v>4200000</v>
      </c>
      <c r="Y67" s="3">
        <v>45777</v>
      </c>
      <c r="Z67" s="30">
        <f>IF(I67&gt;0,_xlfn.DAYS(Y67,I67)/30,0)</f>
        <v>2.6</v>
      </c>
      <c r="AA67" s="1">
        <v>1</v>
      </c>
      <c r="AB67" s="1">
        <f>(COUNTIF($E$4:$E67,$E67)=1)+0</f>
        <v>0</v>
      </c>
    </row>
    <row r="68" spans="3:28" x14ac:dyDescent="0.45">
      <c r="C68" s="16" t="str">
        <f t="shared" si="9"/>
        <v>14073486-0-15-0</v>
      </c>
      <c r="D68" s="16">
        <v>14073486</v>
      </c>
      <c r="E68" s="16">
        <v>0</v>
      </c>
      <c r="F68" s="17">
        <v>15</v>
      </c>
      <c r="G68" s="17">
        <v>0</v>
      </c>
      <c r="H68" s="18">
        <v>45691</v>
      </c>
      <c r="I68" s="18">
        <v>45699.467372685183</v>
      </c>
      <c r="J68" s="16"/>
      <c r="K68" s="19">
        <v>400000</v>
      </c>
      <c r="L68" s="19">
        <v>0</v>
      </c>
      <c r="M68" s="19">
        <v>0</v>
      </c>
      <c r="N68" s="19"/>
      <c r="O68" s="23" t="s">
        <v>62</v>
      </c>
      <c r="P68" s="20" t="s">
        <v>50</v>
      </c>
      <c r="Q68" s="16" t="s">
        <v>7</v>
      </c>
      <c r="R68" s="20">
        <f>IF(K68&gt;L68,K68-L68,0)</f>
        <v>400000</v>
      </c>
      <c r="S68" s="20">
        <f>IF(L68&gt;M68,L68-M68,0)</f>
        <v>0</v>
      </c>
      <c r="T68" s="20">
        <f>+M68</f>
        <v>0</v>
      </c>
      <c r="U68" s="20" cm="1">
        <f t="array" ref="U68">-_xlfn.IFS(J68="Closed",0,J69="Canceled",0,E68&gt;0,R68,E68=0,0)</f>
        <v>0</v>
      </c>
      <c r="V68" s="20" cm="1">
        <f t="array" ref="V68">_xlfn.IFS(J68="Closed",0,J68="Canceled",0,J68="Closed for Receiving",0,TRUE,SUM(R68:S68))+U68</f>
        <v>400000</v>
      </c>
      <c r="W68" s="20"/>
      <c r="X68" s="20">
        <f t="shared" si="8"/>
        <v>400000</v>
      </c>
      <c r="Y68" s="3">
        <v>45777</v>
      </c>
      <c r="Z68" s="30">
        <f>IF(I68&gt;0,_xlfn.DAYS(Y68,I68)/30,0)</f>
        <v>2.6</v>
      </c>
      <c r="AA68" s="1">
        <v>1</v>
      </c>
      <c r="AB68" s="1">
        <f>(COUNTIF($E$4:$E68,$E68)=1)+0</f>
        <v>0</v>
      </c>
    </row>
    <row r="69" spans="3:28" x14ac:dyDescent="0.45">
      <c r="C69" s="16" t="str">
        <f t="shared" si="9"/>
        <v>14073486-0-16-0</v>
      </c>
      <c r="D69" s="16">
        <v>14073486</v>
      </c>
      <c r="E69" s="16">
        <v>0</v>
      </c>
      <c r="F69" s="17">
        <v>16</v>
      </c>
      <c r="G69" s="17">
        <v>0</v>
      </c>
      <c r="H69" s="18">
        <v>45691</v>
      </c>
      <c r="I69" s="18">
        <v>45699.467372685183</v>
      </c>
      <c r="J69" s="16"/>
      <c r="K69" s="19">
        <v>2000000</v>
      </c>
      <c r="L69" s="19">
        <v>0</v>
      </c>
      <c r="M69" s="19">
        <v>0</v>
      </c>
      <c r="N69" s="19"/>
      <c r="O69" s="23" t="s">
        <v>62</v>
      </c>
      <c r="P69" s="20" t="s">
        <v>50</v>
      </c>
      <c r="Q69" s="16" t="s">
        <v>7</v>
      </c>
      <c r="R69" s="20">
        <f>IF(K69&gt;L69,K69-L69,0)</f>
        <v>2000000</v>
      </c>
      <c r="S69" s="20">
        <f>IF(L69&gt;M69,L69-M69,0)</f>
        <v>0</v>
      </c>
      <c r="T69" s="20">
        <f>+M69</f>
        <v>0</v>
      </c>
      <c r="U69" s="20" cm="1">
        <f t="array" ref="U69">-_xlfn.IFS(J69="Closed",0,J70="Canceled",0,E69&gt;0,R69,E69=0,0)</f>
        <v>0</v>
      </c>
      <c r="V69" s="20" cm="1">
        <f t="array" ref="V69">_xlfn.IFS(J69="Closed",0,J69="Canceled",0,J69="Closed for Receiving",0,TRUE,SUM(R69:S69))+U69</f>
        <v>2000000</v>
      </c>
      <c r="W69" s="20"/>
      <c r="X69" s="20">
        <f t="shared" si="8"/>
        <v>2000000</v>
      </c>
      <c r="Y69" s="3">
        <v>45777</v>
      </c>
      <c r="Z69" s="30">
        <f>IF(I69&gt;0,_xlfn.DAYS(Y69,I69)/30,0)</f>
        <v>2.6</v>
      </c>
      <c r="AA69" s="1">
        <v>1</v>
      </c>
      <c r="AB69" s="1">
        <f>(COUNTIF($E$4:$E69,$E69)=1)+0</f>
        <v>0</v>
      </c>
    </row>
    <row r="70" spans="3:28" x14ac:dyDescent="0.45">
      <c r="C70" s="16" t="str">
        <f t="shared" si="9"/>
        <v>14073486-0-17-0</v>
      </c>
      <c r="D70" s="16">
        <v>14073486</v>
      </c>
      <c r="E70" s="16">
        <v>0</v>
      </c>
      <c r="F70" s="17">
        <v>17</v>
      </c>
      <c r="G70" s="17">
        <v>0</v>
      </c>
      <c r="H70" s="18">
        <v>45691</v>
      </c>
      <c r="I70" s="18">
        <v>45699.467372685183</v>
      </c>
      <c r="J70" s="16"/>
      <c r="K70" s="19">
        <v>15866905</v>
      </c>
      <c r="L70" s="19">
        <v>0</v>
      </c>
      <c r="M70" s="19">
        <v>0</v>
      </c>
      <c r="N70" s="19"/>
      <c r="O70" s="23" t="s">
        <v>62</v>
      </c>
      <c r="P70" s="20" t="s">
        <v>50</v>
      </c>
      <c r="Q70" s="16" t="s">
        <v>8</v>
      </c>
      <c r="R70" s="20">
        <f>IF(K70&gt;L70,K70-L70,0)</f>
        <v>15866905</v>
      </c>
      <c r="S70" s="20">
        <f>IF(L70&gt;M70,L70-M70,0)</f>
        <v>0</v>
      </c>
      <c r="T70" s="20">
        <f>+M70</f>
        <v>0</v>
      </c>
      <c r="U70" s="20" cm="1">
        <f t="array" ref="U70">-_xlfn.IFS(J70="Closed",0,J71="Canceled",0,E70&gt;0,R70,E70=0,0)</f>
        <v>0</v>
      </c>
      <c r="V70" s="20" cm="1">
        <f t="array" ref="V70">_xlfn.IFS(J70="Closed",0,J70="Canceled",0,J70="Closed for Receiving",0,TRUE,SUM(R70:S70))+U70</f>
        <v>15866905</v>
      </c>
      <c r="W70" s="20"/>
      <c r="X70" s="20">
        <f t="shared" si="8"/>
        <v>15866905</v>
      </c>
      <c r="Y70" s="3">
        <v>45777</v>
      </c>
      <c r="Z70" s="30">
        <f>IF(I70&gt;0,_xlfn.DAYS(Y70,I70)/30,0)</f>
        <v>2.6</v>
      </c>
      <c r="AA70" s="1">
        <v>1</v>
      </c>
      <c r="AB70" s="1">
        <f>(COUNTIF($E$4:$E70,$E70)=1)+0</f>
        <v>0</v>
      </c>
    </row>
    <row r="71" spans="3:28" x14ac:dyDescent="0.45">
      <c r="C71" s="16" t="str">
        <f t="shared" si="9"/>
        <v>14073486-0-18-0</v>
      </c>
      <c r="D71" s="16">
        <v>14073486</v>
      </c>
      <c r="E71" s="16">
        <v>0</v>
      </c>
      <c r="F71" s="17">
        <v>18</v>
      </c>
      <c r="G71" s="17">
        <v>0</v>
      </c>
      <c r="H71" s="18">
        <v>45691</v>
      </c>
      <c r="I71" s="18">
        <v>45699.467372685183</v>
      </c>
      <c r="J71" s="16"/>
      <c r="K71" s="19">
        <v>11952000</v>
      </c>
      <c r="L71" s="19">
        <v>0</v>
      </c>
      <c r="M71" s="19">
        <v>0</v>
      </c>
      <c r="N71" s="19"/>
      <c r="O71" s="23" t="s">
        <v>62</v>
      </c>
      <c r="P71" s="20" t="s">
        <v>50</v>
      </c>
      <c r="Q71" s="16" t="s">
        <v>7</v>
      </c>
      <c r="R71" s="20">
        <f>IF(K71&gt;L71,K71-L71,0)</f>
        <v>11952000</v>
      </c>
      <c r="S71" s="20">
        <f>IF(L71&gt;M71,L71-M71,0)</f>
        <v>0</v>
      </c>
      <c r="T71" s="20">
        <f>+M71</f>
        <v>0</v>
      </c>
      <c r="U71" s="20" cm="1">
        <f t="array" ref="U71">-_xlfn.IFS(J71="Closed",0,J72="Canceled",0,E71&gt;0,R71,E71=0,0)</f>
        <v>0</v>
      </c>
      <c r="V71" s="20" cm="1">
        <f t="array" ref="V71">_xlfn.IFS(J71="Closed",0,J71="Canceled",0,J71="Closed for Receiving",0,TRUE,SUM(R71:S71))+U71</f>
        <v>11952000</v>
      </c>
      <c r="W71" s="20"/>
      <c r="X71" s="20">
        <f t="shared" si="8"/>
        <v>11952000</v>
      </c>
      <c r="Y71" s="3">
        <v>45777</v>
      </c>
      <c r="Z71" s="30">
        <f>IF(I71&gt;0,_xlfn.DAYS(Y71,I71)/30,0)</f>
        <v>2.6</v>
      </c>
      <c r="AA71" s="1">
        <v>1</v>
      </c>
      <c r="AB71" s="1">
        <f>(COUNTIF($E$4:$E71,$E71)=1)+0</f>
        <v>0</v>
      </c>
    </row>
    <row r="72" spans="3:28" x14ac:dyDescent="0.45">
      <c r="C72" s="16" t="str">
        <f t="shared" si="9"/>
        <v>14073486-0-19-0</v>
      </c>
      <c r="D72" s="16">
        <v>14073486</v>
      </c>
      <c r="E72" s="16">
        <v>0</v>
      </c>
      <c r="F72" s="17">
        <v>19</v>
      </c>
      <c r="G72" s="17">
        <v>0</v>
      </c>
      <c r="H72" s="18">
        <v>45691</v>
      </c>
      <c r="I72" s="18">
        <v>45699.467372685183</v>
      </c>
      <c r="J72" s="16"/>
      <c r="K72" s="19">
        <v>427509</v>
      </c>
      <c r="L72" s="19">
        <v>0</v>
      </c>
      <c r="M72" s="19">
        <v>0</v>
      </c>
      <c r="N72" s="19"/>
      <c r="O72" s="23" t="s">
        <v>62</v>
      </c>
      <c r="P72" s="20" t="s">
        <v>50</v>
      </c>
      <c r="Q72" s="16" t="s">
        <v>7</v>
      </c>
      <c r="R72" s="20">
        <f>IF(K72&gt;L72,K72-L72,0)</f>
        <v>427509</v>
      </c>
      <c r="S72" s="20">
        <f>IF(L72&gt;M72,L72-M72,0)</f>
        <v>0</v>
      </c>
      <c r="T72" s="20">
        <f>+M72</f>
        <v>0</v>
      </c>
      <c r="U72" s="20" cm="1">
        <f t="array" ref="U72">-_xlfn.IFS(J72="Closed",0,J73="Canceled",0,E72&gt;0,R72,E72=0,0)</f>
        <v>0</v>
      </c>
      <c r="V72" s="20" cm="1">
        <f t="array" ref="V72">_xlfn.IFS(J72="Closed",0,J72="Canceled",0,J72="Closed for Receiving",0,TRUE,SUM(R72:S72))+U72</f>
        <v>427509</v>
      </c>
      <c r="W72" s="20"/>
      <c r="X72" s="20">
        <f t="shared" si="8"/>
        <v>427509</v>
      </c>
      <c r="Y72" s="3">
        <v>45777</v>
      </c>
      <c r="Z72" s="30">
        <f>IF(I72&gt;0,_xlfn.DAYS(Y72,I72)/30,0)</f>
        <v>2.6</v>
      </c>
      <c r="AA72" s="1">
        <v>1</v>
      </c>
      <c r="AB72" s="1">
        <f>(COUNTIF($E$4:$E72,$E72)=1)+0</f>
        <v>0</v>
      </c>
    </row>
    <row r="73" spans="3:28" x14ac:dyDescent="0.45">
      <c r="C73" s="16" t="str">
        <f t="shared" si="9"/>
        <v>14073486-0-20-0</v>
      </c>
      <c r="D73" s="16">
        <v>14073486</v>
      </c>
      <c r="E73" s="16">
        <v>0</v>
      </c>
      <c r="F73" s="17">
        <v>20</v>
      </c>
      <c r="G73" s="17">
        <v>0</v>
      </c>
      <c r="H73" s="18">
        <v>45691</v>
      </c>
      <c r="I73" s="18">
        <v>45699.467372685183</v>
      </c>
      <c r="J73" s="16"/>
      <c r="K73" s="19">
        <v>2575364</v>
      </c>
      <c r="L73" s="19">
        <v>0</v>
      </c>
      <c r="M73" s="19">
        <v>0</v>
      </c>
      <c r="N73" s="19"/>
      <c r="O73" s="23" t="s">
        <v>62</v>
      </c>
      <c r="P73" s="20" t="s">
        <v>50</v>
      </c>
      <c r="Q73" s="16" t="s">
        <v>7</v>
      </c>
      <c r="R73" s="20">
        <f>IF(K73&gt;L73,K73-L73,0)</f>
        <v>2575364</v>
      </c>
      <c r="S73" s="20">
        <f>IF(L73&gt;M73,L73-M73,0)</f>
        <v>0</v>
      </c>
      <c r="T73" s="20">
        <f>+M73</f>
        <v>0</v>
      </c>
      <c r="U73" s="20" cm="1">
        <f t="array" ref="U73">-_xlfn.IFS(J73="Closed",0,J74="Canceled",0,E73&gt;0,R73,E73=0,0)</f>
        <v>0</v>
      </c>
      <c r="V73" s="20" cm="1">
        <f t="array" ref="V73">_xlfn.IFS(J73="Closed",0,J73="Canceled",0,J73="Closed for Receiving",0,TRUE,SUM(R73:S73))+U73</f>
        <v>2575364</v>
      </c>
      <c r="W73" s="20"/>
      <c r="X73" s="20">
        <f t="shared" si="8"/>
        <v>2575364</v>
      </c>
      <c r="Y73" s="3">
        <v>45777</v>
      </c>
      <c r="Z73" s="30">
        <f>IF(I73&gt;0,_xlfn.DAYS(Y73,I73)/30,0)</f>
        <v>2.6</v>
      </c>
      <c r="AA73" s="1">
        <v>1</v>
      </c>
      <c r="AB73" s="1">
        <f>(COUNTIF($E$4:$E73,$E73)=1)+0</f>
        <v>0</v>
      </c>
    </row>
    <row r="74" spans="3:28" x14ac:dyDescent="0.45">
      <c r="C74" s="16" t="str">
        <f t="shared" si="9"/>
        <v>14073847-13048267-1-1</v>
      </c>
      <c r="D74" s="16">
        <v>14073847</v>
      </c>
      <c r="E74" s="16">
        <v>13048267</v>
      </c>
      <c r="F74" s="17">
        <v>1</v>
      </c>
      <c r="G74" s="17">
        <v>1</v>
      </c>
      <c r="H74" s="18">
        <v>45691</v>
      </c>
      <c r="I74" s="18">
        <v>45713.58798611111</v>
      </c>
      <c r="J74" s="16" t="s">
        <v>15</v>
      </c>
      <c r="K74" s="19">
        <v>81099</v>
      </c>
      <c r="L74" s="19">
        <v>81099</v>
      </c>
      <c r="M74" s="19">
        <v>0</v>
      </c>
      <c r="N74" s="19"/>
      <c r="O74" s="23" t="s">
        <v>62</v>
      </c>
      <c r="P74" s="20" t="s">
        <v>51</v>
      </c>
      <c r="Q74" s="16" t="s">
        <v>7</v>
      </c>
      <c r="R74" s="20">
        <f>IF(K74&gt;L74,K74-L74,0)</f>
        <v>0</v>
      </c>
      <c r="S74" s="20">
        <f>IF(L74&gt;M74,L74-M74,0)</f>
        <v>81099</v>
      </c>
      <c r="T74" s="20">
        <f>+M74</f>
        <v>0</v>
      </c>
      <c r="U74" s="20" cm="1">
        <f t="array" ref="U74">-_xlfn.IFS(J74="Closed",0,J75="Canceled",0,E74&gt;0,R74,E74=0,0)</f>
        <v>0</v>
      </c>
      <c r="V74" s="20" cm="1">
        <f t="array" ref="V74">_xlfn.IFS(J74="Closed",0,J74="Canceled",0,J74="Closed for Receiving",0,TRUE,SUM(R74:S74))+U74</f>
        <v>81099</v>
      </c>
      <c r="W74" s="20"/>
      <c r="X74" s="20">
        <f t="shared" si="8"/>
        <v>81099</v>
      </c>
      <c r="Y74" s="3">
        <v>45777</v>
      </c>
      <c r="Z74" s="30">
        <f>IF(I74&gt;0,_xlfn.DAYS(Y74,I74)/30,0)</f>
        <v>2.1333333333333333</v>
      </c>
      <c r="AA74" s="1">
        <v>1</v>
      </c>
      <c r="AB74" s="1">
        <f>(COUNTIF($E$4:$E74,$E74)=1)+0</f>
        <v>1</v>
      </c>
    </row>
    <row r="75" spans="3:28" x14ac:dyDescent="0.45">
      <c r="C75" s="16" t="str">
        <f t="shared" si="9"/>
        <v>14073847-13048267-2-2</v>
      </c>
      <c r="D75" s="16">
        <v>14073847</v>
      </c>
      <c r="E75" s="16">
        <v>13048267</v>
      </c>
      <c r="F75" s="17">
        <v>2</v>
      </c>
      <c r="G75" s="17">
        <v>2</v>
      </c>
      <c r="H75" s="18">
        <v>45691</v>
      </c>
      <c r="I75" s="18">
        <v>45713.58798611111</v>
      </c>
      <c r="J75" s="16" t="s">
        <v>15</v>
      </c>
      <c r="K75" s="19">
        <v>283848</v>
      </c>
      <c r="L75" s="19">
        <v>283848</v>
      </c>
      <c r="M75" s="19">
        <v>0</v>
      </c>
      <c r="N75" s="19"/>
      <c r="O75" s="23" t="s">
        <v>62</v>
      </c>
      <c r="P75" s="20" t="s">
        <v>51</v>
      </c>
      <c r="Q75" s="16" t="s">
        <v>7</v>
      </c>
      <c r="R75" s="20">
        <f>IF(K75&gt;L75,K75-L75,0)</f>
        <v>0</v>
      </c>
      <c r="S75" s="20">
        <f>IF(L75&gt;M75,L75-M75,0)</f>
        <v>283848</v>
      </c>
      <c r="T75" s="20">
        <f>+M75</f>
        <v>0</v>
      </c>
      <c r="U75" s="20" cm="1">
        <f t="array" ref="U75">-_xlfn.IFS(J75="Closed",0,J76="Canceled",0,E75&gt;0,R75,E75=0,0)</f>
        <v>0</v>
      </c>
      <c r="V75" s="20" cm="1">
        <f t="array" ref="V75">_xlfn.IFS(J75="Closed",0,J75="Canceled",0,J75="Closed for Receiving",0,TRUE,SUM(R75:S75))+U75</f>
        <v>283848</v>
      </c>
      <c r="W75" s="20"/>
      <c r="X75" s="20">
        <f t="shared" si="8"/>
        <v>283848</v>
      </c>
      <c r="Y75" s="3">
        <v>45777</v>
      </c>
      <c r="Z75" s="30">
        <f>IF(I75&gt;0,_xlfn.DAYS(Y75,I75)/30,0)</f>
        <v>2.1333333333333333</v>
      </c>
      <c r="AA75" s="1">
        <v>1</v>
      </c>
      <c r="AB75" s="1">
        <f>(COUNTIF($E$4:$E75,$E75)=1)+0</f>
        <v>0</v>
      </c>
    </row>
    <row r="76" spans="3:28" x14ac:dyDescent="0.45">
      <c r="C76" s="16" t="str">
        <f t="shared" si="9"/>
        <v>14073847-13048267-3-3</v>
      </c>
      <c r="D76" s="16">
        <v>14073847</v>
      </c>
      <c r="E76" s="16">
        <v>13048267</v>
      </c>
      <c r="F76" s="17">
        <v>3</v>
      </c>
      <c r="G76" s="17">
        <v>3</v>
      </c>
      <c r="H76" s="18">
        <v>45691</v>
      </c>
      <c r="I76" s="18">
        <v>45713.58798611111</v>
      </c>
      <c r="J76" s="16" t="s">
        <v>15</v>
      </c>
      <c r="K76" s="19">
        <v>202749</v>
      </c>
      <c r="L76" s="19">
        <v>202749</v>
      </c>
      <c r="M76" s="19">
        <v>0</v>
      </c>
      <c r="N76" s="19"/>
      <c r="O76" s="23" t="s">
        <v>62</v>
      </c>
      <c r="P76" s="20" t="s">
        <v>51</v>
      </c>
      <c r="Q76" s="16" t="s">
        <v>7</v>
      </c>
      <c r="R76" s="20">
        <f>IF(K76&gt;L76,K76-L76,0)</f>
        <v>0</v>
      </c>
      <c r="S76" s="20">
        <f>IF(L76&gt;M76,L76-M76,0)</f>
        <v>202749</v>
      </c>
      <c r="T76" s="20">
        <f>+M76</f>
        <v>0</v>
      </c>
      <c r="U76" s="20" cm="1">
        <f t="array" ref="U76">-_xlfn.IFS(J76="Closed",0,J77="Canceled",0,E76&gt;0,R76,E76=0,0)</f>
        <v>0</v>
      </c>
      <c r="V76" s="20" cm="1">
        <f t="array" ref="V76">_xlfn.IFS(J76="Closed",0,J76="Canceled",0,J76="Closed for Receiving",0,TRUE,SUM(R76:S76))+U76</f>
        <v>202749</v>
      </c>
      <c r="W76" s="20"/>
      <c r="X76" s="20">
        <f t="shared" si="8"/>
        <v>202749</v>
      </c>
      <c r="Y76" s="3">
        <v>45777</v>
      </c>
      <c r="Z76" s="30">
        <f>IF(I76&gt;0,_xlfn.DAYS(Y76,I76)/30,0)</f>
        <v>2.1333333333333333</v>
      </c>
      <c r="AA76" s="1">
        <v>1</v>
      </c>
      <c r="AB76" s="1">
        <f>(COUNTIF($E$4:$E76,$E76)=1)+0</f>
        <v>0</v>
      </c>
    </row>
    <row r="77" spans="3:28" x14ac:dyDescent="0.45">
      <c r="C77" s="16" t="str">
        <f t="shared" si="9"/>
        <v>14073847-13048267-4-4</v>
      </c>
      <c r="D77" s="16">
        <v>14073847</v>
      </c>
      <c r="E77" s="16">
        <v>13048267</v>
      </c>
      <c r="F77" s="17">
        <v>4</v>
      </c>
      <c r="G77" s="17">
        <v>4</v>
      </c>
      <c r="H77" s="18">
        <v>45691</v>
      </c>
      <c r="I77" s="18">
        <v>45713.58798611111</v>
      </c>
      <c r="J77" s="16" t="s">
        <v>15</v>
      </c>
      <c r="K77" s="19">
        <v>202749</v>
      </c>
      <c r="L77" s="19">
        <v>202749</v>
      </c>
      <c r="M77" s="19">
        <v>0</v>
      </c>
      <c r="N77" s="19"/>
      <c r="O77" s="23" t="s">
        <v>62</v>
      </c>
      <c r="P77" s="20" t="s">
        <v>51</v>
      </c>
      <c r="Q77" s="16" t="s">
        <v>7</v>
      </c>
      <c r="R77" s="20">
        <f>IF(K77&gt;L77,K77-L77,0)</f>
        <v>0</v>
      </c>
      <c r="S77" s="20">
        <f>IF(L77&gt;M77,L77-M77,0)</f>
        <v>202749</v>
      </c>
      <c r="T77" s="20">
        <f>+M77</f>
        <v>0</v>
      </c>
      <c r="U77" s="20" cm="1">
        <f t="array" ref="U77">-_xlfn.IFS(J77="Closed",0,J78="Canceled",0,E77&gt;0,R77,E77=0,0)</f>
        <v>0</v>
      </c>
      <c r="V77" s="20" cm="1">
        <f t="array" ref="V77">_xlfn.IFS(J77="Closed",0,J77="Canceled",0,J77="Closed for Receiving",0,TRUE,SUM(R77:S77))+U77</f>
        <v>202749</v>
      </c>
      <c r="W77" s="20"/>
      <c r="X77" s="20">
        <f t="shared" si="8"/>
        <v>202749</v>
      </c>
      <c r="Y77" s="3">
        <v>45777</v>
      </c>
      <c r="Z77" s="30">
        <f>IF(I77&gt;0,_xlfn.DAYS(Y77,I77)/30,0)</f>
        <v>2.1333333333333333</v>
      </c>
      <c r="AA77" s="1">
        <v>1</v>
      </c>
      <c r="AB77" s="1">
        <f>(COUNTIF($E$4:$E77,$E77)=1)+0</f>
        <v>0</v>
      </c>
    </row>
    <row r="78" spans="3:28" x14ac:dyDescent="0.45">
      <c r="C78" s="16" t="str">
        <f t="shared" si="9"/>
        <v>14073847-13048267-5-5</v>
      </c>
      <c r="D78" s="16">
        <v>14073847</v>
      </c>
      <c r="E78" s="16">
        <v>13048267</v>
      </c>
      <c r="F78" s="17">
        <v>5</v>
      </c>
      <c r="G78" s="17">
        <v>5</v>
      </c>
      <c r="H78" s="18">
        <v>45691</v>
      </c>
      <c r="I78" s="18">
        <v>45713.58798611111</v>
      </c>
      <c r="J78" s="16" t="s">
        <v>15</v>
      </c>
      <c r="K78" s="19">
        <v>40550</v>
      </c>
      <c r="L78" s="19">
        <v>40550</v>
      </c>
      <c r="M78" s="19">
        <v>0</v>
      </c>
      <c r="N78" s="19"/>
      <c r="O78" s="23" t="s">
        <v>62</v>
      </c>
      <c r="P78" s="20" t="s">
        <v>51</v>
      </c>
      <c r="Q78" s="16" t="s">
        <v>7</v>
      </c>
      <c r="R78" s="20">
        <f>IF(K78&gt;L78,K78-L78,0)</f>
        <v>0</v>
      </c>
      <c r="S78" s="20">
        <f>IF(L78&gt;M78,L78-M78,0)</f>
        <v>40550</v>
      </c>
      <c r="T78" s="20">
        <f>+M78</f>
        <v>0</v>
      </c>
      <c r="U78" s="20" cm="1">
        <f t="array" ref="U78">-_xlfn.IFS(J78="Closed",0,J79="Canceled",0,E78&gt;0,R78,E78=0,0)</f>
        <v>0</v>
      </c>
      <c r="V78" s="20" cm="1">
        <f t="array" ref="V78">_xlfn.IFS(J78="Closed",0,J78="Canceled",0,J78="Closed for Receiving",0,TRUE,SUM(R78:S78))+U78</f>
        <v>40550</v>
      </c>
      <c r="W78" s="20"/>
      <c r="X78" s="20">
        <f t="shared" si="8"/>
        <v>40550</v>
      </c>
      <c r="Y78" s="3">
        <v>45777</v>
      </c>
      <c r="Z78" s="30">
        <f>IF(I78&gt;0,_xlfn.DAYS(Y78,I78)/30,0)</f>
        <v>2.1333333333333333</v>
      </c>
      <c r="AA78" s="1">
        <v>1</v>
      </c>
      <c r="AB78" s="1">
        <f>(COUNTIF($E$4:$E78,$E78)=1)+0</f>
        <v>0</v>
      </c>
    </row>
    <row r="79" spans="3:28" x14ac:dyDescent="0.45">
      <c r="C79" s="16" t="str">
        <f t="shared" si="9"/>
        <v>14073979-13049500-1-2</v>
      </c>
      <c r="D79" s="16">
        <v>14073979</v>
      </c>
      <c r="E79" s="16">
        <v>13049500</v>
      </c>
      <c r="F79" s="17">
        <v>1</v>
      </c>
      <c r="G79" s="17">
        <v>2</v>
      </c>
      <c r="H79" s="18">
        <v>45693</v>
      </c>
      <c r="I79" s="18">
        <v>45712.260127314818</v>
      </c>
      <c r="J79" s="16" t="s">
        <v>15</v>
      </c>
      <c r="K79" s="19">
        <v>162000</v>
      </c>
      <c r="L79" s="19">
        <v>162000</v>
      </c>
      <c r="M79" s="19">
        <v>0</v>
      </c>
      <c r="N79" s="19"/>
      <c r="O79" s="23" t="s">
        <v>62</v>
      </c>
      <c r="P79" s="20" t="s">
        <v>51</v>
      </c>
      <c r="Q79" s="16" t="s">
        <v>8</v>
      </c>
      <c r="R79" s="20">
        <f>IF(K79&gt;L79,K79-L79,0)</f>
        <v>0</v>
      </c>
      <c r="S79" s="20">
        <f>IF(L79&gt;M79,L79-M79,0)</f>
        <v>162000</v>
      </c>
      <c r="T79" s="20">
        <f>+M79</f>
        <v>0</v>
      </c>
      <c r="U79" s="20" cm="1">
        <f t="array" ref="U79">-_xlfn.IFS(J79="Closed",0,J80="Canceled",0,E79&gt;0,R79,E79=0,0)</f>
        <v>0</v>
      </c>
      <c r="V79" s="20" cm="1">
        <f t="array" ref="V79">_xlfn.IFS(J79="Closed",0,J79="Canceled",0,J79="Closed for Receiving",0,TRUE,SUM(R79:S79))+U79</f>
        <v>162000</v>
      </c>
      <c r="W79" s="20"/>
      <c r="X79" s="20">
        <f t="shared" si="8"/>
        <v>162000</v>
      </c>
      <c r="Y79" s="3">
        <v>45777</v>
      </c>
      <c r="Z79" s="30">
        <f>IF(I79&gt;0,_xlfn.DAYS(Y79,I79)/30,0)</f>
        <v>2.1666666666666665</v>
      </c>
      <c r="AA79" s="1">
        <v>1</v>
      </c>
      <c r="AB79" s="1">
        <f>(COUNTIF($E$4:$E79,$E79)=1)+0</f>
        <v>1</v>
      </c>
    </row>
    <row r="80" spans="3:28" x14ac:dyDescent="0.45">
      <c r="C80" s="16" t="str">
        <f t="shared" si="9"/>
        <v>14074543-13048566-1-1</v>
      </c>
      <c r="D80" s="16">
        <v>14074543</v>
      </c>
      <c r="E80" s="16">
        <v>13048566</v>
      </c>
      <c r="F80" s="17">
        <v>1</v>
      </c>
      <c r="G80" s="17">
        <v>1</v>
      </c>
      <c r="H80" s="18">
        <v>45706</v>
      </c>
      <c r="I80" s="18">
        <v>45707.515439814815</v>
      </c>
      <c r="J80" s="16" t="s">
        <v>15</v>
      </c>
      <c r="K80" s="19">
        <v>69930</v>
      </c>
      <c r="L80" s="19">
        <v>69930</v>
      </c>
      <c r="M80" s="19">
        <v>0</v>
      </c>
      <c r="N80" s="19"/>
      <c r="O80" s="23" t="s">
        <v>62</v>
      </c>
      <c r="P80" s="20" t="s">
        <v>71</v>
      </c>
      <c r="Q80" s="16" t="s">
        <v>7</v>
      </c>
      <c r="R80" s="20">
        <f>IF(K80&gt;L80,K80-L80,0)</f>
        <v>0</v>
      </c>
      <c r="S80" s="20">
        <f>IF(L80&gt;M80,L80-M80,0)</f>
        <v>69930</v>
      </c>
      <c r="T80" s="20">
        <f>+M80</f>
        <v>0</v>
      </c>
      <c r="U80" s="20" cm="1">
        <f t="array" ref="U80">-_xlfn.IFS(J80="Closed",0,J81="Canceled",0,E80&gt;0,R80,E80=0,0)</f>
        <v>0</v>
      </c>
      <c r="V80" s="20" cm="1">
        <f t="array" ref="V80">_xlfn.IFS(J80="Closed",0,J80="Canceled",0,J80="Closed for Receiving",0,TRUE,SUM(R80:S80))+U80</f>
        <v>69930</v>
      </c>
      <c r="W80" s="20"/>
      <c r="X80" s="20">
        <f t="shared" si="8"/>
        <v>69930</v>
      </c>
      <c r="Y80" s="3">
        <v>45777</v>
      </c>
      <c r="Z80" s="30">
        <f>IF(I80&gt;0,_xlfn.DAYS(Y80,I80)/30,0)</f>
        <v>2.3333333333333335</v>
      </c>
      <c r="AA80" s="1">
        <v>1</v>
      </c>
      <c r="AB80" s="1">
        <f>(COUNTIF($E$4:$E80,$E80)=1)+0</f>
        <v>1</v>
      </c>
    </row>
    <row r="81" spans="3:28" x14ac:dyDescent="0.45">
      <c r="C81" s="16" t="str">
        <f t="shared" si="9"/>
        <v>14074543-13048566-2-2</v>
      </c>
      <c r="D81" s="16">
        <v>14074543</v>
      </c>
      <c r="E81" s="16">
        <v>13048566</v>
      </c>
      <c r="F81" s="17">
        <v>2</v>
      </c>
      <c r="G81" s="17">
        <v>2</v>
      </c>
      <c r="H81" s="18">
        <v>45706</v>
      </c>
      <c r="I81" s="18">
        <v>45707.515439814815</v>
      </c>
      <c r="J81" s="16" t="s">
        <v>15</v>
      </c>
      <c r="K81" s="19">
        <v>66150</v>
      </c>
      <c r="L81" s="19">
        <v>66150</v>
      </c>
      <c r="M81" s="19">
        <v>0</v>
      </c>
      <c r="N81" s="19"/>
      <c r="O81" s="23" t="s">
        <v>62</v>
      </c>
      <c r="P81" s="20" t="s">
        <v>71</v>
      </c>
      <c r="Q81" s="16" t="s">
        <v>7</v>
      </c>
      <c r="R81" s="20">
        <f>IF(K81&gt;L81,K81-L81,0)</f>
        <v>0</v>
      </c>
      <c r="S81" s="20">
        <f>IF(L81&gt;M81,L81-M81,0)</f>
        <v>66150</v>
      </c>
      <c r="T81" s="20">
        <f>+M81</f>
        <v>0</v>
      </c>
      <c r="U81" s="20" cm="1">
        <f t="array" ref="U81">-_xlfn.IFS(J81="Closed",0,J82="Canceled",0,E81&gt;0,R81,E81=0,0)</f>
        <v>0</v>
      </c>
      <c r="V81" s="20" cm="1">
        <f t="array" ref="V81">_xlfn.IFS(J81="Closed",0,J81="Canceled",0,J81="Closed for Receiving",0,TRUE,SUM(R81:S81))+U81</f>
        <v>66150</v>
      </c>
      <c r="W81" s="20"/>
      <c r="X81" s="20">
        <f t="shared" si="8"/>
        <v>66150</v>
      </c>
      <c r="Y81" s="3">
        <v>45777</v>
      </c>
      <c r="Z81" s="30">
        <f>IF(I81&gt;0,_xlfn.DAYS(Y81,I81)/30,0)</f>
        <v>2.3333333333333335</v>
      </c>
      <c r="AA81" s="1">
        <v>1</v>
      </c>
      <c r="AB81" s="1">
        <f>(COUNTIF($E$4:$E81,$E81)=1)+0</f>
        <v>0</v>
      </c>
    </row>
    <row r="82" spans="3:28" x14ac:dyDescent="0.45">
      <c r="C82" s="16" t="str">
        <f t="shared" si="9"/>
        <v>14074648-13048245-1-1</v>
      </c>
      <c r="D82" s="16">
        <v>14074648</v>
      </c>
      <c r="E82" s="16">
        <v>13048245</v>
      </c>
      <c r="F82" s="17">
        <v>1</v>
      </c>
      <c r="G82" s="17">
        <v>1</v>
      </c>
      <c r="H82" s="18">
        <v>45708</v>
      </c>
      <c r="I82" s="18">
        <v>45712.396365740744</v>
      </c>
      <c r="J82" s="16" t="s">
        <v>15</v>
      </c>
      <c r="K82" s="19">
        <v>56062.5</v>
      </c>
      <c r="L82" s="19">
        <v>56062.5</v>
      </c>
      <c r="M82" s="19">
        <v>0</v>
      </c>
      <c r="N82" s="19"/>
      <c r="O82" s="23" t="s">
        <v>62</v>
      </c>
      <c r="P82" s="20" t="s">
        <v>51</v>
      </c>
      <c r="Q82" s="16" t="s">
        <v>7</v>
      </c>
      <c r="R82" s="20">
        <f>IF(K82&gt;L82,K82-L82,0)</f>
        <v>0</v>
      </c>
      <c r="S82" s="20">
        <f>IF(L82&gt;M82,L82-M82,0)</f>
        <v>56062.5</v>
      </c>
      <c r="T82" s="20">
        <f>+M82</f>
        <v>0</v>
      </c>
      <c r="U82" s="20" cm="1">
        <f t="array" ref="U82">-_xlfn.IFS(J82="Closed",0,J83="Canceled",0,E82&gt;0,R82,E82=0,0)</f>
        <v>0</v>
      </c>
      <c r="V82" s="20" cm="1">
        <f t="array" ref="V82">_xlfn.IFS(J82="Closed",0,J82="Canceled",0,J82="Closed for Receiving",0,TRUE,SUM(R82:S82))+U82</f>
        <v>56062.5</v>
      </c>
      <c r="W82" s="20"/>
      <c r="X82" s="20">
        <f t="shared" si="8"/>
        <v>56062.5</v>
      </c>
      <c r="Y82" s="3">
        <v>45777</v>
      </c>
      <c r="Z82" s="30">
        <f>IF(I82&gt;0,_xlfn.DAYS(Y82,I82)/30,0)</f>
        <v>2.1666666666666665</v>
      </c>
      <c r="AA82" s="1">
        <v>1</v>
      </c>
      <c r="AB82" s="1">
        <f>(COUNTIF($E$4:$E82,$E82)=1)+0</f>
        <v>1</v>
      </c>
    </row>
    <row r="83" spans="3:28" x14ac:dyDescent="0.45">
      <c r="C83" s="16" t="str">
        <f t="shared" ref="C83:C99" si="10">D83&amp;"-"&amp;E83&amp;"-"&amp;F83&amp;"-"&amp;G83</f>
        <v>14075409-13048707-1-1</v>
      </c>
      <c r="D83" s="16">
        <v>14075409</v>
      </c>
      <c r="E83" s="16">
        <v>13048707</v>
      </c>
      <c r="F83" s="17">
        <v>1</v>
      </c>
      <c r="G83" s="17">
        <v>1</v>
      </c>
      <c r="H83" s="18">
        <v>45726</v>
      </c>
      <c r="I83" s="18">
        <v>45733.346018518518</v>
      </c>
      <c r="J83" s="16" t="s">
        <v>15</v>
      </c>
      <c r="K83" s="19">
        <v>99877.601307809993</v>
      </c>
      <c r="L83" s="19">
        <v>103018.67854977</v>
      </c>
      <c r="M83" s="19">
        <v>103018.67854977</v>
      </c>
      <c r="N83" s="19"/>
      <c r="O83" s="23" t="s">
        <v>62</v>
      </c>
      <c r="P83" s="20" t="s">
        <v>53</v>
      </c>
      <c r="Q83" s="16" t="s">
        <v>7</v>
      </c>
      <c r="R83" s="20">
        <f>IF(K83&gt;L83,K83-L83,0)</f>
        <v>0</v>
      </c>
      <c r="S83" s="20">
        <f>IF(L83&gt;M83,L83-M83,0)</f>
        <v>0</v>
      </c>
      <c r="T83" s="20">
        <f>+M83</f>
        <v>103018.67854977</v>
      </c>
      <c r="U83" s="20" cm="1">
        <f t="array" ref="U83">-_xlfn.IFS(J83="Closed",0,J84="Canceled",0,E83&gt;0,R83,E83=0,0)</f>
        <v>0</v>
      </c>
      <c r="V83" s="20" cm="1">
        <f t="array" ref="V83">_xlfn.IFS(J83="Closed",0,J83="Canceled",0,J83="Closed for Receiving",0,TRUE,SUM(R83:S83))+U83</f>
        <v>0</v>
      </c>
      <c r="W83" s="20"/>
      <c r="X83" s="20">
        <f t="shared" ref="X83:X91" si="11">+T83+V83+W83</f>
        <v>103018.67854977</v>
      </c>
      <c r="Y83" s="3">
        <v>45777</v>
      </c>
      <c r="Z83" s="30">
        <f>IF(I83&gt;0,_xlfn.DAYS(Y83,I83)/30,0)</f>
        <v>1.4666666666666666</v>
      </c>
      <c r="AA83" s="1">
        <v>1</v>
      </c>
      <c r="AB83" s="1">
        <f>(COUNTIF($E$4:$E83,$E83)=1)+0</f>
        <v>1</v>
      </c>
    </row>
    <row r="84" spans="3:28" x14ac:dyDescent="0.45">
      <c r="C84" s="16" t="str">
        <f t="shared" si="10"/>
        <v>14075409-13048707-2-2</v>
      </c>
      <c r="D84" s="16">
        <v>14075409</v>
      </c>
      <c r="E84" s="16">
        <v>13048707</v>
      </c>
      <c r="F84" s="17">
        <v>2</v>
      </c>
      <c r="G84" s="17">
        <v>2</v>
      </c>
      <c r="H84" s="18">
        <v>45726</v>
      </c>
      <c r="I84" s="18">
        <v>45733.346018518518</v>
      </c>
      <c r="J84" s="16" t="s">
        <v>15</v>
      </c>
      <c r="K84" s="19">
        <v>99877.601307809993</v>
      </c>
      <c r="L84" s="19">
        <v>103018.67854977</v>
      </c>
      <c r="M84" s="19">
        <v>103018.67854977</v>
      </c>
      <c r="N84" s="19"/>
      <c r="O84" s="23" t="s">
        <v>62</v>
      </c>
      <c r="P84" s="20" t="s">
        <v>53</v>
      </c>
      <c r="Q84" s="16" t="s">
        <v>7</v>
      </c>
      <c r="R84" s="20">
        <f>IF(K84&gt;L84,K84-L84,0)</f>
        <v>0</v>
      </c>
      <c r="S84" s="20">
        <f>IF(L84&gt;M84,L84-M84,0)</f>
        <v>0</v>
      </c>
      <c r="T84" s="20">
        <f>+M84</f>
        <v>103018.67854977</v>
      </c>
      <c r="U84" s="20" cm="1">
        <f t="array" ref="U84">-_xlfn.IFS(J84="Closed",0,J85="Canceled",0,E84&gt;0,R84,E84=0,0)</f>
        <v>0</v>
      </c>
      <c r="V84" s="20" cm="1">
        <f t="array" ref="V84">_xlfn.IFS(J84="Closed",0,J84="Canceled",0,J84="Closed for Receiving",0,TRUE,SUM(R84:S84))+U84</f>
        <v>0</v>
      </c>
      <c r="W84" s="20"/>
      <c r="X84" s="20">
        <f t="shared" si="11"/>
        <v>103018.67854977</v>
      </c>
      <c r="Y84" s="3">
        <v>45777</v>
      </c>
      <c r="Z84" s="30">
        <f>IF(I84&gt;0,_xlfn.DAYS(Y84,I84)/30,0)</f>
        <v>1.4666666666666666</v>
      </c>
      <c r="AA84" s="1">
        <v>1</v>
      </c>
      <c r="AB84" s="1">
        <f>(COUNTIF($E$4:$E84,$E84)=1)+0</f>
        <v>0</v>
      </c>
    </row>
    <row r="85" spans="3:28" x14ac:dyDescent="0.45">
      <c r="C85" s="16" t="str">
        <f t="shared" si="10"/>
        <v>14075409-13048707-3-3</v>
      </c>
      <c r="D85" s="16">
        <v>14075409</v>
      </c>
      <c r="E85" s="16">
        <v>13048707</v>
      </c>
      <c r="F85" s="17">
        <v>3</v>
      </c>
      <c r="G85" s="17">
        <v>3</v>
      </c>
      <c r="H85" s="18">
        <v>45726</v>
      </c>
      <c r="I85" s="18">
        <v>45733.346018518518</v>
      </c>
      <c r="J85" s="16" t="s">
        <v>15</v>
      </c>
      <c r="K85" s="19">
        <v>99877.601307809993</v>
      </c>
      <c r="L85" s="19">
        <v>103018.67854977</v>
      </c>
      <c r="M85" s="19">
        <v>0</v>
      </c>
      <c r="N85" s="19"/>
      <c r="O85" s="23" t="s">
        <v>62</v>
      </c>
      <c r="P85" s="20" t="s">
        <v>53</v>
      </c>
      <c r="Q85" s="16" t="s">
        <v>7</v>
      </c>
      <c r="R85" s="20">
        <f>IF(K85&gt;L85,K85-L85,0)</f>
        <v>0</v>
      </c>
      <c r="S85" s="20">
        <f>IF(L85&gt;M85,L85-M85,0)</f>
        <v>103018.67854977</v>
      </c>
      <c r="T85" s="20">
        <f>+M85</f>
        <v>0</v>
      </c>
      <c r="U85" s="20" cm="1">
        <f t="array" ref="U85">-_xlfn.IFS(J85="Closed",0,J86="Canceled",0,E85&gt;0,R85,E85=0,0)</f>
        <v>0</v>
      </c>
      <c r="V85" s="20" cm="1">
        <f t="array" ref="V85">_xlfn.IFS(J85="Closed",0,J85="Canceled",0,J85="Closed for Receiving",0,TRUE,SUM(R85:S85))+U85</f>
        <v>103018.67854977</v>
      </c>
      <c r="W85" s="20"/>
      <c r="X85" s="20">
        <f t="shared" si="11"/>
        <v>103018.67854977</v>
      </c>
      <c r="Y85" s="3">
        <v>45777</v>
      </c>
      <c r="Z85" s="30">
        <f>IF(I85&gt;0,_xlfn.DAYS(Y85,I85)/30,0)</f>
        <v>1.4666666666666666</v>
      </c>
      <c r="AA85" s="1">
        <v>1</v>
      </c>
      <c r="AB85" s="1">
        <f>(COUNTIF($E$4:$E85,$E85)=1)+0</f>
        <v>0</v>
      </c>
    </row>
    <row r="86" spans="3:28" x14ac:dyDescent="0.45">
      <c r="C86" s="16" t="str">
        <f t="shared" si="10"/>
        <v>14075409-13048707-4-4</v>
      </c>
      <c r="D86" s="16">
        <v>14075409</v>
      </c>
      <c r="E86" s="16">
        <v>13048707</v>
      </c>
      <c r="F86" s="17">
        <v>4</v>
      </c>
      <c r="G86" s="17">
        <v>4</v>
      </c>
      <c r="H86" s="18">
        <v>45726</v>
      </c>
      <c r="I86" s="18">
        <v>45733.346018518518</v>
      </c>
      <c r="J86" s="16" t="s">
        <v>15</v>
      </c>
      <c r="K86" s="19">
        <v>99877.601307809993</v>
      </c>
      <c r="L86" s="19">
        <v>103018.67854977</v>
      </c>
      <c r="M86" s="19">
        <v>0</v>
      </c>
      <c r="N86" s="19"/>
      <c r="O86" s="23" t="s">
        <v>62</v>
      </c>
      <c r="P86" s="20" t="s">
        <v>53</v>
      </c>
      <c r="Q86" s="16" t="s">
        <v>7</v>
      </c>
      <c r="R86" s="20">
        <f>IF(K86&gt;L86,K86-L86,0)</f>
        <v>0</v>
      </c>
      <c r="S86" s="20">
        <f>IF(L86&gt;M86,L86-M86,0)</f>
        <v>103018.67854977</v>
      </c>
      <c r="T86" s="20">
        <f>+M86</f>
        <v>0</v>
      </c>
      <c r="U86" s="20" cm="1">
        <f t="array" ref="U86">-_xlfn.IFS(J86="Closed",0,J87="Canceled",0,E86&gt;0,R86,E86=0,0)</f>
        <v>0</v>
      </c>
      <c r="V86" s="20" cm="1">
        <f t="array" ref="V86">_xlfn.IFS(J86="Closed",0,J86="Canceled",0,J86="Closed for Receiving",0,TRUE,SUM(R86:S86))+U86</f>
        <v>103018.67854977</v>
      </c>
      <c r="W86" s="20"/>
      <c r="X86" s="20">
        <f t="shared" si="11"/>
        <v>103018.67854977</v>
      </c>
      <c r="Y86" s="3">
        <v>45777</v>
      </c>
      <c r="Z86" s="30">
        <f>IF(I86&gt;0,_xlfn.DAYS(Y86,I86)/30,0)</f>
        <v>1.4666666666666666</v>
      </c>
      <c r="AA86" s="1">
        <v>1</v>
      </c>
      <c r="AB86" s="1">
        <f>(COUNTIF($E$4:$E86,$E86)=1)+0</f>
        <v>0</v>
      </c>
    </row>
    <row r="87" spans="3:28" x14ac:dyDescent="0.45">
      <c r="C87" s="16" t="str">
        <f t="shared" si="10"/>
        <v>14075409-13048707-5-5</v>
      </c>
      <c r="D87" s="16">
        <v>14075409</v>
      </c>
      <c r="E87" s="16">
        <v>13048707</v>
      </c>
      <c r="F87" s="17">
        <v>5</v>
      </c>
      <c r="G87" s="17">
        <v>5</v>
      </c>
      <c r="H87" s="18">
        <v>45726</v>
      </c>
      <c r="I87" s="18">
        <v>45733.346018518518</v>
      </c>
      <c r="J87" s="16" t="s">
        <v>15</v>
      </c>
      <c r="K87" s="19">
        <v>99877.601307809993</v>
      </c>
      <c r="L87" s="19">
        <v>103018.67854977</v>
      </c>
      <c r="M87" s="19">
        <v>0</v>
      </c>
      <c r="N87" s="19"/>
      <c r="O87" s="23" t="s">
        <v>62</v>
      </c>
      <c r="P87" s="20" t="s">
        <v>53</v>
      </c>
      <c r="Q87" s="16" t="s">
        <v>7</v>
      </c>
      <c r="R87" s="20">
        <f>IF(K87&gt;L87,K87-L87,0)</f>
        <v>0</v>
      </c>
      <c r="S87" s="20">
        <f>IF(L87&gt;M87,L87-M87,0)</f>
        <v>103018.67854977</v>
      </c>
      <c r="T87" s="20">
        <f>+M87</f>
        <v>0</v>
      </c>
      <c r="U87" s="20" cm="1">
        <f t="array" ref="U87">-_xlfn.IFS(J87="Closed",0,J88="Canceled",0,E87&gt;0,R87,E87=0,0)</f>
        <v>0</v>
      </c>
      <c r="V87" s="20" cm="1">
        <f t="array" ref="V87">_xlfn.IFS(J87="Closed",0,J87="Canceled",0,J87="Closed for Receiving",0,TRUE,SUM(R87:S87))+U87</f>
        <v>103018.67854977</v>
      </c>
      <c r="W87" s="20"/>
      <c r="X87" s="20">
        <f t="shared" si="11"/>
        <v>103018.67854977</v>
      </c>
      <c r="Y87" s="3">
        <v>45777</v>
      </c>
      <c r="Z87" s="30">
        <f>IF(I87&gt;0,_xlfn.DAYS(Y87,I87)/30,0)</f>
        <v>1.4666666666666666</v>
      </c>
      <c r="AA87" s="1">
        <v>1</v>
      </c>
      <c r="AB87" s="1">
        <f>(COUNTIF($E$4:$E87,$E87)=1)+0</f>
        <v>0</v>
      </c>
    </row>
    <row r="88" spans="3:28" x14ac:dyDescent="0.45">
      <c r="C88" s="16" t="str">
        <f t="shared" si="10"/>
        <v>14075409-13048707-6-6</v>
      </c>
      <c r="D88" s="16">
        <v>14075409</v>
      </c>
      <c r="E88" s="16">
        <v>13048707</v>
      </c>
      <c r="F88" s="17">
        <v>6</v>
      </c>
      <c r="G88" s="17">
        <v>6</v>
      </c>
      <c r="H88" s="18">
        <v>45726</v>
      </c>
      <c r="I88" s="18">
        <v>45733.346018518518</v>
      </c>
      <c r="J88" s="16" t="s">
        <v>15</v>
      </c>
      <c r="K88" s="19">
        <v>99877.601307809993</v>
      </c>
      <c r="L88" s="19">
        <v>103018.67854977</v>
      </c>
      <c r="M88" s="19">
        <v>0</v>
      </c>
      <c r="N88" s="19"/>
      <c r="O88" s="23" t="s">
        <v>62</v>
      </c>
      <c r="P88" s="20" t="s">
        <v>53</v>
      </c>
      <c r="Q88" s="16" t="s">
        <v>7</v>
      </c>
      <c r="R88" s="20">
        <f>IF(K88&gt;L88,K88-L88,0)</f>
        <v>0</v>
      </c>
      <c r="S88" s="20">
        <f>IF(L88&gt;M88,L88-M88,0)</f>
        <v>103018.67854977</v>
      </c>
      <c r="T88" s="20">
        <f>+M88</f>
        <v>0</v>
      </c>
      <c r="U88" s="20" cm="1">
        <f t="array" ref="U88">-_xlfn.IFS(J88="Closed",0,J89="Canceled",0,E88&gt;0,R88,E88=0,0)</f>
        <v>0</v>
      </c>
      <c r="V88" s="20" cm="1">
        <f t="array" ref="V88">_xlfn.IFS(J88="Closed",0,J88="Canceled",0,J88="Closed for Receiving",0,TRUE,SUM(R88:S88))+U88</f>
        <v>103018.67854977</v>
      </c>
      <c r="W88" s="20"/>
      <c r="X88" s="20">
        <f t="shared" si="11"/>
        <v>103018.67854977</v>
      </c>
      <c r="Y88" s="3">
        <v>45777</v>
      </c>
      <c r="Z88" s="30">
        <f>IF(I88&gt;0,_xlfn.DAYS(Y88,I88)/30,0)</f>
        <v>1.4666666666666666</v>
      </c>
      <c r="AA88" s="1">
        <v>1</v>
      </c>
      <c r="AB88" s="1">
        <f>(COUNTIF($E$4:$E88,$E88)=1)+0</f>
        <v>0</v>
      </c>
    </row>
    <row r="89" spans="3:28" x14ac:dyDescent="0.45">
      <c r="C89" s="16" t="str">
        <f t="shared" si="10"/>
        <v>14075409-13048707-7-7</v>
      </c>
      <c r="D89" s="16">
        <v>14075409</v>
      </c>
      <c r="E89" s="16">
        <v>13048707</v>
      </c>
      <c r="F89" s="17">
        <v>7</v>
      </c>
      <c r="G89" s="17">
        <v>7</v>
      </c>
      <c r="H89" s="18">
        <v>45726</v>
      </c>
      <c r="I89" s="18">
        <v>45733.346018518518</v>
      </c>
      <c r="J89" s="16" t="s">
        <v>15</v>
      </c>
      <c r="K89" s="19">
        <v>99877.601307809993</v>
      </c>
      <c r="L89" s="19">
        <v>103018.67854977</v>
      </c>
      <c r="M89" s="19">
        <v>0</v>
      </c>
      <c r="N89" s="19"/>
      <c r="O89" s="23" t="s">
        <v>62</v>
      </c>
      <c r="P89" s="20" t="s">
        <v>53</v>
      </c>
      <c r="Q89" s="16" t="s">
        <v>7</v>
      </c>
      <c r="R89" s="20">
        <f>IF(K89&gt;L89,K89-L89,0)</f>
        <v>0</v>
      </c>
      <c r="S89" s="20">
        <f>IF(L89&gt;M89,L89-M89,0)</f>
        <v>103018.67854977</v>
      </c>
      <c r="T89" s="20">
        <f>+M89</f>
        <v>0</v>
      </c>
      <c r="U89" s="20" cm="1">
        <f t="array" ref="U89">-_xlfn.IFS(J89="Closed",0,J90="Canceled",0,E89&gt;0,R89,E89=0,0)</f>
        <v>0</v>
      </c>
      <c r="V89" s="20" cm="1">
        <f t="array" ref="V89">_xlfn.IFS(J89="Closed",0,J89="Canceled",0,J89="Closed for Receiving",0,TRUE,SUM(R89:S89))+U89</f>
        <v>103018.67854977</v>
      </c>
      <c r="W89" s="20"/>
      <c r="X89" s="20">
        <f t="shared" si="11"/>
        <v>103018.67854977</v>
      </c>
      <c r="Y89" s="3">
        <v>45777</v>
      </c>
      <c r="Z89" s="30">
        <f>IF(I89&gt;0,_xlfn.DAYS(Y89,I89)/30,0)</f>
        <v>1.4666666666666666</v>
      </c>
      <c r="AA89" s="1">
        <v>1</v>
      </c>
      <c r="AB89" s="1">
        <f>(COUNTIF($E$4:$E89,$E89)=1)+0</f>
        <v>0</v>
      </c>
    </row>
    <row r="90" spans="3:28" x14ac:dyDescent="0.45">
      <c r="C90" s="16" t="str">
        <f t="shared" si="10"/>
        <v>14075409-13048707-8-8</v>
      </c>
      <c r="D90" s="16">
        <v>14075409</v>
      </c>
      <c r="E90" s="16">
        <v>13048707</v>
      </c>
      <c r="F90" s="17">
        <v>8</v>
      </c>
      <c r="G90" s="17">
        <v>8</v>
      </c>
      <c r="H90" s="18">
        <v>45726</v>
      </c>
      <c r="I90" s="18">
        <v>45733.346018518518</v>
      </c>
      <c r="J90" s="16" t="s">
        <v>15</v>
      </c>
      <c r="K90" s="19">
        <v>99877.601307809993</v>
      </c>
      <c r="L90" s="19">
        <v>103018.67854977</v>
      </c>
      <c r="M90" s="19">
        <v>0</v>
      </c>
      <c r="N90" s="19"/>
      <c r="O90" s="23" t="s">
        <v>62</v>
      </c>
      <c r="P90" s="20" t="s">
        <v>53</v>
      </c>
      <c r="Q90" s="16" t="s">
        <v>7</v>
      </c>
      <c r="R90" s="20">
        <f>IF(K90&gt;L90,K90-L90,0)</f>
        <v>0</v>
      </c>
      <c r="S90" s="20">
        <f>IF(L90&gt;M90,L90-M90,0)</f>
        <v>103018.67854977</v>
      </c>
      <c r="T90" s="20">
        <f>+M90</f>
        <v>0</v>
      </c>
      <c r="U90" s="20" cm="1">
        <f t="array" ref="U90">-_xlfn.IFS(J90="Closed",0,J91="Canceled",0,E90&gt;0,R90,E90=0,0)</f>
        <v>0</v>
      </c>
      <c r="V90" s="20" cm="1">
        <f t="array" ref="V90">_xlfn.IFS(J90="Closed",0,J90="Canceled",0,J90="Closed for Receiving",0,TRUE,SUM(R90:S90))+U90</f>
        <v>103018.67854977</v>
      </c>
      <c r="W90" s="20"/>
      <c r="X90" s="20">
        <f t="shared" si="11"/>
        <v>103018.67854977</v>
      </c>
      <c r="Y90" s="3">
        <v>45777</v>
      </c>
      <c r="Z90" s="30">
        <f>IF(I90&gt;0,_xlfn.DAYS(Y90,I90)/30,0)</f>
        <v>1.4666666666666666</v>
      </c>
      <c r="AA90" s="1">
        <v>1</v>
      </c>
      <c r="AB90" s="1">
        <f>(COUNTIF($E$4:$E90,$E90)=1)+0</f>
        <v>0</v>
      </c>
    </row>
    <row r="91" spans="3:28" x14ac:dyDescent="0.45">
      <c r="C91" s="16" t="str">
        <f t="shared" si="10"/>
        <v>14076045-0-1-0</v>
      </c>
      <c r="D91" s="16">
        <v>14076045</v>
      </c>
      <c r="E91" s="16">
        <v>0</v>
      </c>
      <c r="F91" s="17">
        <v>1</v>
      </c>
      <c r="G91" s="17">
        <v>0</v>
      </c>
      <c r="H91" s="18">
        <v>45739</v>
      </c>
      <c r="I91" s="18">
        <v>45741.416597222225</v>
      </c>
      <c r="J91" s="16"/>
      <c r="K91" s="19">
        <v>1083662</v>
      </c>
      <c r="L91" s="19">
        <v>0</v>
      </c>
      <c r="M91" s="19">
        <v>0</v>
      </c>
      <c r="N91" s="19"/>
      <c r="O91" s="23" t="s">
        <v>62</v>
      </c>
      <c r="P91" s="20" t="s">
        <v>57</v>
      </c>
      <c r="Q91" s="16" t="s">
        <v>7</v>
      </c>
      <c r="R91" s="20">
        <f>IF(K91&gt;L91,K91-L91,0)</f>
        <v>1083662</v>
      </c>
      <c r="S91" s="20">
        <f>IF(L91&gt;M91,L91-M91,0)</f>
        <v>0</v>
      </c>
      <c r="T91" s="20">
        <f>+M91</f>
        <v>0</v>
      </c>
      <c r="U91" s="20" cm="1">
        <f t="array" ref="U91">-_xlfn.IFS(J91="Closed",0,J92="Canceled",0,E91&gt;0,R91,E91=0,0)</f>
        <v>0</v>
      </c>
      <c r="V91" s="20" cm="1">
        <f t="array" ref="V91">_xlfn.IFS(J91="Closed",0,J91="Canceled",0,J91="Closed for Receiving",0,TRUE,SUM(R91:S91))+U91</f>
        <v>1083662</v>
      </c>
      <c r="W91" s="20"/>
      <c r="X91" s="20">
        <f t="shared" si="11"/>
        <v>1083662</v>
      </c>
      <c r="Y91" s="3">
        <v>45777</v>
      </c>
      <c r="Z91" s="30">
        <f>IF(I91&gt;0,_xlfn.DAYS(Y91,I91)/30,0)</f>
        <v>1.2</v>
      </c>
      <c r="AA91" s="1">
        <v>1</v>
      </c>
      <c r="AB91" s="1">
        <f>(COUNTIF($E$4:$E91,$E91)=1)+0</f>
        <v>0</v>
      </c>
    </row>
    <row r="92" spans="3:28" x14ac:dyDescent="0.45">
      <c r="C92" s="16" t="str">
        <f t="shared" si="10"/>
        <v>14076052-13049785-1-1</v>
      </c>
      <c r="D92" s="16">
        <v>14076052</v>
      </c>
      <c r="E92" s="16">
        <v>13049785</v>
      </c>
      <c r="F92" s="17">
        <v>1</v>
      </c>
      <c r="G92" s="17">
        <v>1</v>
      </c>
      <c r="H92" s="18">
        <v>45739</v>
      </c>
      <c r="I92" s="18">
        <v>45743.498101851852</v>
      </c>
      <c r="J92" s="16" t="s">
        <v>15</v>
      </c>
      <c r="K92" s="19">
        <v>2200</v>
      </c>
      <c r="L92" s="19">
        <v>1560</v>
      </c>
      <c r="M92" s="19">
        <v>0</v>
      </c>
      <c r="N92" s="19"/>
      <c r="O92" s="23" t="s">
        <v>62</v>
      </c>
      <c r="P92" s="20" t="s">
        <v>51</v>
      </c>
      <c r="Q92" s="16" t="s">
        <v>8</v>
      </c>
      <c r="R92" s="20">
        <f>IF(K92&gt;L92,K92-L92,0)</f>
        <v>640</v>
      </c>
      <c r="S92" s="20">
        <f>IF(L92&gt;M92,L92-M92,0)</f>
        <v>1560</v>
      </c>
      <c r="T92" s="20">
        <f>+M92</f>
        <v>0</v>
      </c>
      <c r="U92" s="20" cm="1">
        <f t="array" ref="U92">-_xlfn.IFS(J92="Closed",0,J93="Canceled",0,E92&gt;0,R92,E92=0,0)</f>
        <v>-640</v>
      </c>
      <c r="V92" s="20" cm="1">
        <f t="array" ref="V92">_xlfn.IFS(J92="Closed",0,J92="Canceled",0,J92="Closed for Receiving",0,TRUE,SUM(R92:S92))+U92</f>
        <v>1560</v>
      </c>
      <c r="W92" s="20"/>
      <c r="X92" s="20">
        <f t="shared" ref="X92:X99" si="12">+T92+V92+W92</f>
        <v>1560</v>
      </c>
      <c r="Y92" s="3">
        <v>45777</v>
      </c>
      <c r="Z92" s="30">
        <f>IF(I92&gt;0,_xlfn.DAYS(Y92,I92)/30,0)</f>
        <v>1.1333333333333333</v>
      </c>
      <c r="AA92" s="1">
        <v>1</v>
      </c>
      <c r="AB92" s="1">
        <f>(COUNTIF($E$4:$E92,$E92)=1)+0</f>
        <v>1</v>
      </c>
    </row>
    <row r="93" spans="3:28" x14ac:dyDescent="0.45">
      <c r="C93" s="16" t="str">
        <f t="shared" si="10"/>
        <v>14073982-13049500-1-1</v>
      </c>
      <c r="D93" s="16">
        <v>14073982</v>
      </c>
      <c r="E93" s="16">
        <v>13049500</v>
      </c>
      <c r="F93" s="17">
        <v>1</v>
      </c>
      <c r="G93" s="17">
        <v>1</v>
      </c>
      <c r="H93" s="18">
        <v>45693</v>
      </c>
      <c r="I93" s="18">
        <v>45712.260208333333</v>
      </c>
      <c r="J93" s="16" t="s">
        <v>15</v>
      </c>
      <c r="K93" s="19">
        <v>136800</v>
      </c>
      <c r="L93" s="19">
        <v>136800</v>
      </c>
      <c r="M93" s="19">
        <v>0</v>
      </c>
      <c r="N93" s="19"/>
      <c r="O93" s="23" t="s">
        <v>62</v>
      </c>
      <c r="P93" s="20" t="s">
        <v>51</v>
      </c>
      <c r="Q93" s="16" t="s">
        <v>8</v>
      </c>
      <c r="R93" s="20">
        <f>IF(K93&gt;L93,K93-L93,0)</f>
        <v>0</v>
      </c>
      <c r="S93" s="20">
        <f>IF(L93&gt;M93,L93-M93,0)</f>
        <v>136800</v>
      </c>
      <c r="T93" s="20">
        <f>+M93</f>
        <v>0</v>
      </c>
      <c r="U93" s="20" cm="1">
        <f t="array" ref="U93">-_xlfn.IFS(J93="Closed",0,J94="Canceled",0,E93&gt;0,R93,E93=0,0)</f>
        <v>0</v>
      </c>
      <c r="V93" s="20" cm="1">
        <f t="array" ref="V93">_xlfn.IFS(J93="Closed",0,J93="Canceled",0,J93="Closed for Receiving",0,TRUE,SUM(R93:S93))+U93</f>
        <v>136800</v>
      </c>
      <c r="W93" s="20"/>
      <c r="X93" s="20">
        <f t="shared" si="12"/>
        <v>136800</v>
      </c>
      <c r="Y93" s="3">
        <v>45777</v>
      </c>
      <c r="Z93" s="30">
        <f>IF(I93&gt;0,_xlfn.DAYS(Y93,I93)/30,0)</f>
        <v>2.1666666666666665</v>
      </c>
      <c r="AA93" s="1">
        <v>1</v>
      </c>
      <c r="AB93" s="1"/>
    </row>
    <row r="94" spans="3:28" x14ac:dyDescent="0.45">
      <c r="C94" s="16" t="str">
        <f t="shared" si="10"/>
        <v>14076229-13049481-1-1</v>
      </c>
      <c r="D94" s="16">
        <v>14076229</v>
      </c>
      <c r="E94" s="16">
        <v>13049481</v>
      </c>
      <c r="F94" s="17">
        <v>1</v>
      </c>
      <c r="G94" s="17">
        <v>1</v>
      </c>
      <c r="H94" s="18">
        <v>45743</v>
      </c>
      <c r="I94" s="18">
        <v>45754.225810185184</v>
      </c>
      <c r="J94" s="16" t="s">
        <v>15</v>
      </c>
      <c r="K94" s="19">
        <v>61897.5</v>
      </c>
      <c r="L94" s="19">
        <v>61897.5</v>
      </c>
      <c r="M94" s="19">
        <v>0</v>
      </c>
      <c r="N94" s="19"/>
      <c r="O94" s="23" t="s">
        <v>62</v>
      </c>
      <c r="P94" s="20" t="s">
        <v>71</v>
      </c>
      <c r="Q94" s="16" t="s">
        <v>7</v>
      </c>
      <c r="R94" s="20">
        <f>IF(K94&gt;L94,K94-L94,0)</f>
        <v>0</v>
      </c>
      <c r="S94" s="20">
        <f>IF(L94&gt;M94,L94-M94,0)</f>
        <v>61897.5</v>
      </c>
      <c r="T94" s="20">
        <f>+M94</f>
        <v>0</v>
      </c>
      <c r="U94" s="20" cm="1">
        <f t="array" ref="U94">-_xlfn.IFS(J94="Closed",0,J95="Canceled",0,E94&gt;0,R94,E94=0,0)</f>
        <v>0</v>
      </c>
      <c r="V94" s="20" cm="1">
        <f t="array" ref="V94">_xlfn.IFS(J94="Closed",0,J94="Canceled",0,J94="Closed for Receiving",0,TRUE,SUM(R94:S94))+U94</f>
        <v>61897.5</v>
      </c>
      <c r="W94" s="20"/>
      <c r="X94" s="20">
        <f t="shared" si="12"/>
        <v>61897.5</v>
      </c>
      <c r="Y94" s="3">
        <v>45777</v>
      </c>
      <c r="Z94" s="30">
        <f>IF(I94&gt;0,_xlfn.DAYS(Y94,I94)/30,0)</f>
        <v>0.76666666666666672</v>
      </c>
      <c r="AA94" s="1">
        <v>1</v>
      </c>
      <c r="AB94" s="1"/>
    </row>
    <row r="95" spans="3:28" x14ac:dyDescent="0.45">
      <c r="C95" s="16" t="str">
        <f t="shared" si="10"/>
        <v>14076496-0-1-0</v>
      </c>
      <c r="D95" s="16">
        <v>14076496</v>
      </c>
      <c r="E95" s="16">
        <v>0</v>
      </c>
      <c r="F95" s="17">
        <v>1</v>
      </c>
      <c r="G95" s="17">
        <v>0</v>
      </c>
      <c r="H95" s="18">
        <v>45756</v>
      </c>
      <c r="I95" s="18">
        <v>45763.208506944444</v>
      </c>
      <c r="J95" s="16"/>
      <c r="K95" s="19">
        <v>262500</v>
      </c>
      <c r="L95" s="19">
        <v>0</v>
      </c>
      <c r="M95" s="19">
        <v>0</v>
      </c>
      <c r="N95" s="19"/>
      <c r="O95" s="23" t="s">
        <v>62</v>
      </c>
      <c r="P95" s="20" t="s">
        <v>51</v>
      </c>
      <c r="Q95" s="16" t="s">
        <v>69</v>
      </c>
      <c r="R95" s="20">
        <f>IF(K95&gt;L95,K95-L95,0)</f>
        <v>262500</v>
      </c>
      <c r="S95" s="20">
        <f>IF(L95&gt;M95,L95-M95,0)</f>
        <v>0</v>
      </c>
      <c r="T95" s="20">
        <f>+M95</f>
        <v>0</v>
      </c>
      <c r="U95" s="20" cm="1">
        <f t="array" ref="U95">-_xlfn.IFS(J95="Closed",0,J96="Canceled",0,E95&gt;0,R95,E95=0,0)</f>
        <v>0</v>
      </c>
      <c r="V95" s="20" cm="1">
        <f t="array" ref="V95">_xlfn.IFS(J95="Closed",0,J95="Canceled",0,J95="Closed for Receiving",0,TRUE,SUM(R95:S95))+U95</f>
        <v>262500</v>
      </c>
      <c r="W95" s="20"/>
      <c r="X95" s="20">
        <f t="shared" si="12"/>
        <v>262500</v>
      </c>
      <c r="Y95" s="3">
        <v>45777</v>
      </c>
      <c r="Z95" s="30">
        <f>IF(I95&gt;0,_xlfn.DAYS(Y95,I95)/30,0)</f>
        <v>0.46666666666666667</v>
      </c>
      <c r="AA95" s="1">
        <v>1</v>
      </c>
      <c r="AB95" s="1"/>
    </row>
    <row r="96" spans="3:28" x14ac:dyDescent="0.45">
      <c r="C96" s="16" t="str">
        <f t="shared" si="10"/>
        <v>14076496-0-2-0</v>
      </c>
      <c r="D96" s="16">
        <v>14076496</v>
      </c>
      <c r="E96" s="16">
        <v>0</v>
      </c>
      <c r="F96" s="17">
        <v>2</v>
      </c>
      <c r="G96" s="17">
        <v>0</v>
      </c>
      <c r="H96" s="18">
        <v>45756</v>
      </c>
      <c r="I96" s="18">
        <v>45763.208506944444</v>
      </c>
      <c r="J96" s="16"/>
      <c r="K96" s="19">
        <v>93750</v>
      </c>
      <c r="L96" s="19">
        <v>0</v>
      </c>
      <c r="M96" s="19">
        <v>0</v>
      </c>
      <c r="N96" s="19"/>
      <c r="O96" s="23" t="s">
        <v>62</v>
      </c>
      <c r="P96" s="20" t="s">
        <v>51</v>
      </c>
      <c r="Q96" s="16" t="s">
        <v>69</v>
      </c>
      <c r="R96" s="20">
        <f>IF(K96&gt;L96,K96-L96,0)</f>
        <v>93750</v>
      </c>
      <c r="S96" s="20">
        <f>IF(L96&gt;M96,L96-M96,0)</f>
        <v>0</v>
      </c>
      <c r="T96" s="20">
        <f>+M96</f>
        <v>0</v>
      </c>
      <c r="U96" s="20" cm="1">
        <f t="array" ref="U96">-_xlfn.IFS(J96="Closed",0,J97="Canceled",0,E96&gt;0,R96,E96=0,0)</f>
        <v>0</v>
      </c>
      <c r="V96" s="20" cm="1">
        <f t="array" ref="V96">_xlfn.IFS(J96="Closed",0,J96="Canceled",0,J96="Closed for Receiving",0,TRUE,SUM(R96:S96))+U96</f>
        <v>93750</v>
      </c>
      <c r="W96" s="20"/>
      <c r="X96" s="20">
        <f t="shared" si="12"/>
        <v>93750</v>
      </c>
      <c r="Y96" s="3">
        <v>45777</v>
      </c>
      <c r="Z96" s="30">
        <f>IF(I96&gt;0,_xlfn.DAYS(Y96,I96)/30,0)</f>
        <v>0.46666666666666667</v>
      </c>
      <c r="AA96" s="1">
        <v>1</v>
      </c>
      <c r="AB96" s="1"/>
    </row>
    <row r="97" spans="1:28" x14ac:dyDescent="0.45">
      <c r="C97" s="16" t="str">
        <f t="shared" si="10"/>
        <v>14076496-0-3-0</v>
      </c>
      <c r="D97" s="16">
        <v>14076496</v>
      </c>
      <c r="E97" s="16">
        <v>0</v>
      </c>
      <c r="F97" s="17">
        <v>3</v>
      </c>
      <c r="G97" s="17">
        <v>0</v>
      </c>
      <c r="H97" s="18">
        <v>45756</v>
      </c>
      <c r="I97" s="18">
        <v>45763.208506944444</v>
      </c>
      <c r="J97" s="16"/>
      <c r="K97" s="19">
        <v>38250</v>
      </c>
      <c r="L97" s="19">
        <v>0</v>
      </c>
      <c r="M97" s="19">
        <v>0</v>
      </c>
      <c r="N97" s="19"/>
      <c r="O97" s="23" t="s">
        <v>62</v>
      </c>
      <c r="P97" s="20" t="s">
        <v>51</v>
      </c>
      <c r="Q97" s="16" t="s">
        <v>69</v>
      </c>
      <c r="R97" s="20">
        <f>IF(K97&gt;L97,K97-L97,0)</f>
        <v>38250</v>
      </c>
      <c r="S97" s="20">
        <f>IF(L97&gt;M97,L97-M97,0)</f>
        <v>0</v>
      </c>
      <c r="T97" s="20">
        <f>+M97</f>
        <v>0</v>
      </c>
      <c r="U97" s="20" cm="1">
        <f t="array" ref="U97">-_xlfn.IFS(J97="Closed",0,J98="Canceled",0,E97&gt;0,R97,E97=0,0)</f>
        <v>0</v>
      </c>
      <c r="V97" s="20" cm="1">
        <f t="array" ref="V97">_xlfn.IFS(J97="Closed",0,J97="Canceled",0,J97="Closed for Receiving",0,TRUE,SUM(R97:S97))+U97</f>
        <v>38250</v>
      </c>
      <c r="W97" s="20"/>
      <c r="X97" s="20">
        <f t="shared" si="12"/>
        <v>38250</v>
      </c>
      <c r="Y97" s="3">
        <v>45777</v>
      </c>
      <c r="Z97" s="30">
        <f>IF(I97&gt;0,_xlfn.DAYS(Y97,I97)/30,0)</f>
        <v>0.46666666666666667</v>
      </c>
      <c r="AA97" s="1">
        <v>1</v>
      </c>
      <c r="AB97" s="1"/>
    </row>
    <row r="98" spans="1:28" x14ac:dyDescent="0.45">
      <c r="C98" s="16" t="str">
        <f t="shared" si="10"/>
        <v>14076496-0-4-0</v>
      </c>
      <c r="D98" s="16">
        <v>14076496</v>
      </c>
      <c r="E98" s="16">
        <v>0</v>
      </c>
      <c r="F98" s="17">
        <v>4</v>
      </c>
      <c r="G98" s="17">
        <v>0</v>
      </c>
      <c r="H98" s="18">
        <v>45756</v>
      </c>
      <c r="I98" s="18">
        <v>45763.208506944444</v>
      </c>
      <c r="J98" s="16"/>
      <c r="K98" s="19">
        <v>45000</v>
      </c>
      <c r="L98" s="19">
        <v>0</v>
      </c>
      <c r="M98" s="19">
        <v>0</v>
      </c>
      <c r="N98" s="19"/>
      <c r="O98" s="23" t="s">
        <v>62</v>
      </c>
      <c r="P98" s="20" t="s">
        <v>51</v>
      </c>
      <c r="Q98" s="16" t="s">
        <v>69</v>
      </c>
      <c r="R98" s="20">
        <f>IF(K98&gt;L98,K98-L98,0)</f>
        <v>45000</v>
      </c>
      <c r="S98" s="20">
        <f>IF(L98&gt;M98,L98-M98,0)</f>
        <v>0</v>
      </c>
      <c r="T98" s="20">
        <f>+M98</f>
        <v>0</v>
      </c>
      <c r="U98" s="20" cm="1">
        <f t="array" ref="U98">-_xlfn.IFS(J98="Closed",0,J99="Canceled",0,E98&gt;0,R98,E98=0,0)</f>
        <v>0</v>
      </c>
      <c r="V98" s="20" cm="1">
        <f t="array" ref="V98">_xlfn.IFS(J98="Closed",0,J98="Canceled",0,J98="Closed for Receiving",0,TRUE,SUM(R98:S98))+U98</f>
        <v>45000</v>
      </c>
      <c r="W98" s="20"/>
      <c r="X98" s="20">
        <f t="shared" si="12"/>
        <v>45000</v>
      </c>
      <c r="Y98" s="3">
        <v>45777</v>
      </c>
      <c r="Z98" s="30">
        <f>IF(I98&gt;0,_xlfn.DAYS(Y98,I98)/30,0)</f>
        <v>0.46666666666666667</v>
      </c>
      <c r="AA98" s="1">
        <v>1</v>
      </c>
      <c r="AB98" s="1"/>
    </row>
    <row r="99" spans="1:28" x14ac:dyDescent="0.45">
      <c r="A99">
        <v>8513</v>
      </c>
      <c r="C99" s="16" t="str">
        <f t="shared" si="10"/>
        <v>14076898-0-1-0</v>
      </c>
      <c r="D99" s="16">
        <v>14076898</v>
      </c>
      <c r="E99" s="16">
        <v>0</v>
      </c>
      <c r="F99" s="17">
        <v>1</v>
      </c>
      <c r="G99" s="17">
        <v>0</v>
      </c>
      <c r="H99" s="18">
        <v>45764</v>
      </c>
      <c r="I99" s="18">
        <v>45765.616747685184</v>
      </c>
      <c r="J99" s="16"/>
      <c r="K99" s="19">
        <v>14625</v>
      </c>
      <c r="L99" s="19">
        <v>0</v>
      </c>
      <c r="M99" s="19">
        <v>0</v>
      </c>
      <c r="N99" s="19"/>
      <c r="O99" s="23" t="s">
        <v>62</v>
      </c>
      <c r="P99" s="20" t="s">
        <v>51</v>
      </c>
      <c r="Q99" s="16" t="s">
        <v>7</v>
      </c>
      <c r="R99" s="20">
        <f>IF(K99&gt;L99,K99-L99,0)</f>
        <v>14625</v>
      </c>
      <c r="S99" s="20">
        <f>IF(L99&gt;M99,L99-M99,0)</f>
        <v>0</v>
      </c>
      <c r="T99" s="20">
        <f>+M99</f>
        <v>0</v>
      </c>
      <c r="U99" s="20" cm="1">
        <f t="array" ref="U99">-_xlfn.IFS(J99="Closed",0,J100="Canceled",0,E99&gt;0,R99,E99=0,0)</f>
        <v>0</v>
      </c>
      <c r="V99" s="20" cm="1">
        <f t="array" ref="V99">_xlfn.IFS(J99="Closed",0,J99="Canceled",0,J99="Closed for Receiving",0,TRUE,SUM(R99:S99))+U99</f>
        <v>14625</v>
      </c>
      <c r="W99" s="20"/>
      <c r="X99" s="20">
        <f t="shared" si="12"/>
        <v>14625</v>
      </c>
      <c r="Y99" s="3">
        <v>45777</v>
      </c>
      <c r="Z99" s="30">
        <f>IF(I99&gt;0,_xlfn.DAYS(Y99,I99)/30,0)</f>
        <v>0.4</v>
      </c>
      <c r="AA99" s="1">
        <v>1</v>
      </c>
      <c r="AB99" s="1"/>
    </row>
    <row r="100" spans="1:28" x14ac:dyDescent="0.45">
      <c r="P100"/>
    </row>
    <row r="101" spans="1:28" x14ac:dyDescent="0.45">
      <c r="P101"/>
    </row>
    <row r="102" spans="1:28" x14ac:dyDescent="0.45">
      <c r="P102"/>
    </row>
    <row r="103" spans="1:28" x14ac:dyDescent="0.45">
      <c r="P103"/>
    </row>
    <row r="104" spans="1:28" x14ac:dyDescent="0.45">
      <c r="P104"/>
    </row>
    <row r="105" spans="1:28" x14ac:dyDescent="0.45">
      <c r="P105"/>
    </row>
    <row r="106" spans="1:28" x14ac:dyDescent="0.45">
      <c r="P106"/>
    </row>
    <row r="107" spans="1:28" x14ac:dyDescent="0.45">
      <c r="P107"/>
    </row>
    <row r="108" spans="1:28" x14ac:dyDescent="0.45">
      <c r="P108"/>
    </row>
    <row r="109" spans="1:28" x14ac:dyDescent="0.45">
      <c r="P109"/>
    </row>
    <row r="110" spans="1:28" x14ac:dyDescent="0.45">
      <c r="P110"/>
    </row>
    <row r="111" spans="1:28" x14ac:dyDescent="0.45">
      <c r="P111"/>
    </row>
    <row r="112" spans="1:28" x14ac:dyDescent="0.45">
      <c r="P112"/>
    </row>
    <row r="113" spans="16:16" x14ac:dyDescent="0.45">
      <c r="P113"/>
    </row>
    <row r="114" spans="16:16" x14ac:dyDescent="0.45">
      <c r="P114"/>
    </row>
    <row r="115" spans="16:16" x14ac:dyDescent="0.45">
      <c r="P115"/>
    </row>
    <row r="116" spans="16:16" x14ac:dyDescent="0.45">
      <c r="P116"/>
    </row>
    <row r="117" spans="16:16" x14ac:dyDescent="0.45">
      <c r="P117"/>
    </row>
  </sheetData>
  <autoFilter ref="B3:AC99" xr:uid="{10074613-0098-4933-836E-ED3D001EB062}"/>
  <conditionalFormatting sqref="E4:E62">
    <cfRule type="duplicateValues" dxfId="1" priority="18"/>
  </conditionalFormatting>
  <conditionalFormatting sqref="E63:E99">
    <cfRule type="duplicateValues" dxfId="0" priority="2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5B59-E550-4710-BA42-5E26A6BD15D8}">
  <sheetPr>
    <tabColor rgb="FFC00000"/>
  </sheetPr>
  <dimension ref="B2:C5"/>
  <sheetViews>
    <sheetView showGridLines="0" workbookViewId="0">
      <selection activeCell="O18" sqref="O18"/>
    </sheetView>
  </sheetViews>
  <sheetFormatPr defaultRowHeight="14.25" x14ac:dyDescent="0.45"/>
  <cols>
    <col min="2" max="2" width="12.53125" customWidth="1"/>
    <col min="3" max="3" width="15.265625" customWidth="1"/>
  </cols>
  <sheetData>
    <row r="2" spans="2:3" ht="15.75" x14ac:dyDescent="0.5">
      <c r="B2" s="67"/>
      <c r="C2" s="67"/>
    </row>
    <row r="3" spans="2:3" ht="15.75" x14ac:dyDescent="0.5">
      <c r="B3" s="67"/>
      <c r="C3" s="67"/>
    </row>
    <row r="4" spans="2:3" ht="15.75" x14ac:dyDescent="0.5">
      <c r="B4" s="68" t="s">
        <v>49</v>
      </c>
      <c r="C4" s="69">
        <v>46053</v>
      </c>
    </row>
    <row r="5" spans="2:3" ht="15.75" x14ac:dyDescent="0.5">
      <c r="B5" s="67"/>
      <c r="C5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 Budget Mapping</vt:lpstr>
      <vt:lpstr>PR Data</vt:lpstr>
      <vt:lpstr>Month</vt:lpstr>
      <vt:lpstr>'Summary Budget Mapping'!Print_Area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M. Shoukry</dc:creator>
  <cp:lastModifiedBy>Adeel Gulzar</cp:lastModifiedBy>
  <cp:lastPrinted>2026-08-30T15:02:08Z</cp:lastPrinted>
  <dcterms:created xsi:type="dcterms:W3CDTF">2023-09-21T12:56:13Z</dcterms:created>
  <dcterms:modified xsi:type="dcterms:W3CDTF">2026-08-30T15:07:21Z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